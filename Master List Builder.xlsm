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ocuments\CTC\Spade's Tools\"/>
    </mc:Choice>
  </mc:AlternateContent>
  <xr:revisionPtr revIDLastSave="0" documentId="13_ncr:1_{3E7D7BDD-CCDA-4FA2-8D26-9A32577DD07C}" xr6:coauthVersionLast="47" xr6:coauthVersionMax="47" xr10:uidLastSave="{00000000-0000-0000-0000-000000000000}"/>
  <bookViews>
    <workbookView xWindow="-28920" yWindow="-120" windowWidth="29040" windowHeight="15840" xr2:uid="{1E297E88-17D1-4288-897C-B01C06761939}"/>
  </bookViews>
  <sheets>
    <sheet name="Interactive Selection Sheet" sheetId="1" r:id="rId1"/>
    <sheet name="Master List Sorted (wRemoved)" sheetId="3" r:id="rId2"/>
    <sheet name="Master List Import" sheetId="4" r:id="rId3"/>
  </sheets>
  <definedNames>
    <definedName name="_xlnm._FilterDatabase" localSheetId="1" hidden="1">'Master List Sorted (wRemoved)'!$A$1:$R$526</definedName>
    <definedName name="ExternalData_1" localSheetId="2" hidden="1">'Master List Import'!$A$1:$P$519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3" i="1" l="1"/>
  <c r="R14" i="1"/>
  <c r="A238" i="3"/>
  <c r="B238" i="3"/>
  <c r="E238" i="3" s="1"/>
  <c r="F238" i="3"/>
  <c r="G238" i="3"/>
  <c r="H238" i="3"/>
  <c r="I238" i="3"/>
  <c r="J238" i="3"/>
  <c r="K238" i="3"/>
  <c r="L238" i="3"/>
  <c r="M238" i="3"/>
  <c r="N238" i="3"/>
  <c r="O238" i="3"/>
  <c r="P238" i="3"/>
  <c r="Q238" i="3"/>
  <c r="R238" i="3"/>
  <c r="A483" i="3"/>
  <c r="B483" i="3"/>
  <c r="C483" i="3" s="1"/>
  <c r="F483" i="3"/>
  <c r="G483" i="3"/>
  <c r="H483" i="3"/>
  <c r="I483" i="3"/>
  <c r="J483" i="3"/>
  <c r="K483" i="3"/>
  <c r="L483" i="3"/>
  <c r="M483" i="3"/>
  <c r="N483" i="3"/>
  <c r="O483" i="3"/>
  <c r="P483" i="3"/>
  <c r="Q483" i="3"/>
  <c r="R483" i="3"/>
  <c r="A533" i="3"/>
  <c r="B533" i="3"/>
  <c r="E533" i="3" s="1"/>
  <c r="F533" i="3"/>
  <c r="G533" i="3"/>
  <c r="H533" i="3"/>
  <c r="I533" i="3"/>
  <c r="J533" i="3"/>
  <c r="K533" i="3"/>
  <c r="L533" i="3"/>
  <c r="M533" i="3"/>
  <c r="N533" i="3"/>
  <c r="O533" i="3"/>
  <c r="P533" i="3"/>
  <c r="Q533" i="3"/>
  <c r="R533" i="3"/>
  <c r="A534" i="3"/>
  <c r="B534" i="3"/>
  <c r="C534" i="3" s="1"/>
  <c r="F534" i="3"/>
  <c r="G534" i="3"/>
  <c r="H534" i="3"/>
  <c r="I534" i="3"/>
  <c r="J534" i="3"/>
  <c r="K534" i="3"/>
  <c r="L534" i="3"/>
  <c r="M534" i="3"/>
  <c r="N534" i="3"/>
  <c r="O534" i="3"/>
  <c r="P534" i="3"/>
  <c r="Q534" i="3"/>
  <c r="R534" i="3"/>
  <c r="A535" i="3"/>
  <c r="B535" i="3"/>
  <c r="E535" i="3" s="1"/>
  <c r="F535" i="3"/>
  <c r="G535" i="3"/>
  <c r="H535" i="3"/>
  <c r="I535" i="3"/>
  <c r="J535" i="3"/>
  <c r="K535" i="3"/>
  <c r="L535" i="3"/>
  <c r="M535" i="3"/>
  <c r="N535" i="3"/>
  <c r="O535" i="3"/>
  <c r="P535" i="3"/>
  <c r="Q535" i="3"/>
  <c r="R535" i="3"/>
  <c r="A536" i="3"/>
  <c r="B536" i="3"/>
  <c r="C536" i="3" s="1"/>
  <c r="F536" i="3"/>
  <c r="G536" i="3"/>
  <c r="H536" i="3"/>
  <c r="I536" i="3"/>
  <c r="J536" i="3"/>
  <c r="K536" i="3"/>
  <c r="L536" i="3"/>
  <c r="M536" i="3"/>
  <c r="N536" i="3"/>
  <c r="O536" i="3"/>
  <c r="P536" i="3"/>
  <c r="Q536" i="3"/>
  <c r="R536" i="3"/>
  <c r="A537" i="3"/>
  <c r="B537" i="3"/>
  <c r="C537" i="3" s="1"/>
  <c r="F537" i="3"/>
  <c r="G537" i="3"/>
  <c r="H537" i="3"/>
  <c r="I537" i="3"/>
  <c r="J537" i="3"/>
  <c r="K537" i="3"/>
  <c r="L537" i="3"/>
  <c r="M537" i="3"/>
  <c r="N537" i="3"/>
  <c r="O537" i="3"/>
  <c r="P537" i="3"/>
  <c r="Q537" i="3"/>
  <c r="R537" i="3"/>
  <c r="A390" i="3"/>
  <c r="B390" i="3"/>
  <c r="C390" i="3" s="1"/>
  <c r="F390" i="3"/>
  <c r="G390" i="3"/>
  <c r="H390" i="3"/>
  <c r="I390" i="3"/>
  <c r="J390" i="3"/>
  <c r="K390" i="3"/>
  <c r="L390" i="3"/>
  <c r="M390" i="3"/>
  <c r="N390" i="3"/>
  <c r="O390" i="3"/>
  <c r="P390" i="3"/>
  <c r="Q390" i="3"/>
  <c r="R390" i="3"/>
  <c r="A391" i="3"/>
  <c r="B391" i="3"/>
  <c r="C391" i="3" s="1"/>
  <c r="F391" i="3"/>
  <c r="G391" i="3"/>
  <c r="H391" i="3"/>
  <c r="I391" i="3"/>
  <c r="J391" i="3"/>
  <c r="K391" i="3"/>
  <c r="L391" i="3"/>
  <c r="M391" i="3"/>
  <c r="N391" i="3"/>
  <c r="O391" i="3"/>
  <c r="P391" i="3"/>
  <c r="Q391" i="3"/>
  <c r="R391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B98" i="3"/>
  <c r="C98" i="3" s="1"/>
  <c r="A98" i="3"/>
  <c r="A377" i="3"/>
  <c r="B377" i="3"/>
  <c r="E377" i="3" s="1"/>
  <c r="F377" i="3"/>
  <c r="G377" i="3"/>
  <c r="H377" i="3"/>
  <c r="I377" i="3"/>
  <c r="J377" i="3"/>
  <c r="K377" i="3"/>
  <c r="L377" i="3"/>
  <c r="M377" i="3"/>
  <c r="N377" i="3"/>
  <c r="O377" i="3"/>
  <c r="P377" i="3"/>
  <c r="Q377" i="3"/>
  <c r="R377" i="3"/>
  <c r="R6" i="1"/>
  <c r="R7" i="1"/>
  <c r="R8" i="1"/>
  <c r="R9" i="1"/>
  <c r="R10" i="1"/>
  <c r="R11" i="1"/>
  <c r="R12" i="1"/>
  <c r="R5" i="1"/>
  <c r="Q148" i="3"/>
  <c r="P148" i="3"/>
  <c r="O148" i="3"/>
  <c r="N148" i="3"/>
  <c r="M148" i="3"/>
  <c r="L148" i="3"/>
  <c r="K148" i="3"/>
  <c r="J148" i="3"/>
  <c r="I148" i="3"/>
  <c r="H148" i="3"/>
  <c r="G148" i="3"/>
  <c r="F148" i="3"/>
  <c r="B148" i="3"/>
  <c r="Q518" i="3"/>
  <c r="P518" i="3"/>
  <c r="O518" i="3"/>
  <c r="N518" i="3"/>
  <c r="M518" i="3"/>
  <c r="L518" i="3"/>
  <c r="K518" i="3"/>
  <c r="J518" i="3"/>
  <c r="I518" i="3"/>
  <c r="H518" i="3"/>
  <c r="G518" i="3"/>
  <c r="F518" i="3"/>
  <c r="B518" i="3"/>
  <c r="A518" i="3"/>
  <c r="Q298" i="3"/>
  <c r="P298" i="3"/>
  <c r="O298" i="3"/>
  <c r="N298" i="3"/>
  <c r="M298" i="3"/>
  <c r="L298" i="3"/>
  <c r="K298" i="3"/>
  <c r="J298" i="3"/>
  <c r="I298" i="3"/>
  <c r="H298" i="3"/>
  <c r="G298" i="3"/>
  <c r="F298" i="3"/>
  <c r="B298" i="3"/>
  <c r="A298" i="3"/>
  <c r="Q357" i="3"/>
  <c r="P357" i="3"/>
  <c r="O357" i="3"/>
  <c r="N357" i="3"/>
  <c r="M357" i="3"/>
  <c r="L357" i="3"/>
  <c r="K357" i="3"/>
  <c r="J357" i="3"/>
  <c r="I357" i="3"/>
  <c r="H357" i="3"/>
  <c r="G357" i="3"/>
  <c r="F357" i="3"/>
  <c r="B357" i="3"/>
  <c r="A357" i="3"/>
  <c r="Q355" i="3"/>
  <c r="P355" i="3"/>
  <c r="O355" i="3"/>
  <c r="N355" i="3"/>
  <c r="M355" i="3"/>
  <c r="L355" i="3"/>
  <c r="K355" i="3"/>
  <c r="J355" i="3"/>
  <c r="I355" i="3"/>
  <c r="H355" i="3"/>
  <c r="G355" i="3"/>
  <c r="F355" i="3"/>
  <c r="B355" i="3"/>
  <c r="A355" i="3"/>
  <c r="A361" i="3"/>
  <c r="B361" i="3"/>
  <c r="E361" i="3" s="1"/>
  <c r="F361" i="3"/>
  <c r="G361" i="3"/>
  <c r="H361" i="3"/>
  <c r="I361" i="3"/>
  <c r="J361" i="3"/>
  <c r="K361" i="3"/>
  <c r="L361" i="3"/>
  <c r="M361" i="3"/>
  <c r="N361" i="3"/>
  <c r="O361" i="3"/>
  <c r="P361" i="3"/>
  <c r="Q361" i="3"/>
  <c r="R361" i="3"/>
  <c r="Q359" i="3"/>
  <c r="P359" i="3"/>
  <c r="O359" i="3"/>
  <c r="N359" i="3"/>
  <c r="M359" i="3"/>
  <c r="L359" i="3"/>
  <c r="K359" i="3"/>
  <c r="J359" i="3"/>
  <c r="I359" i="3"/>
  <c r="H359" i="3"/>
  <c r="G359" i="3"/>
  <c r="F359" i="3"/>
  <c r="B359" i="3"/>
  <c r="A359" i="3"/>
  <c r="Q363" i="3"/>
  <c r="P363" i="3"/>
  <c r="O363" i="3"/>
  <c r="N363" i="3"/>
  <c r="M363" i="3"/>
  <c r="L363" i="3"/>
  <c r="K363" i="3"/>
  <c r="J363" i="3"/>
  <c r="I363" i="3"/>
  <c r="H363" i="3"/>
  <c r="G363" i="3"/>
  <c r="F363" i="3"/>
  <c r="B363" i="3"/>
  <c r="E363" i="3" s="1"/>
  <c r="A363" i="3"/>
  <c r="R363" i="3"/>
  <c r="A367" i="3"/>
  <c r="B367" i="3"/>
  <c r="E367" i="3" s="1"/>
  <c r="F367" i="3"/>
  <c r="G367" i="3"/>
  <c r="H367" i="3"/>
  <c r="I367" i="3"/>
  <c r="J367" i="3"/>
  <c r="K367" i="3"/>
  <c r="L367" i="3"/>
  <c r="M367" i="3"/>
  <c r="N367" i="3"/>
  <c r="O367" i="3"/>
  <c r="P367" i="3"/>
  <c r="Q367" i="3"/>
  <c r="R367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B365" i="3"/>
  <c r="A365" i="3"/>
  <c r="A148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531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530" i="3"/>
  <c r="A399" i="3"/>
  <c r="A398" i="3"/>
  <c r="A397" i="3"/>
  <c r="A396" i="3"/>
  <c r="A395" i="3"/>
  <c r="A394" i="3"/>
  <c r="A393" i="3"/>
  <c r="A392" i="3"/>
  <c r="A389" i="3"/>
  <c r="A529" i="3"/>
  <c r="A528" i="3"/>
  <c r="A527" i="3"/>
  <c r="A388" i="3"/>
  <c r="A387" i="3"/>
  <c r="A386" i="3"/>
  <c r="A385" i="3"/>
  <c r="A384" i="3"/>
  <c r="A383" i="3"/>
  <c r="A382" i="3"/>
  <c r="A381" i="3"/>
  <c r="A380" i="3"/>
  <c r="A379" i="3"/>
  <c r="A378" i="3"/>
  <c r="A376" i="3"/>
  <c r="A532" i="3"/>
  <c r="A375" i="3"/>
  <c r="A374" i="3"/>
  <c r="A373" i="3"/>
  <c r="A372" i="3"/>
  <c r="A371" i="3"/>
  <c r="A370" i="3"/>
  <c r="A369" i="3"/>
  <c r="A368" i="3"/>
  <c r="A366" i="3"/>
  <c r="A364" i="3"/>
  <c r="A362" i="3"/>
  <c r="A360" i="3"/>
  <c r="A358" i="3"/>
  <c r="A356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526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517" i="3"/>
  <c r="A516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515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7" i="3"/>
  <c r="A236" i="3"/>
  <c r="A235" i="3"/>
  <c r="A234" i="3"/>
  <c r="A233" i="3"/>
  <c r="A232" i="3"/>
  <c r="A231" i="3"/>
  <c r="A230" i="3"/>
  <c r="A229" i="3"/>
  <c r="A514" i="3"/>
  <c r="A228" i="3"/>
  <c r="A227" i="3"/>
  <c r="A226" i="3"/>
  <c r="A513" i="3"/>
  <c r="A225" i="3"/>
  <c r="A512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511" i="3"/>
  <c r="A510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509" i="3"/>
  <c r="A176" i="3"/>
  <c r="A508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507" i="3"/>
  <c r="A506" i="3"/>
  <c r="A505" i="3"/>
  <c r="A504" i="3"/>
  <c r="A503" i="3"/>
  <c r="A525" i="3"/>
  <c r="A524" i="3"/>
  <c r="A523" i="3"/>
  <c r="A522" i="3"/>
  <c r="A521" i="3"/>
  <c r="A520" i="3"/>
  <c r="A519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502" i="3"/>
  <c r="A501" i="3"/>
  <c r="A500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499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4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497" i="3"/>
  <c r="A496" i="3"/>
  <c r="A495" i="3"/>
  <c r="A494" i="3"/>
  <c r="A493" i="3"/>
  <c r="A83" i="3"/>
  <c r="A82" i="3"/>
  <c r="A81" i="3"/>
  <c r="A80" i="3"/>
  <c r="A79" i="3"/>
  <c r="A78" i="3"/>
  <c r="A77" i="3"/>
  <c r="A492" i="3"/>
  <c r="A491" i="3"/>
  <c r="A490" i="3"/>
  <c r="A489" i="3"/>
  <c r="A488" i="3"/>
  <c r="A487" i="3"/>
  <c r="A486" i="3"/>
  <c r="A485" i="3"/>
  <c r="A484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531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530" i="3"/>
  <c r="B399" i="3"/>
  <c r="B398" i="3"/>
  <c r="B397" i="3"/>
  <c r="B396" i="3"/>
  <c r="B395" i="3"/>
  <c r="B394" i="3"/>
  <c r="B393" i="3"/>
  <c r="B392" i="3"/>
  <c r="B389" i="3"/>
  <c r="B529" i="3"/>
  <c r="B528" i="3"/>
  <c r="B527" i="3"/>
  <c r="B388" i="3"/>
  <c r="B387" i="3"/>
  <c r="B386" i="3"/>
  <c r="B385" i="3"/>
  <c r="B384" i="3"/>
  <c r="B383" i="3"/>
  <c r="B382" i="3"/>
  <c r="B381" i="3"/>
  <c r="B380" i="3"/>
  <c r="B379" i="3"/>
  <c r="B378" i="3"/>
  <c r="B376" i="3"/>
  <c r="B532" i="3"/>
  <c r="B375" i="3"/>
  <c r="B374" i="3"/>
  <c r="B373" i="3"/>
  <c r="B372" i="3"/>
  <c r="B371" i="3"/>
  <c r="B370" i="3"/>
  <c r="B369" i="3"/>
  <c r="B368" i="3"/>
  <c r="B366" i="3"/>
  <c r="B364" i="3"/>
  <c r="B362" i="3"/>
  <c r="B360" i="3"/>
  <c r="B358" i="3"/>
  <c r="B356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526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517" i="3"/>
  <c r="B516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515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7" i="3"/>
  <c r="B236" i="3"/>
  <c r="B235" i="3"/>
  <c r="B234" i="3"/>
  <c r="B233" i="3"/>
  <c r="B232" i="3"/>
  <c r="B231" i="3"/>
  <c r="B230" i="3"/>
  <c r="B229" i="3"/>
  <c r="B514" i="3"/>
  <c r="B228" i="3"/>
  <c r="B227" i="3"/>
  <c r="B226" i="3"/>
  <c r="B513" i="3"/>
  <c r="B225" i="3"/>
  <c r="B512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511" i="3"/>
  <c r="B510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509" i="3"/>
  <c r="B176" i="3"/>
  <c r="B508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507" i="3"/>
  <c r="B506" i="3"/>
  <c r="B505" i="3"/>
  <c r="B504" i="3"/>
  <c r="B503" i="3"/>
  <c r="B525" i="3"/>
  <c r="B524" i="3"/>
  <c r="B523" i="3"/>
  <c r="B522" i="3"/>
  <c r="B521" i="3"/>
  <c r="B520" i="3"/>
  <c r="B519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502" i="3"/>
  <c r="B501" i="3"/>
  <c r="B500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499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4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497" i="3"/>
  <c r="B496" i="3"/>
  <c r="B495" i="3"/>
  <c r="B494" i="3"/>
  <c r="B493" i="3"/>
  <c r="B83" i="3"/>
  <c r="B82" i="3"/>
  <c r="B81" i="3"/>
  <c r="B80" i="3"/>
  <c r="B79" i="3"/>
  <c r="B78" i="3"/>
  <c r="B77" i="3"/>
  <c r="B492" i="3"/>
  <c r="B491" i="3"/>
  <c r="B490" i="3"/>
  <c r="B489" i="3"/>
  <c r="B488" i="3"/>
  <c r="B487" i="3"/>
  <c r="B486" i="3"/>
  <c r="B485" i="3"/>
  <c r="B484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531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530" i="3"/>
  <c r="F399" i="3"/>
  <c r="F398" i="3"/>
  <c r="F397" i="3"/>
  <c r="F396" i="3"/>
  <c r="F395" i="3"/>
  <c r="F394" i="3"/>
  <c r="F393" i="3"/>
  <c r="F392" i="3"/>
  <c r="F389" i="3"/>
  <c r="F529" i="3"/>
  <c r="F528" i="3"/>
  <c r="F527" i="3"/>
  <c r="F388" i="3"/>
  <c r="F387" i="3"/>
  <c r="F386" i="3"/>
  <c r="F385" i="3"/>
  <c r="F384" i="3"/>
  <c r="F383" i="3"/>
  <c r="F382" i="3"/>
  <c r="F381" i="3"/>
  <c r="F380" i="3"/>
  <c r="F379" i="3"/>
  <c r="F378" i="3"/>
  <c r="F376" i="3"/>
  <c r="F532" i="3"/>
  <c r="F375" i="3"/>
  <c r="F374" i="3"/>
  <c r="F373" i="3"/>
  <c r="F372" i="3"/>
  <c r="F371" i="3"/>
  <c r="F370" i="3"/>
  <c r="F369" i="3"/>
  <c r="F368" i="3"/>
  <c r="F366" i="3"/>
  <c r="F364" i="3"/>
  <c r="F362" i="3"/>
  <c r="F360" i="3"/>
  <c r="F358" i="3"/>
  <c r="F356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526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517" i="3"/>
  <c r="F516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515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7" i="3"/>
  <c r="F236" i="3"/>
  <c r="F235" i="3"/>
  <c r="F234" i="3"/>
  <c r="F233" i="3"/>
  <c r="F232" i="3"/>
  <c r="F231" i="3"/>
  <c r="F230" i="3"/>
  <c r="F229" i="3"/>
  <c r="F514" i="3"/>
  <c r="F228" i="3"/>
  <c r="F227" i="3"/>
  <c r="F226" i="3"/>
  <c r="F513" i="3"/>
  <c r="F225" i="3"/>
  <c r="F512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511" i="3"/>
  <c r="F510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509" i="3"/>
  <c r="F176" i="3"/>
  <c r="F508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507" i="3"/>
  <c r="F506" i="3"/>
  <c r="F505" i="3"/>
  <c r="F504" i="3"/>
  <c r="F503" i="3"/>
  <c r="F525" i="3"/>
  <c r="F524" i="3"/>
  <c r="F523" i="3"/>
  <c r="F522" i="3"/>
  <c r="F521" i="3"/>
  <c r="F520" i="3"/>
  <c r="F519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502" i="3"/>
  <c r="F501" i="3"/>
  <c r="F500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499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4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497" i="3"/>
  <c r="F496" i="3"/>
  <c r="F495" i="3"/>
  <c r="F494" i="3"/>
  <c r="F493" i="3"/>
  <c r="F83" i="3"/>
  <c r="F82" i="3"/>
  <c r="F81" i="3"/>
  <c r="F80" i="3"/>
  <c r="F79" i="3"/>
  <c r="F78" i="3"/>
  <c r="F77" i="3"/>
  <c r="F492" i="3"/>
  <c r="F491" i="3"/>
  <c r="F490" i="3"/>
  <c r="F489" i="3"/>
  <c r="F488" i="3"/>
  <c r="F487" i="3"/>
  <c r="F486" i="3"/>
  <c r="F485" i="3"/>
  <c r="F484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531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530" i="3"/>
  <c r="G399" i="3"/>
  <c r="G398" i="3"/>
  <c r="G397" i="3"/>
  <c r="G396" i="3"/>
  <c r="G395" i="3"/>
  <c r="G394" i="3"/>
  <c r="G393" i="3"/>
  <c r="G392" i="3"/>
  <c r="G389" i="3"/>
  <c r="G529" i="3"/>
  <c r="G528" i="3"/>
  <c r="G527" i="3"/>
  <c r="G388" i="3"/>
  <c r="G387" i="3"/>
  <c r="G386" i="3"/>
  <c r="G385" i="3"/>
  <c r="G384" i="3"/>
  <c r="G383" i="3"/>
  <c r="G382" i="3"/>
  <c r="G381" i="3"/>
  <c r="G380" i="3"/>
  <c r="G379" i="3"/>
  <c r="G378" i="3"/>
  <c r="G376" i="3"/>
  <c r="G532" i="3"/>
  <c r="G375" i="3"/>
  <c r="G374" i="3"/>
  <c r="G373" i="3"/>
  <c r="G372" i="3"/>
  <c r="G371" i="3"/>
  <c r="G370" i="3"/>
  <c r="G369" i="3"/>
  <c r="G368" i="3"/>
  <c r="G366" i="3"/>
  <c r="G364" i="3"/>
  <c r="G362" i="3"/>
  <c r="G360" i="3"/>
  <c r="G358" i="3"/>
  <c r="G356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526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517" i="3"/>
  <c r="G516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515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7" i="3"/>
  <c r="G236" i="3"/>
  <c r="G235" i="3"/>
  <c r="G234" i="3"/>
  <c r="G233" i="3"/>
  <c r="G232" i="3"/>
  <c r="G231" i="3"/>
  <c r="G230" i="3"/>
  <c r="G229" i="3"/>
  <c r="G514" i="3"/>
  <c r="G228" i="3"/>
  <c r="G227" i="3"/>
  <c r="G226" i="3"/>
  <c r="G513" i="3"/>
  <c r="G225" i="3"/>
  <c r="G512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511" i="3"/>
  <c r="G510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509" i="3"/>
  <c r="G176" i="3"/>
  <c r="G508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507" i="3"/>
  <c r="G506" i="3"/>
  <c r="G505" i="3"/>
  <c r="G504" i="3"/>
  <c r="G503" i="3"/>
  <c r="G525" i="3"/>
  <c r="G524" i="3"/>
  <c r="G523" i="3"/>
  <c r="G522" i="3"/>
  <c r="G521" i="3"/>
  <c r="G520" i="3"/>
  <c r="G519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502" i="3"/>
  <c r="G501" i="3"/>
  <c r="G500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499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4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497" i="3"/>
  <c r="G496" i="3"/>
  <c r="G495" i="3"/>
  <c r="G494" i="3"/>
  <c r="G493" i="3"/>
  <c r="G83" i="3"/>
  <c r="G82" i="3"/>
  <c r="G81" i="3"/>
  <c r="G80" i="3"/>
  <c r="G79" i="3"/>
  <c r="G78" i="3"/>
  <c r="G77" i="3"/>
  <c r="G492" i="3"/>
  <c r="G491" i="3"/>
  <c r="G490" i="3"/>
  <c r="G489" i="3"/>
  <c r="G488" i="3"/>
  <c r="G487" i="3"/>
  <c r="G486" i="3"/>
  <c r="G485" i="3"/>
  <c r="G484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531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530" i="3"/>
  <c r="H399" i="3"/>
  <c r="H398" i="3"/>
  <c r="H397" i="3"/>
  <c r="H396" i="3"/>
  <c r="H395" i="3"/>
  <c r="H394" i="3"/>
  <c r="H393" i="3"/>
  <c r="H392" i="3"/>
  <c r="H389" i="3"/>
  <c r="H529" i="3"/>
  <c r="H528" i="3"/>
  <c r="H527" i="3"/>
  <c r="H388" i="3"/>
  <c r="H387" i="3"/>
  <c r="H386" i="3"/>
  <c r="H385" i="3"/>
  <c r="H384" i="3"/>
  <c r="H383" i="3"/>
  <c r="H382" i="3"/>
  <c r="H381" i="3"/>
  <c r="H380" i="3"/>
  <c r="H379" i="3"/>
  <c r="H378" i="3"/>
  <c r="H376" i="3"/>
  <c r="H532" i="3"/>
  <c r="H375" i="3"/>
  <c r="H374" i="3"/>
  <c r="H373" i="3"/>
  <c r="H372" i="3"/>
  <c r="H371" i="3"/>
  <c r="H370" i="3"/>
  <c r="H369" i="3"/>
  <c r="H368" i="3"/>
  <c r="H366" i="3"/>
  <c r="H364" i="3"/>
  <c r="H362" i="3"/>
  <c r="H360" i="3"/>
  <c r="H358" i="3"/>
  <c r="H356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526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517" i="3"/>
  <c r="H516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515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7" i="3"/>
  <c r="H236" i="3"/>
  <c r="H235" i="3"/>
  <c r="H234" i="3"/>
  <c r="H233" i="3"/>
  <c r="H232" i="3"/>
  <c r="H231" i="3"/>
  <c r="H230" i="3"/>
  <c r="H229" i="3"/>
  <c r="H514" i="3"/>
  <c r="H228" i="3"/>
  <c r="H227" i="3"/>
  <c r="H226" i="3"/>
  <c r="H513" i="3"/>
  <c r="H225" i="3"/>
  <c r="H512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511" i="3"/>
  <c r="H510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509" i="3"/>
  <c r="H176" i="3"/>
  <c r="H508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507" i="3"/>
  <c r="H506" i="3"/>
  <c r="H505" i="3"/>
  <c r="H504" i="3"/>
  <c r="H503" i="3"/>
  <c r="H525" i="3"/>
  <c r="H524" i="3"/>
  <c r="H523" i="3"/>
  <c r="H522" i="3"/>
  <c r="H521" i="3"/>
  <c r="H520" i="3"/>
  <c r="H519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502" i="3"/>
  <c r="H501" i="3"/>
  <c r="H500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499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4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497" i="3"/>
  <c r="H496" i="3"/>
  <c r="H495" i="3"/>
  <c r="H494" i="3"/>
  <c r="H493" i="3"/>
  <c r="H83" i="3"/>
  <c r="H82" i="3"/>
  <c r="H81" i="3"/>
  <c r="H80" i="3"/>
  <c r="H79" i="3"/>
  <c r="H78" i="3"/>
  <c r="H77" i="3"/>
  <c r="H492" i="3"/>
  <c r="H491" i="3"/>
  <c r="H490" i="3"/>
  <c r="H489" i="3"/>
  <c r="H488" i="3"/>
  <c r="H487" i="3"/>
  <c r="H486" i="3"/>
  <c r="H485" i="3"/>
  <c r="H484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I482" i="3"/>
  <c r="I481" i="3"/>
  <c r="I480" i="3"/>
  <c r="I479" i="3"/>
  <c r="I478" i="3"/>
  <c r="I477" i="3"/>
  <c r="I476" i="3"/>
  <c r="I475" i="3"/>
  <c r="I474" i="3"/>
  <c r="I473" i="3"/>
  <c r="I472" i="3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I453" i="3"/>
  <c r="I452" i="3"/>
  <c r="I451" i="3"/>
  <c r="I450" i="3"/>
  <c r="I531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530" i="3"/>
  <c r="I399" i="3"/>
  <c r="I398" i="3"/>
  <c r="I397" i="3"/>
  <c r="I396" i="3"/>
  <c r="I395" i="3"/>
  <c r="I394" i="3"/>
  <c r="I393" i="3"/>
  <c r="I392" i="3"/>
  <c r="I389" i="3"/>
  <c r="I529" i="3"/>
  <c r="I528" i="3"/>
  <c r="I527" i="3"/>
  <c r="I388" i="3"/>
  <c r="I387" i="3"/>
  <c r="I386" i="3"/>
  <c r="I385" i="3"/>
  <c r="I384" i="3"/>
  <c r="I383" i="3"/>
  <c r="I382" i="3"/>
  <c r="I381" i="3"/>
  <c r="I380" i="3"/>
  <c r="I379" i="3"/>
  <c r="I378" i="3"/>
  <c r="I376" i="3"/>
  <c r="I532" i="3"/>
  <c r="I375" i="3"/>
  <c r="I374" i="3"/>
  <c r="I373" i="3"/>
  <c r="I372" i="3"/>
  <c r="I371" i="3"/>
  <c r="I370" i="3"/>
  <c r="I369" i="3"/>
  <c r="I368" i="3"/>
  <c r="I366" i="3"/>
  <c r="I364" i="3"/>
  <c r="I362" i="3"/>
  <c r="I360" i="3"/>
  <c r="I358" i="3"/>
  <c r="I356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526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517" i="3"/>
  <c r="I516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515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7" i="3"/>
  <c r="I236" i="3"/>
  <c r="I235" i="3"/>
  <c r="I234" i="3"/>
  <c r="I233" i="3"/>
  <c r="I232" i="3"/>
  <c r="I231" i="3"/>
  <c r="I230" i="3"/>
  <c r="I229" i="3"/>
  <c r="I514" i="3"/>
  <c r="I228" i="3"/>
  <c r="I227" i="3"/>
  <c r="I226" i="3"/>
  <c r="I513" i="3"/>
  <c r="I225" i="3"/>
  <c r="I512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511" i="3"/>
  <c r="I510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509" i="3"/>
  <c r="I176" i="3"/>
  <c r="I508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507" i="3"/>
  <c r="I506" i="3"/>
  <c r="I505" i="3"/>
  <c r="I504" i="3"/>
  <c r="I503" i="3"/>
  <c r="I525" i="3"/>
  <c r="I524" i="3"/>
  <c r="I523" i="3"/>
  <c r="I522" i="3"/>
  <c r="I521" i="3"/>
  <c r="I520" i="3"/>
  <c r="I519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502" i="3"/>
  <c r="I501" i="3"/>
  <c r="I500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499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4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497" i="3"/>
  <c r="I496" i="3"/>
  <c r="I495" i="3"/>
  <c r="I494" i="3"/>
  <c r="I493" i="3"/>
  <c r="I83" i="3"/>
  <c r="I82" i="3"/>
  <c r="I81" i="3"/>
  <c r="I80" i="3"/>
  <c r="I79" i="3"/>
  <c r="I78" i="3"/>
  <c r="I77" i="3"/>
  <c r="I492" i="3"/>
  <c r="I491" i="3"/>
  <c r="I490" i="3"/>
  <c r="I489" i="3"/>
  <c r="I488" i="3"/>
  <c r="I487" i="3"/>
  <c r="I486" i="3"/>
  <c r="I485" i="3"/>
  <c r="I484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531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3" i="3"/>
  <c r="J402" i="3"/>
  <c r="J401" i="3"/>
  <c r="J400" i="3"/>
  <c r="J530" i="3"/>
  <c r="J399" i="3"/>
  <c r="J398" i="3"/>
  <c r="J397" i="3"/>
  <c r="J396" i="3"/>
  <c r="J395" i="3"/>
  <c r="J394" i="3"/>
  <c r="J393" i="3"/>
  <c r="J392" i="3"/>
  <c r="J389" i="3"/>
  <c r="J529" i="3"/>
  <c r="J528" i="3"/>
  <c r="J527" i="3"/>
  <c r="J388" i="3"/>
  <c r="J387" i="3"/>
  <c r="J386" i="3"/>
  <c r="J385" i="3"/>
  <c r="J384" i="3"/>
  <c r="J383" i="3"/>
  <c r="J382" i="3"/>
  <c r="J381" i="3"/>
  <c r="J380" i="3"/>
  <c r="J379" i="3"/>
  <c r="J378" i="3"/>
  <c r="J376" i="3"/>
  <c r="J532" i="3"/>
  <c r="J375" i="3"/>
  <c r="J374" i="3"/>
  <c r="J373" i="3"/>
  <c r="J372" i="3"/>
  <c r="J371" i="3"/>
  <c r="J370" i="3"/>
  <c r="J369" i="3"/>
  <c r="J368" i="3"/>
  <c r="J366" i="3"/>
  <c r="J364" i="3"/>
  <c r="J362" i="3"/>
  <c r="J360" i="3"/>
  <c r="J358" i="3"/>
  <c r="J356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526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517" i="3"/>
  <c r="J516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515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7" i="3"/>
  <c r="J236" i="3"/>
  <c r="J235" i="3"/>
  <c r="J234" i="3"/>
  <c r="J233" i="3"/>
  <c r="J232" i="3"/>
  <c r="J231" i="3"/>
  <c r="J230" i="3"/>
  <c r="J229" i="3"/>
  <c r="J514" i="3"/>
  <c r="J228" i="3"/>
  <c r="J227" i="3"/>
  <c r="J226" i="3"/>
  <c r="J513" i="3"/>
  <c r="J225" i="3"/>
  <c r="J512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511" i="3"/>
  <c r="J510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509" i="3"/>
  <c r="J176" i="3"/>
  <c r="J508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507" i="3"/>
  <c r="J506" i="3"/>
  <c r="J505" i="3"/>
  <c r="J504" i="3"/>
  <c r="J503" i="3"/>
  <c r="J525" i="3"/>
  <c r="J524" i="3"/>
  <c r="J523" i="3"/>
  <c r="J522" i="3"/>
  <c r="J521" i="3"/>
  <c r="J520" i="3"/>
  <c r="J519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502" i="3"/>
  <c r="J501" i="3"/>
  <c r="J500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499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4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497" i="3"/>
  <c r="J496" i="3"/>
  <c r="J495" i="3"/>
  <c r="J494" i="3"/>
  <c r="J493" i="3"/>
  <c r="J83" i="3"/>
  <c r="J82" i="3"/>
  <c r="J81" i="3"/>
  <c r="J80" i="3"/>
  <c r="J79" i="3"/>
  <c r="J78" i="3"/>
  <c r="J77" i="3"/>
  <c r="J492" i="3"/>
  <c r="J491" i="3"/>
  <c r="J490" i="3"/>
  <c r="J489" i="3"/>
  <c r="J488" i="3"/>
  <c r="J487" i="3"/>
  <c r="J486" i="3"/>
  <c r="J485" i="3"/>
  <c r="J484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K482" i="3"/>
  <c r="K481" i="3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K464" i="3"/>
  <c r="K463" i="3"/>
  <c r="K462" i="3"/>
  <c r="K461" i="3"/>
  <c r="K460" i="3"/>
  <c r="K459" i="3"/>
  <c r="K458" i="3"/>
  <c r="K457" i="3"/>
  <c r="K456" i="3"/>
  <c r="K455" i="3"/>
  <c r="K454" i="3"/>
  <c r="K453" i="3"/>
  <c r="K452" i="3"/>
  <c r="K451" i="3"/>
  <c r="K450" i="3"/>
  <c r="K531" i="3"/>
  <c r="K449" i="3"/>
  <c r="K448" i="3"/>
  <c r="K447" i="3"/>
  <c r="K446" i="3"/>
  <c r="K445" i="3"/>
  <c r="K444" i="3"/>
  <c r="K443" i="3"/>
  <c r="K442" i="3"/>
  <c r="K441" i="3"/>
  <c r="K440" i="3"/>
  <c r="K439" i="3"/>
  <c r="K438" i="3"/>
  <c r="K437" i="3"/>
  <c r="K436" i="3"/>
  <c r="K435" i="3"/>
  <c r="K434" i="3"/>
  <c r="K433" i="3"/>
  <c r="K432" i="3"/>
  <c r="K431" i="3"/>
  <c r="K430" i="3"/>
  <c r="K429" i="3"/>
  <c r="K428" i="3"/>
  <c r="K427" i="3"/>
  <c r="K426" i="3"/>
  <c r="K425" i="3"/>
  <c r="K424" i="3"/>
  <c r="K423" i="3"/>
  <c r="K422" i="3"/>
  <c r="K421" i="3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530" i="3"/>
  <c r="K399" i="3"/>
  <c r="K398" i="3"/>
  <c r="K397" i="3"/>
  <c r="K396" i="3"/>
  <c r="K395" i="3"/>
  <c r="K394" i="3"/>
  <c r="K393" i="3"/>
  <c r="K392" i="3"/>
  <c r="K389" i="3"/>
  <c r="K529" i="3"/>
  <c r="K528" i="3"/>
  <c r="K527" i="3"/>
  <c r="K388" i="3"/>
  <c r="K387" i="3"/>
  <c r="K386" i="3"/>
  <c r="K385" i="3"/>
  <c r="K384" i="3"/>
  <c r="K383" i="3"/>
  <c r="K382" i="3"/>
  <c r="K381" i="3"/>
  <c r="K380" i="3"/>
  <c r="K379" i="3"/>
  <c r="K378" i="3"/>
  <c r="K376" i="3"/>
  <c r="K532" i="3"/>
  <c r="K375" i="3"/>
  <c r="K374" i="3"/>
  <c r="K373" i="3"/>
  <c r="K372" i="3"/>
  <c r="K371" i="3"/>
  <c r="K370" i="3"/>
  <c r="K369" i="3"/>
  <c r="K368" i="3"/>
  <c r="K366" i="3"/>
  <c r="K364" i="3"/>
  <c r="K362" i="3"/>
  <c r="K360" i="3"/>
  <c r="K358" i="3"/>
  <c r="K356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526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517" i="3"/>
  <c r="K516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515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7" i="3"/>
  <c r="K236" i="3"/>
  <c r="K235" i="3"/>
  <c r="K234" i="3"/>
  <c r="K233" i="3"/>
  <c r="K232" i="3"/>
  <c r="K231" i="3"/>
  <c r="K230" i="3"/>
  <c r="K229" i="3"/>
  <c r="K514" i="3"/>
  <c r="K228" i="3"/>
  <c r="K227" i="3"/>
  <c r="K226" i="3"/>
  <c r="K513" i="3"/>
  <c r="K225" i="3"/>
  <c r="K512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511" i="3"/>
  <c r="K510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509" i="3"/>
  <c r="K176" i="3"/>
  <c r="K508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507" i="3"/>
  <c r="K506" i="3"/>
  <c r="K505" i="3"/>
  <c r="K504" i="3"/>
  <c r="K503" i="3"/>
  <c r="K525" i="3"/>
  <c r="K524" i="3"/>
  <c r="K523" i="3"/>
  <c r="K522" i="3"/>
  <c r="K521" i="3"/>
  <c r="K520" i="3"/>
  <c r="K519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502" i="3"/>
  <c r="K501" i="3"/>
  <c r="K500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499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4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497" i="3"/>
  <c r="K496" i="3"/>
  <c r="K495" i="3"/>
  <c r="K494" i="3"/>
  <c r="K493" i="3"/>
  <c r="K83" i="3"/>
  <c r="K82" i="3"/>
  <c r="K81" i="3"/>
  <c r="K80" i="3"/>
  <c r="K79" i="3"/>
  <c r="K78" i="3"/>
  <c r="K77" i="3"/>
  <c r="K492" i="3"/>
  <c r="K491" i="3"/>
  <c r="K490" i="3"/>
  <c r="K489" i="3"/>
  <c r="K488" i="3"/>
  <c r="K487" i="3"/>
  <c r="K486" i="3"/>
  <c r="K485" i="3"/>
  <c r="K484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531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530" i="3"/>
  <c r="L399" i="3"/>
  <c r="L398" i="3"/>
  <c r="L397" i="3"/>
  <c r="L396" i="3"/>
  <c r="L395" i="3"/>
  <c r="L394" i="3"/>
  <c r="L393" i="3"/>
  <c r="L392" i="3"/>
  <c r="L389" i="3"/>
  <c r="L529" i="3"/>
  <c r="L528" i="3"/>
  <c r="L527" i="3"/>
  <c r="L388" i="3"/>
  <c r="L387" i="3"/>
  <c r="L386" i="3"/>
  <c r="L385" i="3"/>
  <c r="L384" i="3"/>
  <c r="L383" i="3"/>
  <c r="L382" i="3"/>
  <c r="L381" i="3"/>
  <c r="L380" i="3"/>
  <c r="L379" i="3"/>
  <c r="L378" i="3"/>
  <c r="L376" i="3"/>
  <c r="L532" i="3"/>
  <c r="L375" i="3"/>
  <c r="L374" i="3"/>
  <c r="L373" i="3"/>
  <c r="L372" i="3"/>
  <c r="L371" i="3"/>
  <c r="L370" i="3"/>
  <c r="L369" i="3"/>
  <c r="L368" i="3"/>
  <c r="L366" i="3"/>
  <c r="L364" i="3"/>
  <c r="L362" i="3"/>
  <c r="L360" i="3"/>
  <c r="L358" i="3"/>
  <c r="L356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526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517" i="3"/>
  <c r="L516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515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7" i="3"/>
  <c r="L236" i="3"/>
  <c r="L235" i="3"/>
  <c r="L234" i="3"/>
  <c r="L233" i="3"/>
  <c r="L232" i="3"/>
  <c r="L231" i="3"/>
  <c r="L230" i="3"/>
  <c r="L229" i="3"/>
  <c r="L514" i="3"/>
  <c r="L228" i="3"/>
  <c r="L227" i="3"/>
  <c r="L226" i="3"/>
  <c r="L513" i="3"/>
  <c r="L225" i="3"/>
  <c r="L512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511" i="3"/>
  <c r="L510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509" i="3"/>
  <c r="L176" i="3"/>
  <c r="L508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507" i="3"/>
  <c r="L506" i="3"/>
  <c r="L505" i="3"/>
  <c r="L504" i="3"/>
  <c r="L503" i="3"/>
  <c r="L525" i="3"/>
  <c r="L524" i="3"/>
  <c r="L523" i="3"/>
  <c r="L522" i="3"/>
  <c r="L521" i="3"/>
  <c r="L520" i="3"/>
  <c r="L519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502" i="3"/>
  <c r="L501" i="3"/>
  <c r="L500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499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4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497" i="3"/>
  <c r="L496" i="3"/>
  <c r="L495" i="3"/>
  <c r="L494" i="3"/>
  <c r="L493" i="3"/>
  <c r="L83" i="3"/>
  <c r="L82" i="3"/>
  <c r="L81" i="3"/>
  <c r="L80" i="3"/>
  <c r="L79" i="3"/>
  <c r="L78" i="3"/>
  <c r="L77" i="3"/>
  <c r="L492" i="3"/>
  <c r="L491" i="3"/>
  <c r="L490" i="3"/>
  <c r="L489" i="3"/>
  <c r="L488" i="3"/>
  <c r="L487" i="3"/>
  <c r="L486" i="3"/>
  <c r="L485" i="3"/>
  <c r="L484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51" i="3"/>
  <c r="M450" i="3"/>
  <c r="M531" i="3"/>
  <c r="M449" i="3"/>
  <c r="M448" i="3"/>
  <c r="M447" i="3"/>
  <c r="M446" i="3"/>
  <c r="M445" i="3"/>
  <c r="M444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530" i="3"/>
  <c r="M399" i="3"/>
  <c r="M398" i="3"/>
  <c r="M397" i="3"/>
  <c r="M396" i="3"/>
  <c r="M395" i="3"/>
  <c r="M394" i="3"/>
  <c r="M393" i="3"/>
  <c r="M392" i="3"/>
  <c r="M389" i="3"/>
  <c r="M529" i="3"/>
  <c r="M528" i="3"/>
  <c r="M527" i="3"/>
  <c r="M388" i="3"/>
  <c r="M387" i="3"/>
  <c r="M386" i="3"/>
  <c r="M385" i="3"/>
  <c r="M384" i="3"/>
  <c r="M383" i="3"/>
  <c r="M382" i="3"/>
  <c r="M381" i="3"/>
  <c r="M380" i="3"/>
  <c r="M379" i="3"/>
  <c r="M378" i="3"/>
  <c r="M376" i="3"/>
  <c r="M532" i="3"/>
  <c r="M375" i="3"/>
  <c r="M374" i="3"/>
  <c r="M373" i="3"/>
  <c r="M372" i="3"/>
  <c r="M371" i="3"/>
  <c r="M370" i="3"/>
  <c r="M369" i="3"/>
  <c r="M368" i="3"/>
  <c r="M366" i="3"/>
  <c r="M364" i="3"/>
  <c r="M362" i="3"/>
  <c r="M360" i="3"/>
  <c r="M358" i="3"/>
  <c r="M356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526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517" i="3"/>
  <c r="M516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515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7" i="3"/>
  <c r="M236" i="3"/>
  <c r="M235" i="3"/>
  <c r="M234" i="3"/>
  <c r="M233" i="3"/>
  <c r="M232" i="3"/>
  <c r="M231" i="3"/>
  <c r="M230" i="3"/>
  <c r="M229" i="3"/>
  <c r="M514" i="3"/>
  <c r="M228" i="3"/>
  <c r="M227" i="3"/>
  <c r="M226" i="3"/>
  <c r="M513" i="3"/>
  <c r="M225" i="3"/>
  <c r="M512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511" i="3"/>
  <c r="M510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509" i="3"/>
  <c r="M176" i="3"/>
  <c r="M508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507" i="3"/>
  <c r="M506" i="3"/>
  <c r="M505" i="3"/>
  <c r="M504" i="3"/>
  <c r="M503" i="3"/>
  <c r="M525" i="3"/>
  <c r="M524" i="3"/>
  <c r="M523" i="3"/>
  <c r="M522" i="3"/>
  <c r="M521" i="3"/>
  <c r="M520" i="3"/>
  <c r="M519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502" i="3"/>
  <c r="M501" i="3"/>
  <c r="M500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499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4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497" i="3"/>
  <c r="M496" i="3"/>
  <c r="M495" i="3"/>
  <c r="M494" i="3"/>
  <c r="M493" i="3"/>
  <c r="M83" i="3"/>
  <c r="M82" i="3"/>
  <c r="M81" i="3"/>
  <c r="M80" i="3"/>
  <c r="M79" i="3"/>
  <c r="M78" i="3"/>
  <c r="M77" i="3"/>
  <c r="M492" i="3"/>
  <c r="M491" i="3"/>
  <c r="M490" i="3"/>
  <c r="M489" i="3"/>
  <c r="M488" i="3"/>
  <c r="M487" i="3"/>
  <c r="M486" i="3"/>
  <c r="M485" i="3"/>
  <c r="M484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531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530" i="3"/>
  <c r="N399" i="3"/>
  <c r="N398" i="3"/>
  <c r="N397" i="3"/>
  <c r="N396" i="3"/>
  <c r="N395" i="3"/>
  <c r="N394" i="3"/>
  <c r="N393" i="3"/>
  <c r="N392" i="3"/>
  <c r="N389" i="3"/>
  <c r="N529" i="3"/>
  <c r="N528" i="3"/>
  <c r="N527" i="3"/>
  <c r="N388" i="3"/>
  <c r="N387" i="3"/>
  <c r="N386" i="3"/>
  <c r="N385" i="3"/>
  <c r="N384" i="3"/>
  <c r="N383" i="3"/>
  <c r="N382" i="3"/>
  <c r="N381" i="3"/>
  <c r="N380" i="3"/>
  <c r="N379" i="3"/>
  <c r="N378" i="3"/>
  <c r="N376" i="3"/>
  <c r="N532" i="3"/>
  <c r="N375" i="3"/>
  <c r="N374" i="3"/>
  <c r="N373" i="3"/>
  <c r="N372" i="3"/>
  <c r="N371" i="3"/>
  <c r="N370" i="3"/>
  <c r="N369" i="3"/>
  <c r="N368" i="3"/>
  <c r="N366" i="3"/>
  <c r="N364" i="3"/>
  <c r="N362" i="3"/>
  <c r="N360" i="3"/>
  <c r="N358" i="3"/>
  <c r="N356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526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517" i="3"/>
  <c r="N516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515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7" i="3"/>
  <c r="N236" i="3"/>
  <c r="N235" i="3"/>
  <c r="N234" i="3"/>
  <c r="N233" i="3"/>
  <c r="N232" i="3"/>
  <c r="N231" i="3"/>
  <c r="N230" i="3"/>
  <c r="N229" i="3"/>
  <c r="N514" i="3"/>
  <c r="N228" i="3"/>
  <c r="N227" i="3"/>
  <c r="N226" i="3"/>
  <c r="N513" i="3"/>
  <c r="N225" i="3"/>
  <c r="N512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511" i="3"/>
  <c r="N510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509" i="3"/>
  <c r="N176" i="3"/>
  <c r="N508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507" i="3"/>
  <c r="N506" i="3"/>
  <c r="N505" i="3"/>
  <c r="N504" i="3"/>
  <c r="N503" i="3"/>
  <c r="N525" i="3"/>
  <c r="N524" i="3"/>
  <c r="N523" i="3"/>
  <c r="N522" i="3"/>
  <c r="N521" i="3"/>
  <c r="N520" i="3"/>
  <c r="N519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502" i="3"/>
  <c r="N501" i="3"/>
  <c r="N500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499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4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497" i="3"/>
  <c r="N496" i="3"/>
  <c r="N495" i="3"/>
  <c r="N494" i="3"/>
  <c r="N493" i="3"/>
  <c r="N83" i="3"/>
  <c r="N82" i="3"/>
  <c r="N81" i="3"/>
  <c r="N80" i="3"/>
  <c r="N79" i="3"/>
  <c r="N78" i="3"/>
  <c r="N77" i="3"/>
  <c r="N492" i="3"/>
  <c r="N491" i="3"/>
  <c r="N490" i="3"/>
  <c r="N489" i="3"/>
  <c r="N488" i="3"/>
  <c r="N487" i="3"/>
  <c r="N486" i="3"/>
  <c r="N485" i="3"/>
  <c r="N484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531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530" i="3"/>
  <c r="O399" i="3"/>
  <c r="O398" i="3"/>
  <c r="O397" i="3"/>
  <c r="O396" i="3"/>
  <c r="O395" i="3"/>
  <c r="O394" i="3"/>
  <c r="O393" i="3"/>
  <c r="O392" i="3"/>
  <c r="O389" i="3"/>
  <c r="O529" i="3"/>
  <c r="O528" i="3"/>
  <c r="O527" i="3"/>
  <c r="O388" i="3"/>
  <c r="O387" i="3"/>
  <c r="O386" i="3"/>
  <c r="O385" i="3"/>
  <c r="O384" i="3"/>
  <c r="O383" i="3"/>
  <c r="O382" i="3"/>
  <c r="O381" i="3"/>
  <c r="O380" i="3"/>
  <c r="O379" i="3"/>
  <c r="O378" i="3"/>
  <c r="O376" i="3"/>
  <c r="O532" i="3"/>
  <c r="O375" i="3"/>
  <c r="O374" i="3"/>
  <c r="O373" i="3"/>
  <c r="O372" i="3"/>
  <c r="O371" i="3"/>
  <c r="O370" i="3"/>
  <c r="O369" i="3"/>
  <c r="O368" i="3"/>
  <c r="O366" i="3"/>
  <c r="O364" i="3"/>
  <c r="O362" i="3"/>
  <c r="O360" i="3"/>
  <c r="O358" i="3"/>
  <c r="O356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526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517" i="3"/>
  <c r="O516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515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7" i="3"/>
  <c r="O236" i="3"/>
  <c r="O235" i="3"/>
  <c r="O234" i="3"/>
  <c r="O233" i="3"/>
  <c r="O232" i="3"/>
  <c r="O231" i="3"/>
  <c r="O230" i="3"/>
  <c r="O229" i="3"/>
  <c r="O514" i="3"/>
  <c r="O228" i="3"/>
  <c r="O227" i="3"/>
  <c r="O226" i="3"/>
  <c r="O513" i="3"/>
  <c r="O225" i="3"/>
  <c r="O512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511" i="3"/>
  <c r="O510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509" i="3"/>
  <c r="O176" i="3"/>
  <c r="O508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507" i="3"/>
  <c r="O506" i="3"/>
  <c r="O505" i="3"/>
  <c r="O504" i="3"/>
  <c r="O503" i="3"/>
  <c r="O525" i="3"/>
  <c r="O524" i="3"/>
  <c r="O523" i="3"/>
  <c r="O522" i="3"/>
  <c r="O521" i="3"/>
  <c r="O520" i="3"/>
  <c r="O519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502" i="3"/>
  <c r="O501" i="3"/>
  <c r="O500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499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4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497" i="3"/>
  <c r="O496" i="3"/>
  <c r="O495" i="3"/>
  <c r="O494" i="3"/>
  <c r="O493" i="3"/>
  <c r="O83" i="3"/>
  <c r="O82" i="3"/>
  <c r="O81" i="3"/>
  <c r="O80" i="3"/>
  <c r="O79" i="3"/>
  <c r="O78" i="3"/>
  <c r="O77" i="3"/>
  <c r="O492" i="3"/>
  <c r="O491" i="3"/>
  <c r="O490" i="3"/>
  <c r="O489" i="3"/>
  <c r="O488" i="3"/>
  <c r="O487" i="3"/>
  <c r="O486" i="3"/>
  <c r="O485" i="3"/>
  <c r="O484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531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530" i="3"/>
  <c r="P399" i="3"/>
  <c r="P398" i="3"/>
  <c r="P397" i="3"/>
  <c r="P396" i="3"/>
  <c r="P395" i="3"/>
  <c r="P394" i="3"/>
  <c r="P393" i="3"/>
  <c r="P392" i="3"/>
  <c r="P389" i="3"/>
  <c r="P529" i="3"/>
  <c r="P528" i="3"/>
  <c r="P527" i="3"/>
  <c r="P388" i="3"/>
  <c r="P387" i="3"/>
  <c r="P386" i="3"/>
  <c r="P385" i="3"/>
  <c r="P384" i="3"/>
  <c r="P383" i="3"/>
  <c r="P382" i="3"/>
  <c r="P381" i="3"/>
  <c r="P380" i="3"/>
  <c r="P379" i="3"/>
  <c r="P378" i="3"/>
  <c r="P376" i="3"/>
  <c r="P532" i="3"/>
  <c r="P375" i="3"/>
  <c r="P374" i="3"/>
  <c r="P373" i="3"/>
  <c r="P372" i="3"/>
  <c r="P371" i="3"/>
  <c r="P370" i="3"/>
  <c r="P369" i="3"/>
  <c r="P368" i="3"/>
  <c r="P366" i="3"/>
  <c r="P364" i="3"/>
  <c r="P362" i="3"/>
  <c r="P360" i="3"/>
  <c r="P358" i="3"/>
  <c r="P356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526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517" i="3"/>
  <c r="P516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515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7" i="3"/>
  <c r="P236" i="3"/>
  <c r="P235" i="3"/>
  <c r="P234" i="3"/>
  <c r="P233" i="3"/>
  <c r="P232" i="3"/>
  <c r="P231" i="3"/>
  <c r="P230" i="3"/>
  <c r="P229" i="3"/>
  <c r="P514" i="3"/>
  <c r="P228" i="3"/>
  <c r="P227" i="3"/>
  <c r="P226" i="3"/>
  <c r="P513" i="3"/>
  <c r="P225" i="3"/>
  <c r="P512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511" i="3"/>
  <c r="P510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509" i="3"/>
  <c r="P176" i="3"/>
  <c r="P508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507" i="3"/>
  <c r="P506" i="3"/>
  <c r="P505" i="3"/>
  <c r="P504" i="3"/>
  <c r="P503" i="3"/>
  <c r="P525" i="3"/>
  <c r="P524" i="3"/>
  <c r="P523" i="3"/>
  <c r="P522" i="3"/>
  <c r="P521" i="3"/>
  <c r="P520" i="3"/>
  <c r="P519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502" i="3"/>
  <c r="P501" i="3"/>
  <c r="P500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499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4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497" i="3"/>
  <c r="P496" i="3"/>
  <c r="P495" i="3"/>
  <c r="P494" i="3"/>
  <c r="P493" i="3"/>
  <c r="P83" i="3"/>
  <c r="P82" i="3"/>
  <c r="P81" i="3"/>
  <c r="P80" i="3"/>
  <c r="P79" i="3"/>
  <c r="P78" i="3"/>
  <c r="P77" i="3"/>
  <c r="P492" i="3"/>
  <c r="P491" i="3"/>
  <c r="P490" i="3"/>
  <c r="P489" i="3"/>
  <c r="P488" i="3"/>
  <c r="P487" i="3"/>
  <c r="P486" i="3"/>
  <c r="P485" i="3"/>
  <c r="P484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Q482" i="3"/>
  <c r="Q481" i="3"/>
  <c r="Q480" i="3"/>
  <c r="Q479" i="3"/>
  <c r="Q478" i="3"/>
  <c r="Q477" i="3"/>
  <c r="Q476" i="3"/>
  <c r="Q475" i="3"/>
  <c r="Q474" i="3"/>
  <c r="Q473" i="3"/>
  <c r="Q472" i="3"/>
  <c r="Q471" i="3"/>
  <c r="Q470" i="3"/>
  <c r="Q469" i="3"/>
  <c r="Q468" i="3"/>
  <c r="Q467" i="3"/>
  <c r="Q466" i="3"/>
  <c r="Q465" i="3"/>
  <c r="Q464" i="3"/>
  <c r="Q463" i="3"/>
  <c r="Q462" i="3"/>
  <c r="Q461" i="3"/>
  <c r="Q460" i="3"/>
  <c r="Q459" i="3"/>
  <c r="Q458" i="3"/>
  <c r="Q457" i="3"/>
  <c r="Q456" i="3"/>
  <c r="Q455" i="3"/>
  <c r="Q454" i="3"/>
  <c r="Q453" i="3"/>
  <c r="Q452" i="3"/>
  <c r="Q451" i="3"/>
  <c r="Q450" i="3"/>
  <c r="Q531" i="3"/>
  <c r="Q449" i="3"/>
  <c r="Q448" i="3"/>
  <c r="Q447" i="3"/>
  <c r="Q446" i="3"/>
  <c r="Q445" i="3"/>
  <c r="Q444" i="3"/>
  <c r="Q443" i="3"/>
  <c r="Q442" i="3"/>
  <c r="Q441" i="3"/>
  <c r="Q440" i="3"/>
  <c r="Q439" i="3"/>
  <c r="Q438" i="3"/>
  <c r="Q437" i="3"/>
  <c r="Q436" i="3"/>
  <c r="Q435" i="3"/>
  <c r="Q434" i="3"/>
  <c r="Q433" i="3"/>
  <c r="Q432" i="3"/>
  <c r="Q431" i="3"/>
  <c r="Q430" i="3"/>
  <c r="Q429" i="3"/>
  <c r="Q428" i="3"/>
  <c r="Q427" i="3"/>
  <c r="Q426" i="3"/>
  <c r="Q425" i="3"/>
  <c r="Q424" i="3"/>
  <c r="Q423" i="3"/>
  <c r="Q422" i="3"/>
  <c r="Q421" i="3"/>
  <c r="Q420" i="3"/>
  <c r="Q419" i="3"/>
  <c r="Q418" i="3"/>
  <c r="Q417" i="3"/>
  <c r="Q416" i="3"/>
  <c r="Q415" i="3"/>
  <c r="Q414" i="3"/>
  <c r="Q413" i="3"/>
  <c r="Q412" i="3"/>
  <c r="Q411" i="3"/>
  <c r="Q410" i="3"/>
  <c r="Q409" i="3"/>
  <c r="Q408" i="3"/>
  <c r="Q407" i="3"/>
  <c r="Q406" i="3"/>
  <c r="Q405" i="3"/>
  <c r="Q404" i="3"/>
  <c r="Q403" i="3"/>
  <c r="Q402" i="3"/>
  <c r="Q401" i="3"/>
  <c r="Q400" i="3"/>
  <c r="Q530" i="3"/>
  <c r="Q399" i="3"/>
  <c r="Q398" i="3"/>
  <c r="Q397" i="3"/>
  <c r="Q396" i="3"/>
  <c r="Q395" i="3"/>
  <c r="Q394" i="3"/>
  <c r="Q393" i="3"/>
  <c r="Q392" i="3"/>
  <c r="Q389" i="3"/>
  <c r="Q529" i="3"/>
  <c r="Q528" i="3"/>
  <c r="Q527" i="3"/>
  <c r="Q388" i="3"/>
  <c r="Q387" i="3"/>
  <c r="Q386" i="3"/>
  <c r="Q385" i="3"/>
  <c r="Q384" i="3"/>
  <c r="Q383" i="3"/>
  <c r="Q382" i="3"/>
  <c r="Q381" i="3"/>
  <c r="Q380" i="3"/>
  <c r="Q379" i="3"/>
  <c r="Q378" i="3"/>
  <c r="Q376" i="3"/>
  <c r="Q532" i="3"/>
  <c r="Q375" i="3"/>
  <c r="Q374" i="3"/>
  <c r="Q373" i="3"/>
  <c r="Q372" i="3"/>
  <c r="Q371" i="3"/>
  <c r="Q370" i="3"/>
  <c r="Q369" i="3"/>
  <c r="Q368" i="3"/>
  <c r="Q366" i="3"/>
  <c r="Q364" i="3"/>
  <c r="Q362" i="3"/>
  <c r="Q360" i="3"/>
  <c r="Q358" i="3"/>
  <c r="Q356" i="3"/>
  <c r="Q354" i="3"/>
  <c r="Q353" i="3"/>
  <c r="Q352" i="3"/>
  <c r="Q351" i="3"/>
  <c r="Q350" i="3"/>
  <c r="Q349" i="3"/>
  <c r="Q348" i="3"/>
  <c r="Q347" i="3"/>
  <c r="Q346" i="3"/>
  <c r="Q345" i="3"/>
  <c r="Q344" i="3"/>
  <c r="Q343" i="3"/>
  <c r="Q342" i="3"/>
  <c r="Q341" i="3"/>
  <c r="Q526" i="3"/>
  <c r="Q340" i="3"/>
  <c r="Q339" i="3"/>
  <c r="Q338" i="3"/>
  <c r="Q337" i="3"/>
  <c r="Q336" i="3"/>
  <c r="Q335" i="3"/>
  <c r="Q334" i="3"/>
  <c r="Q333" i="3"/>
  <c r="Q332" i="3"/>
  <c r="Q331" i="3"/>
  <c r="Q330" i="3"/>
  <c r="Q329" i="3"/>
  <c r="Q328" i="3"/>
  <c r="Q327" i="3"/>
  <c r="Q326" i="3"/>
  <c r="Q325" i="3"/>
  <c r="Q324" i="3"/>
  <c r="Q323" i="3"/>
  <c r="Q322" i="3"/>
  <c r="Q321" i="3"/>
  <c r="Q320" i="3"/>
  <c r="Q319" i="3"/>
  <c r="Q318" i="3"/>
  <c r="Q317" i="3"/>
  <c r="Q316" i="3"/>
  <c r="Q315" i="3"/>
  <c r="Q314" i="3"/>
  <c r="Q313" i="3"/>
  <c r="Q312" i="3"/>
  <c r="Q311" i="3"/>
  <c r="Q310" i="3"/>
  <c r="Q309" i="3"/>
  <c r="Q308" i="3"/>
  <c r="Q307" i="3"/>
  <c r="Q306" i="3"/>
  <c r="Q305" i="3"/>
  <c r="Q304" i="3"/>
  <c r="Q303" i="3"/>
  <c r="Q302" i="3"/>
  <c r="Q301" i="3"/>
  <c r="Q300" i="3"/>
  <c r="Q299" i="3"/>
  <c r="Q517" i="3"/>
  <c r="Q516" i="3"/>
  <c r="Q297" i="3"/>
  <c r="Q296" i="3"/>
  <c r="Q295" i="3"/>
  <c r="Q294" i="3"/>
  <c r="Q293" i="3"/>
  <c r="Q292" i="3"/>
  <c r="Q291" i="3"/>
  <c r="Q290" i="3"/>
  <c r="Q289" i="3"/>
  <c r="Q288" i="3"/>
  <c r="Q287" i="3"/>
  <c r="Q286" i="3"/>
  <c r="Q285" i="3"/>
  <c r="Q284" i="3"/>
  <c r="Q283" i="3"/>
  <c r="Q282" i="3"/>
  <c r="Q281" i="3"/>
  <c r="Q280" i="3"/>
  <c r="Q279" i="3"/>
  <c r="Q278" i="3"/>
  <c r="Q277" i="3"/>
  <c r="Q276" i="3"/>
  <c r="Q275" i="3"/>
  <c r="Q274" i="3"/>
  <c r="Q273" i="3"/>
  <c r="Q272" i="3"/>
  <c r="Q271" i="3"/>
  <c r="Q270" i="3"/>
  <c r="Q269" i="3"/>
  <c r="Q268" i="3"/>
  <c r="Q267" i="3"/>
  <c r="Q266" i="3"/>
  <c r="Q265" i="3"/>
  <c r="Q264" i="3"/>
  <c r="Q263" i="3"/>
  <c r="Q262" i="3"/>
  <c r="Q261" i="3"/>
  <c r="Q260" i="3"/>
  <c r="Q259" i="3"/>
  <c r="Q515" i="3"/>
  <c r="Q258" i="3"/>
  <c r="Q257" i="3"/>
  <c r="Q256" i="3"/>
  <c r="Q255" i="3"/>
  <c r="Q254" i="3"/>
  <c r="Q253" i="3"/>
  <c r="Q252" i="3"/>
  <c r="Q251" i="3"/>
  <c r="Q250" i="3"/>
  <c r="Q249" i="3"/>
  <c r="Q248" i="3"/>
  <c r="Q247" i="3"/>
  <c r="Q246" i="3"/>
  <c r="Q245" i="3"/>
  <c r="Q244" i="3"/>
  <c r="Q243" i="3"/>
  <c r="Q242" i="3"/>
  <c r="Q241" i="3"/>
  <c r="Q240" i="3"/>
  <c r="Q239" i="3"/>
  <c r="Q237" i="3"/>
  <c r="Q236" i="3"/>
  <c r="Q235" i="3"/>
  <c r="Q234" i="3"/>
  <c r="Q233" i="3"/>
  <c r="Q232" i="3"/>
  <c r="Q231" i="3"/>
  <c r="Q230" i="3"/>
  <c r="Q229" i="3"/>
  <c r="Q514" i="3"/>
  <c r="Q228" i="3"/>
  <c r="Q227" i="3"/>
  <c r="Q226" i="3"/>
  <c r="Q513" i="3"/>
  <c r="Q225" i="3"/>
  <c r="Q512" i="3"/>
  <c r="Q224" i="3"/>
  <c r="Q223" i="3"/>
  <c r="Q222" i="3"/>
  <c r="Q221" i="3"/>
  <c r="Q220" i="3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511" i="3"/>
  <c r="Q510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Q179" i="3"/>
  <c r="Q178" i="3"/>
  <c r="Q177" i="3"/>
  <c r="Q509" i="3"/>
  <c r="Q176" i="3"/>
  <c r="Q508" i="3"/>
  <c r="Q175" i="3"/>
  <c r="Q174" i="3"/>
  <c r="Q173" i="3"/>
  <c r="Q172" i="3"/>
  <c r="Q171" i="3"/>
  <c r="Q170" i="3"/>
  <c r="Q169" i="3"/>
  <c r="Q168" i="3"/>
  <c r="Q167" i="3"/>
  <c r="Q166" i="3"/>
  <c r="Q165" i="3"/>
  <c r="Q164" i="3"/>
  <c r="Q163" i="3"/>
  <c r="Q507" i="3"/>
  <c r="Q506" i="3"/>
  <c r="Q505" i="3"/>
  <c r="Q504" i="3"/>
  <c r="Q503" i="3"/>
  <c r="Q525" i="3"/>
  <c r="Q524" i="3"/>
  <c r="Q523" i="3"/>
  <c r="Q522" i="3"/>
  <c r="Q521" i="3"/>
  <c r="Q520" i="3"/>
  <c r="Q519" i="3"/>
  <c r="Q162" i="3"/>
  <c r="Q161" i="3"/>
  <c r="Q160" i="3"/>
  <c r="Q159" i="3"/>
  <c r="Q158" i="3"/>
  <c r="Q157" i="3"/>
  <c r="Q156" i="3"/>
  <c r="Q155" i="3"/>
  <c r="Q154" i="3"/>
  <c r="Q153" i="3"/>
  <c r="Q152" i="3"/>
  <c r="Q151" i="3"/>
  <c r="Q150" i="3"/>
  <c r="Q149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502" i="3"/>
  <c r="Q501" i="3"/>
  <c r="Q500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499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4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497" i="3"/>
  <c r="Q496" i="3"/>
  <c r="Q495" i="3"/>
  <c r="Q494" i="3"/>
  <c r="Q493" i="3"/>
  <c r="Q83" i="3"/>
  <c r="Q82" i="3"/>
  <c r="Q81" i="3"/>
  <c r="Q80" i="3"/>
  <c r="Q79" i="3"/>
  <c r="Q78" i="3"/>
  <c r="Q77" i="3"/>
  <c r="Q492" i="3"/>
  <c r="Q491" i="3"/>
  <c r="Q490" i="3"/>
  <c r="Q489" i="3"/>
  <c r="Q488" i="3"/>
  <c r="Q487" i="3"/>
  <c r="Q486" i="3"/>
  <c r="Q485" i="3"/>
  <c r="Q484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R482" i="3"/>
  <c r="R481" i="3"/>
  <c r="R480" i="3"/>
  <c r="R479" i="3"/>
  <c r="R478" i="3"/>
  <c r="R477" i="3"/>
  <c r="R476" i="3"/>
  <c r="R475" i="3"/>
  <c r="R474" i="3"/>
  <c r="R473" i="3"/>
  <c r="R472" i="3"/>
  <c r="R471" i="3"/>
  <c r="R470" i="3"/>
  <c r="R469" i="3"/>
  <c r="R468" i="3"/>
  <c r="R467" i="3"/>
  <c r="R466" i="3"/>
  <c r="R465" i="3"/>
  <c r="R464" i="3"/>
  <c r="R463" i="3"/>
  <c r="R462" i="3"/>
  <c r="R461" i="3"/>
  <c r="R460" i="3"/>
  <c r="R459" i="3"/>
  <c r="R458" i="3"/>
  <c r="R457" i="3"/>
  <c r="R456" i="3"/>
  <c r="R455" i="3"/>
  <c r="R454" i="3"/>
  <c r="R453" i="3"/>
  <c r="R452" i="3"/>
  <c r="R451" i="3"/>
  <c r="R450" i="3"/>
  <c r="R531" i="3"/>
  <c r="R449" i="3"/>
  <c r="R448" i="3"/>
  <c r="R447" i="3"/>
  <c r="R446" i="3"/>
  <c r="R445" i="3"/>
  <c r="R444" i="3"/>
  <c r="R443" i="3"/>
  <c r="R442" i="3"/>
  <c r="R441" i="3"/>
  <c r="R440" i="3"/>
  <c r="R439" i="3"/>
  <c r="R438" i="3"/>
  <c r="R437" i="3"/>
  <c r="R436" i="3"/>
  <c r="R435" i="3"/>
  <c r="R434" i="3"/>
  <c r="R433" i="3"/>
  <c r="R432" i="3"/>
  <c r="R431" i="3"/>
  <c r="R430" i="3"/>
  <c r="R429" i="3"/>
  <c r="R428" i="3"/>
  <c r="R427" i="3"/>
  <c r="R426" i="3"/>
  <c r="R425" i="3"/>
  <c r="R424" i="3"/>
  <c r="R423" i="3"/>
  <c r="R422" i="3"/>
  <c r="R421" i="3"/>
  <c r="R420" i="3"/>
  <c r="R419" i="3"/>
  <c r="R418" i="3"/>
  <c r="R417" i="3"/>
  <c r="R416" i="3"/>
  <c r="R415" i="3"/>
  <c r="R414" i="3"/>
  <c r="R413" i="3"/>
  <c r="R412" i="3"/>
  <c r="R411" i="3"/>
  <c r="R410" i="3"/>
  <c r="R409" i="3"/>
  <c r="R408" i="3"/>
  <c r="R407" i="3"/>
  <c r="R406" i="3"/>
  <c r="R405" i="3"/>
  <c r="R404" i="3"/>
  <c r="R403" i="3"/>
  <c r="R402" i="3"/>
  <c r="R401" i="3"/>
  <c r="R400" i="3"/>
  <c r="R530" i="3"/>
  <c r="R399" i="3"/>
  <c r="R398" i="3"/>
  <c r="R397" i="3"/>
  <c r="R396" i="3"/>
  <c r="R395" i="3"/>
  <c r="R394" i="3"/>
  <c r="R393" i="3"/>
  <c r="R392" i="3"/>
  <c r="R389" i="3"/>
  <c r="R529" i="3"/>
  <c r="R528" i="3"/>
  <c r="R527" i="3"/>
  <c r="R388" i="3"/>
  <c r="R387" i="3"/>
  <c r="R386" i="3"/>
  <c r="R385" i="3"/>
  <c r="R384" i="3"/>
  <c r="R383" i="3"/>
  <c r="R382" i="3"/>
  <c r="R381" i="3"/>
  <c r="R380" i="3"/>
  <c r="R379" i="3"/>
  <c r="R378" i="3"/>
  <c r="R376" i="3"/>
  <c r="R532" i="3"/>
  <c r="R375" i="3"/>
  <c r="R374" i="3"/>
  <c r="R373" i="3"/>
  <c r="R372" i="3"/>
  <c r="R371" i="3"/>
  <c r="R370" i="3"/>
  <c r="R369" i="3"/>
  <c r="R368" i="3"/>
  <c r="R366" i="3"/>
  <c r="R364" i="3"/>
  <c r="R362" i="3"/>
  <c r="R360" i="3"/>
  <c r="R358" i="3"/>
  <c r="R356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526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517" i="3"/>
  <c r="R516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515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7" i="3"/>
  <c r="R236" i="3"/>
  <c r="R235" i="3"/>
  <c r="R234" i="3"/>
  <c r="R233" i="3"/>
  <c r="R232" i="3"/>
  <c r="R231" i="3"/>
  <c r="R230" i="3"/>
  <c r="R229" i="3"/>
  <c r="R514" i="3"/>
  <c r="R228" i="3"/>
  <c r="R227" i="3"/>
  <c r="R226" i="3"/>
  <c r="R513" i="3"/>
  <c r="R225" i="3"/>
  <c r="R512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511" i="3"/>
  <c r="R510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509" i="3"/>
  <c r="R176" i="3"/>
  <c r="R508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507" i="3"/>
  <c r="R506" i="3"/>
  <c r="R505" i="3"/>
  <c r="R504" i="3"/>
  <c r="R503" i="3"/>
  <c r="R525" i="3"/>
  <c r="R524" i="3"/>
  <c r="R523" i="3"/>
  <c r="R522" i="3"/>
  <c r="R521" i="3"/>
  <c r="R520" i="3"/>
  <c r="R519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502" i="3"/>
  <c r="R501" i="3"/>
  <c r="R500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499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4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497" i="3"/>
  <c r="R496" i="3"/>
  <c r="R495" i="3"/>
  <c r="R494" i="3"/>
  <c r="R493" i="3"/>
  <c r="R83" i="3"/>
  <c r="R82" i="3"/>
  <c r="R81" i="3"/>
  <c r="R80" i="3"/>
  <c r="R79" i="3"/>
  <c r="R78" i="3"/>
  <c r="R77" i="3"/>
  <c r="R492" i="3"/>
  <c r="R491" i="3"/>
  <c r="R490" i="3"/>
  <c r="R489" i="3"/>
  <c r="R488" i="3"/>
  <c r="R487" i="3"/>
  <c r="R486" i="3"/>
  <c r="R485" i="3"/>
  <c r="R484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A2" i="3"/>
  <c r="R365" i="3"/>
  <c r="R359" i="3"/>
  <c r="R357" i="3"/>
  <c r="R355" i="3"/>
  <c r="R518" i="3"/>
  <c r="R298" i="3"/>
  <c r="R148" i="3"/>
  <c r="D533" i="3" l="1"/>
  <c r="E390" i="3"/>
  <c r="D390" i="3"/>
  <c r="D535" i="3"/>
  <c r="E537" i="3"/>
  <c r="D238" i="3"/>
  <c r="D537" i="3"/>
  <c r="E536" i="3"/>
  <c r="C535" i="3"/>
  <c r="E534" i="3"/>
  <c r="C533" i="3"/>
  <c r="E483" i="3"/>
  <c r="C238" i="3"/>
  <c r="D536" i="3"/>
  <c r="D534" i="3"/>
  <c r="D483" i="3"/>
  <c r="E391" i="3"/>
  <c r="D391" i="3"/>
  <c r="D377" i="3"/>
  <c r="E98" i="3"/>
  <c r="C377" i="3"/>
  <c r="D98" i="3"/>
  <c r="C361" i="3"/>
  <c r="D361" i="3"/>
  <c r="D363" i="3"/>
  <c r="C363" i="3"/>
  <c r="D367" i="3"/>
  <c r="C367" i="3"/>
  <c r="C518" i="3"/>
  <c r="C516" i="3"/>
  <c r="D515" i="3"/>
  <c r="C514" i="3"/>
  <c r="C510" i="3"/>
  <c r="C506" i="3"/>
  <c r="C505" i="3"/>
  <c r="C525" i="3"/>
  <c r="C524" i="3"/>
  <c r="C520" i="3"/>
  <c r="C502" i="3"/>
  <c r="C501" i="3"/>
  <c r="C500" i="3"/>
  <c r="C498" i="3"/>
  <c r="C497" i="3"/>
  <c r="C493" i="3"/>
  <c r="C492" i="3"/>
  <c r="C489" i="3"/>
  <c r="C485" i="3"/>
  <c r="C484" i="3"/>
  <c r="C161" i="3"/>
  <c r="E471" i="3"/>
  <c r="C468" i="3"/>
  <c r="C467" i="3"/>
  <c r="C464" i="3"/>
  <c r="C461" i="3"/>
  <c r="C460" i="3"/>
  <c r="C457" i="3"/>
  <c r="C456" i="3"/>
  <c r="C453" i="3"/>
  <c r="C452" i="3"/>
  <c r="C531" i="3"/>
  <c r="E449" i="3"/>
  <c r="C446" i="3"/>
  <c r="C445" i="3"/>
  <c r="C442" i="3"/>
  <c r="C441" i="3"/>
  <c r="C438" i="3"/>
  <c r="C437" i="3"/>
  <c r="C434" i="3"/>
  <c r="C433" i="3"/>
  <c r="C430" i="3"/>
  <c r="E429" i="3"/>
  <c r="C426" i="3"/>
  <c r="C425" i="3"/>
  <c r="C422" i="3"/>
  <c r="C421" i="3"/>
  <c r="C418" i="3"/>
  <c r="C417" i="3"/>
  <c r="C414" i="3"/>
  <c r="C413" i="3"/>
  <c r="C410" i="3"/>
  <c r="C409" i="3"/>
  <c r="C406" i="3"/>
  <c r="C405" i="3"/>
  <c r="C402" i="3"/>
  <c r="C401" i="3"/>
  <c r="C399" i="3"/>
  <c r="C398" i="3"/>
  <c r="C395" i="3"/>
  <c r="C394" i="3"/>
  <c r="C389" i="3"/>
  <c r="C529" i="3"/>
  <c r="C388" i="3"/>
  <c r="E387" i="3"/>
  <c r="C384" i="3"/>
  <c r="C383" i="3"/>
  <c r="C379" i="3"/>
  <c r="C532" i="3"/>
  <c r="C375" i="3"/>
  <c r="C372" i="3"/>
  <c r="C371" i="3"/>
  <c r="C368" i="3"/>
  <c r="C364" i="3"/>
  <c r="D360" i="3"/>
  <c r="C359" i="3"/>
  <c r="C356" i="3"/>
  <c r="D355" i="3"/>
  <c r="C352" i="3"/>
  <c r="C351" i="3"/>
  <c r="C348" i="3"/>
  <c r="C347" i="3"/>
  <c r="D345" i="3"/>
  <c r="C344" i="3"/>
  <c r="C343" i="3"/>
  <c r="C526" i="3"/>
  <c r="C340" i="3"/>
  <c r="C337" i="3"/>
  <c r="C336" i="3"/>
  <c r="C333" i="3"/>
  <c r="C332" i="3"/>
  <c r="C330" i="3"/>
  <c r="D329" i="3"/>
  <c r="C328" i="3"/>
  <c r="C325" i="3"/>
  <c r="D324" i="3"/>
  <c r="C321" i="3"/>
  <c r="C320" i="3"/>
  <c r="C317" i="3"/>
  <c r="C316" i="3"/>
  <c r="C314" i="3"/>
  <c r="D313" i="3"/>
  <c r="C312" i="3"/>
  <c r="C309" i="3"/>
  <c r="D308" i="3"/>
  <c r="C305" i="3"/>
  <c r="E304" i="3"/>
  <c r="C301" i="3"/>
  <c r="C300" i="3"/>
  <c r="D298" i="3"/>
  <c r="C297" i="3"/>
  <c r="C296" i="3"/>
  <c r="C293" i="3"/>
  <c r="C292" i="3"/>
  <c r="C289" i="3"/>
  <c r="C288" i="3"/>
  <c r="C285" i="3"/>
  <c r="C282" i="3"/>
  <c r="C281" i="3"/>
  <c r="C280" i="3"/>
  <c r="C277" i="3"/>
  <c r="C276" i="3"/>
  <c r="C273" i="3"/>
  <c r="C272" i="3"/>
  <c r="C269" i="3"/>
  <c r="C266" i="3"/>
  <c r="C265" i="3"/>
  <c r="C264" i="3"/>
  <c r="C261" i="3"/>
  <c r="C260" i="3"/>
  <c r="C257" i="3"/>
  <c r="C256" i="3"/>
  <c r="C252" i="3"/>
  <c r="C249" i="3"/>
  <c r="C248" i="3"/>
  <c r="C245" i="3"/>
  <c r="C244" i="3"/>
  <c r="C243" i="3"/>
  <c r="C240" i="3"/>
  <c r="C236" i="3"/>
  <c r="C235" i="3"/>
  <c r="C231" i="3"/>
  <c r="C228" i="3"/>
  <c r="C227" i="3"/>
  <c r="C223" i="3"/>
  <c r="C219" i="3"/>
  <c r="C218" i="3"/>
  <c r="C215" i="3"/>
  <c r="C211" i="3"/>
  <c r="C207" i="3"/>
  <c r="C206" i="3"/>
  <c r="C204" i="3"/>
  <c r="C203" i="3"/>
  <c r="C200" i="3"/>
  <c r="C199" i="3"/>
  <c r="C198" i="3"/>
  <c r="C197" i="3"/>
  <c r="C196" i="3"/>
  <c r="C194" i="3"/>
  <c r="C193" i="3"/>
  <c r="C192" i="3"/>
  <c r="C190" i="3"/>
  <c r="C189" i="3"/>
  <c r="C186" i="3"/>
  <c r="C184" i="3"/>
  <c r="C182" i="3"/>
  <c r="C181" i="3"/>
  <c r="C179" i="3"/>
  <c r="C178" i="3"/>
  <c r="C176" i="3"/>
  <c r="C174" i="3"/>
  <c r="C173" i="3"/>
  <c r="C172" i="3"/>
  <c r="C171" i="3"/>
  <c r="C170" i="3"/>
  <c r="C168" i="3"/>
  <c r="C167" i="3"/>
  <c r="C165" i="3"/>
  <c r="C164" i="3"/>
  <c r="C163" i="3"/>
  <c r="C160" i="3"/>
  <c r="C159" i="3"/>
  <c r="C157" i="3"/>
  <c r="C156" i="3"/>
  <c r="C153" i="3"/>
  <c r="C151" i="3"/>
  <c r="C150" i="3"/>
  <c r="C148" i="3"/>
  <c r="C147" i="3"/>
  <c r="C146" i="3"/>
  <c r="C144" i="3"/>
  <c r="C143" i="3"/>
  <c r="C140" i="3"/>
  <c r="C139" i="3"/>
  <c r="C138" i="3"/>
  <c r="C135" i="3"/>
  <c r="C134" i="3"/>
  <c r="C130" i="3"/>
  <c r="C129" i="3"/>
  <c r="C127" i="3"/>
  <c r="C126" i="3"/>
  <c r="C125" i="3"/>
  <c r="C123" i="3"/>
  <c r="C122" i="3"/>
  <c r="C121" i="3"/>
  <c r="C119" i="3"/>
  <c r="C118" i="3"/>
  <c r="C115" i="3"/>
  <c r="C114" i="3"/>
  <c r="C113" i="3"/>
  <c r="C111" i="3"/>
  <c r="C108" i="3"/>
  <c r="C107" i="3"/>
  <c r="C106" i="3"/>
  <c r="C104" i="3"/>
  <c r="C103" i="3"/>
  <c r="C100" i="3"/>
  <c r="C99" i="3"/>
  <c r="C96" i="3"/>
  <c r="C95" i="3"/>
  <c r="C94" i="3"/>
  <c r="C92" i="3"/>
  <c r="C91" i="3"/>
  <c r="C90" i="3"/>
  <c r="C88" i="3"/>
  <c r="C87" i="3"/>
  <c r="C86" i="3"/>
  <c r="C84" i="3"/>
  <c r="C83" i="3"/>
  <c r="C81" i="3"/>
  <c r="C80" i="3"/>
  <c r="C79" i="3"/>
  <c r="C77" i="3"/>
  <c r="C76" i="3"/>
  <c r="C74" i="3"/>
  <c r="C73" i="3"/>
  <c r="C70" i="3"/>
  <c r="C69" i="3"/>
  <c r="C68" i="3"/>
  <c r="C66" i="3"/>
  <c r="C65" i="3"/>
  <c r="C64" i="3"/>
  <c r="C62" i="3"/>
  <c r="C61" i="3"/>
  <c r="C58" i="3"/>
  <c r="C57" i="3"/>
  <c r="C56" i="3"/>
  <c r="C54" i="3"/>
  <c r="C53" i="3"/>
  <c r="C52" i="3"/>
  <c r="C50" i="3"/>
  <c r="C49" i="3"/>
  <c r="C48" i="3"/>
  <c r="C46" i="3"/>
  <c r="C45" i="3"/>
  <c r="C44" i="3"/>
  <c r="C42" i="3"/>
  <c r="C33" i="3"/>
  <c r="C30" i="3"/>
  <c r="C29" i="3"/>
  <c r="C28" i="3"/>
  <c r="C26" i="3"/>
  <c r="C25" i="3"/>
  <c r="C24" i="3"/>
  <c r="C22" i="3"/>
  <c r="C21" i="3"/>
  <c r="C20" i="3"/>
  <c r="C17" i="3"/>
  <c r="C16" i="3"/>
  <c r="C15" i="3"/>
  <c r="C13" i="3"/>
  <c r="C12" i="3"/>
  <c r="C9" i="3"/>
  <c r="C8" i="3"/>
  <c r="C7" i="3"/>
  <c r="C5" i="3"/>
  <c r="C4" i="3"/>
  <c r="C3" i="3"/>
  <c r="E2" i="3"/>
  <c r="D482" i="3"/>
  <c r="C357" i="3"/>
  <c r="C365" i="3"/>
  <c r="C472" i="3"/>
  <c r="C473" i="3"/>
  <c r="D474" i="3"/>
  <c r="C475" i="3"/>
  <c r="C476" i="3"/>
  <c r="C477" i="3"/>
  <c r="D478" i="3"/>
  <c r="C479" i="3"/>
  <c r="C480" i="3"/>
  <c r="C481" i="3"/>
  <c r="D447" i="3"/>
  <c r="C448" i="3"/>
  <c r="D450" i="3"/>
  <c r="D443" i="3"/>
  <c r="C444" i="3"/>
  <c r="C440" i="3"/>
  <c r="C428" i="3"/>
  <c r="D431" i="3"/>
  <c r="C432" i="3"/>
  <c r="C416" i="3"/>
  <c r="D419" i="3"/>
  <c r="C420" i="3"/>
  <c r="D423" i="3"/>
  <c r="C424" i="3"/>
  <c r="D427" i="3"/>
  <c r="D415" i="3"/>
  <c r="D470" i="3"/>
  <c r="C469" i="3"/>
  <c r="D466" i="3"/>
  <c r="C465" i="3"/>
  <c r="C463" i="3"/>
  <c r="D462" i="3"/>
  <c r="C459" i="3"/>
  <c r="D458" i="3"/>
  <c r="C455" i="3"/>
  <c r="D454" i="3"/>
  <c r="C451" i="3"/>
  <c r="D439" i="3"/>
  <c r="C436" i="3"/>
  <c r="D435" i="3"/>
  <c r="C412" i="3"/>
  <c r="D411" i="3"/>
  <c r="E408" i="3"/>
  <c r="D407" i="3"/>
  <c r="C404" i="3"/>
  <c r="D403" i="3"/>
  <c r="C400" i="3"/>
  <c r="D530" i="3"/>
  <c r="C397" i="3"/>
  <c r="D396" i="3"/>
  <c r="C393" i="3"/>
  <c r="D392" i="3"/>
  <c r="C528" i="3"/>
  <c r="D527" i="3"/>
  <c r="C386" i="3"/>
  <c r="D385" i="3"/>
  <c r="C382" i="3"/>
  <c r="D381" i="3"/>
  <c r="C380" i="3"/>
  <c r="C378" i="3"/>
  <c r="D376" i="3"/>
  <c r="C374" i="3"/>
  <c r="D373" i="3"/>
  <c r="C370" i="3"/>
  <c r="D369" i="3"/>
  <c r="C366" i="3"/>
  <c r="C362" i="3"/>
  <c r="C358" i="3"/>
  <c r="C354" i="3"/>
  <c r="D353" i="3"/>
  <c r="C350" i="3"/>
  <c r="D349" i="3"/>
  <c r="E346" i="3"/>
  <c r="C342" i="3"/>
  <c r="D341" i="3"/>
  <c r="C339" i="3"/>
  <c r="D338" i="3"/>
  <c r="C335" i="3"/>
  <c r="D334" i="3"/>
  <c r="C331" i="3"/>
  <c r="C327" i="3"/>
  <c r="C326" i="3"/>
  <c r="C323" i="3"/>
  <c r="C322" i="3"/>
  <c r="D319" i="3"/>
  <c r="C318" i="3"/>
  <c r="C315" i="3"/>
  <c r="C311" i="3"/>
  <c r="C310" i="3"/>
  <c r="C307" i="3"/>
  <c r="C306" i="3"/>
  <c r="D303" i="3"/>
  <c r="C302" i="3"/>
  <c r="C299" i="3"/>
  <c r="D517" i="3"/>
  <c r="D295" i="3"/>
  <c r="C294" i="3"/>
  <c r="C291" i="3"/>
  <c r="D290" i="3"/>
  <c r="C287" i="3"/>
  <c r="E286" i="3"/>
  <c r="C283" i="3"/>
  <c r="D279" i="3"/>
  <c r="C278" i="3"/>
  <c r="C275" i="3"/>
  <c r="D274" i="3"/>
  <c r="C271" i="3"/>
  <c r="C270" i="3"/>
  <c r="C267" i="3"/>
  <c r="D263" i="3"/>
  <c r="C262" i="3"/>
  <c r="C259" i="3"/>
  <c r="C255" i="3"/>
  <c r="C251" i="3"/>
  <c r="D247" i="3"/>
  <c r="C239" i="3"/>
  <c r="C234" i="3"/>
  <c r="C230" i="3"/>
  <c r="C513" i="3"/>
  <c r="C225" i="3"/>
  <c r="C512" i="3"/>
  <c r="C222" i="3"/>
  <c r="C217" i="3"/>
  <c r="C214" i="3"/>
  <c r="C210" i="3"/>
  <c r="C202" i="3"/>
  <c r="C185" i="3"/>
  <c r="C508" i="3"/>
  <c r="C523" i="3"/>
  <c r="C519" i="3"/>
  <c r="C155" i="3"/>
  <c r="C499" i="3"/>
  <c r="C496" i="3"/>
  <c r="C494" i="3"/>
  <c r="C491" i="3"/>
  <c r="C488" i="3"/>
  <c r="C487" i="3"/>
  <c r="E31" i="3" l="1"/>
  <c r="C31" i="3"/>
  <c r="E35" i="3"/>
  <c r="C35" i="3"/>
  <c r="E39" i="3"/>
  <c r="C39" i="3"/>
  <c r="E43" i="3"/>
  <c r="C43" i="3"/>
  <c r="E47" i="3"/>
  <c r="C47" i="3"/>
  <c r="E51" i="3"/>
  <c r="C51" i="3"/>
  <c r="E55" i="3"/>
  <c r="C55" i="3"/>
  <c r="E59" i="3"/>
  <c r="C59" i="3"/>
  <c r="E63" i="3"/>
  <c r="C63" i="3"/>
  <c r="E67" i="3"/>
  <c r="C67" i="3"/>
  <c r="E71" i="3"/>
  <c r="C71" i="3"/>
  <c r="E75" i="3"/>
  <c r="C75" i="3"/>
  <c r="E486" i="3"/>
  <c r="C486" i="3"/>
  <c r="E490" i="3"/>
  <c r="C490" i="3"/>
  <c r="E78" i="3"/>
  <c r="C78" i="3"/>
  <c r="E82" i="3"/>
  <c r="C82" i="3"/>
  <c r="E495" i="3"/>
  <c r="C495" i="3"/>
  <c r="E85" i="3"/>
  <c r="C85" i="3"/>
  <c r="D89" i="3"/>
  <c r="C89" i="3"/>
  <c r="E93" i="3"/>
  <c r="C93" i="3"/>
  <c r="E97" i="3"/>
  <c r="C97" i="3"/>
  <c r="E101" i="3"/>
  <c r="C101" i="3"/>
  <c r="E105" i="3"/>
  <c r="C105" i="3"/>
  <c r="E109" i="3"/>
  <c r="C109" i="3"/>
  <c r="E112" i="3"/>
  <c r="C112" i="3"/>
  <c r="E116" i="3"/>
  <c r="C116" i="3"/>
  <c r="E120" i="3"/>
  <c r="C120" i="3"/>
  <c r="E124" i="3"/>
  <c r="C124" i="3"/>
  <c r="E128" i="3"/>
  <c r="C128" i="3"/>
  <c r="E27" i="3"/>
  <c r="C27" i="3"/>
  <c r="E19" i="3"/>
  <c r="C19" i="3"/>
  <c r="D131" i="3"/>
  <c r="C131" i="3"/>
  <c r="D136" i="3"/>
  <c r="C136" i="3"/>
  <c r="D149" i="3"/>
  <c r="C149" i="3"/>
  <c r="D521" i="3"/>
  <c r="C521" i="3"/>
  <c r="E10" i="3"/>
  <c r="C10" i="3"/>
  <c r="E23" i="3"/>
  <c r="C23" i="3"/>
  <c r="E34" i="3"/>
  <c r="C34" i="3"/>
  <c r="D38" i="3"/>
  <c r="C38" i="3"/>
  <c r="D18" i="3"/>
  <c r="C18" i="3"/>
  <c r="D37" i="3"/>
  <c r="C37" i="3"/>
  <c r="D41" i="3"/>
  <c r="C41" i="3"/>
  <c r="D11" i="3"/>
  <c r="C11" i="3"/>
  <c r="E6" i="3"/>
  <c r="C6" i="3"/>
  <c r="E14" i="3"/>
  <c r="C14" i="3"/>
  <c r="D32" i="3"/>
  <c r="C32" i="3"/>
  <c r="E36" i="3"/>
  <c r="C36" i="3"/>
  <c r="E40" i="3"/>
  <c r="C40" i="3"/>
  <c r="D152" i="3"/>
  <c r="C152" i="3"/>
  <c r="C449" i="3"/>
  <c r="C429" i="3"/>
  <c r="C387" i="3"/>
  <c r="C324" i="3"/>
  <c r="C308" i="3"/>
  <c r="C304" i="3"/>
  <c r="D60" i="3"/>
  <c r="C60" i="3"/>
  <c r="D72" i="3"/>
  <c r="C72" i="3"/>
  <c r="D102" i="3"/>
  <c r="C102" i="3"/>
  <c r="D110" i="3"/>
  <c r="C110" i="3"/>
  <c r="D117" i="3"/>
  <c r="C117" i="3"/>
  <c r="D142" i="3"/>
  <c r="C142" i="3"/>
  <c r="D504" i="3"/>
  <c r="C504" i="3"/>
  <c r="D188" i="3"/>
  <c r="C188" i="3"/>
  <c r="D213" i="3"/>
  <c r="C213" i="3"/>
  <c r="D221" i="3"/>
  <c r="C221" i="3"/>
  <c r="C2" i="3"/>
  <c r="C471" i="3"/>
  <c r="C408" i="3"/>
  <c r="C346" i="3"/>
  <c r="C319" i="3"/>
  <c r="C303" i="3"/>
  <c r="C298" i="3"/>
  <c r="C290" i="3"/>
  <c r="C274" i="3"/>
  <c r="C515" i="3"/>
  <c r="E132" i="3"/>
  <c r="C132" i="3"/>
  <c r="E133" i="3"/>
  <c r="C133" i="3"/>
  <c r="E137" i="3"/>
  <c r="C137" i="3"/>
  <c r="E141" i="3"/>
  <c r="C141" i="3"/>
  <c r="E145" i="3"/>
  <c r="C145" i="3"/>
  <c r="E154" i="3"/>
  <c r="C154" i="3"/>
  <c r="E158" i="3"/>
  <c r="C158" i="3"/>
  <c r="E162" i="3"/>
  <c r="C162" i="3"/>
  <c r="E522" i="3"/>
  <c r="C522" i="3"/>
  <c r="E503" i="3"/>
  <c r="C503" i="3"/>
  <c r="E507" i="3"/>
  <c r="C507" i="3"/>
  <c r="E166" i="3"/>
  <c r="C166" i="3"/>
  <c r="E169" i="3"/>
  <c r="C169" i="3"/>
  <c r="E175" i="3"/>
  <c r="C175" i="3"/>
  <c r="E177" i="3"/>
  <c r="C177" i="3"/>
  <c r="E180" i="3"/>
  <c r="C180" i="3"/>
  <c r="E187" i="3"/>
  <c r="C187" i="3"/>
  <c r="E191" i="3"/>
  <c r="C191" i="3"/>
  <c r="D195" i="3"/>
  <c r="C195" i="3"/>
  <c r="E511" i="3"/>
  <c r="C511" i="3"/>
  <c r="E201" i="3"/>
  <c r="C201" i="3"/>
  <c r="E205" i="3"/>
  <c r="C205" i="3"/>
  <c r="E209" i="3"/>
  <c r="C209" i="3"/>
  <c r="E212" i="3"/>
  <c r="C212" i="3"/>
  <c r="E216" i="3"/>
  <c r="C216" i="3"/>
  <c r="E220" i="3"/>
  <c r="C220" i="3"/>
  <c r="E224" i="3"/>
  <c r="C224" i="3"/>
  <c r="E226" i="3"/>
  <c r="C226" i="3"/>
  <c r="E229" i="3"/>
  <c r="C229" i="3"/>
  <c r="E233" i="3"/>
  <c r="C233" i="3"/>
  <c r="E237" i="3"/>
  <c r="C237" i="3"/>
  <c r="E242" i="3"/>
  <c r="C242" i="3"/>
  <c r="E246" i="3"/>
  <c r="C246" i="3"/>
  <c r="E250" i="3"/>
  <c r="C250" i="3"/>
  <c r="E254" i="3"/>
  <c r="C254" i="3"/>
  <c r="E258" i="3"/>
  <c r="C258" i="3"/>
  <c r="C482" i="3"/>
  <c r="C478" i="3"/>
  <c r="C474" i="3"/>
  <c r="C470" i="3"/>
  <c r="C466" i="3"/>
  <c r="C462" i="3"/>
  <c r="C458" i="3"/>
  <c r="C454" i="3"/>
  <c r="C450" i="3"/>
  <c r="C447" i="3"/>
  <c r="C443" i="3"/>
  <c r="C439" i="3"/>
  <c r="C435" i="3"/>
  <c r="C431" i="3"/>
  <c r="C427" i="3"/>
  <c r="C423" i="3"/>
  <c r="C419" i="3"/>
  <c r="C415" i="3"/>
  <c r="C411" i="3"/>
  <c r="C407" i="3"/>
  <c r="C403" i="3"/>
  <c r="C530" i="3"/>
  <c r="C396" i="3"/>
  <c r="C392" i="3"/>
  <c r="C527" i="3"/>
  <c r="C385" i="3"/>
  <c r="C381" i="3"/>
  <c r="C376" i="3"/>
  <c r="C373" i="3"/>
  <c r="C369" i="3"/>
  <c r="C355" i="3"/>
  <c r="C360" i="3"/>
  <c r="C353" i="3"/>
  <c r="C349" i="3"/>
  <c r="C345" i="3"/>
  <c r="C341" i="3"/>
  <c r="C338" i="3"/>
  <c r="C334" i="3"/>
  <c r="C295" i="3"/>
  <c r="C279" i="3"/>
  <c r="C263" i="3"/>
  <c r="D509" i="3"/>
  <c r="C509" i="3"/>
  <c r="D183" i="3"/>
  <c r="C183" i="3"/>
  <c r="D208" i="3"/>
  <c r="C208" i="3"/>
  <c r="D232" i="3"/>
  <c r="C232" i="3"/>
  <c r="D241" i="3"/>
  <c r="C241" i="3"/>
  <c r="D253" i="3"/>
  <c r="C253" i="3"/>
  <c r="D268" i="3"/>
  <c r="C268" i="3"/>
  <c r="D284" i="3"/>
  <c r="C284" i="3"/>
  <c r="C329" i="3"/>
  <c r="C313" i="3"/>
  <c r="C517" i="3"/>
  <c r="C286" i="3"/>
  <c r="C247" i="3"/>
  <c r="E454" i="3"/>
  <c r="E392" i="3"/>
  <c r="E329" i="3"/>
  <c r="E221" i="3"/>
  <c r="E439" i="3"/>
  <c r="E376" i="3"/>
  <c r="E290" i="3"/>
  <c r="D449" i="3"/>
  <c r="E423" i="3"/>
  <c r="E355" i="3"/>
  <c r="E268" i="3"/>
  <c r="D2" i="3"/>
  <c r="E470" i="3"/>
  <c r="E407" i="3"/>
  <c r="E345" i="3"/>
  <c r="E247" i="3"/>
  <c r="D286" i="3"/>
  <c r="E150" i="3"/>
  <c r="D150" i="3"/>
  <c r="D293" i="3"/>
  <c r="E293" i="3"/>
  <c r="D347" i="3"/>
  <c r="E347" i="3"/>
  <c r="D351" i="3"/>
  <c r="E351" i="3"/>
  <c r="D382" i="3"/>
  <c r="E382" i="3"/>
  <c r="D528" i="3"/>
  <c r="E528" i="3"/>
  <c r="D393" i="3"/>
  <c r="E393" i="3"/>
  <c r="D397" i="3"/>
  <c r="E397" i="3"/>
  <c r="D400" i="3"/>
  <c r="E400" i="3"/>
  <c r="D404" i="3"/>
  <c r="E404" i="3"/>
  <c r="D412" i="3"/>
  <c r="E412" i="3"/>
  <c r="D434" i="3"/>
  <c r="E434" i="3"/>
  <c r="D438" i="3"/>
  <c r="E438" i="3"/>
  <c r="D453" i="3"/>
  <c r="E453" i="3"/>
  <c r="D457" i="3"/>
  <c r="E457" i="3"/>
  <c r="D461" i="3"/>
  <c r="E461" i="3"/>
  <c r="D465" i="3"/>
  <c r="E465" i="3"/>
  <c r="D469" i="3"/>
  <c r="E469" i="3"/>
  <c r="E425" i="3"/>
  <c r="D425" i="3"/>
  <c r="D421" i="3"/>
  <c r="E421" i="3"/>
  <c r="D417" i="3"/>
  <c r="E417" i="3"/>
  <c r="D430" i="3"/>
  <c r="E430" i="3"/>
  <c r="D444" i="3"/>
  <c r="E444" i="3"/>
  <c r="D445" i="3"/>
  <c r="E445" i="3"/>
  <c r="E448" i="3"/>
  <c r="D448" i="3"/>
  <c r="E148" i="3"/>
  <c r="D148" i="3"/>
  <c r="D365" i="3"/>
  <c r="E365" i="3"/>
  <c r="D357" i="3"/>
  <c r="E357" i="3"/>
  <c r="D246" i="3"/>
  <c r="D229" i="3"/>
  <c r="D216" i="3"/>
  <c r="D201" i="3"/>
  <c r="D187" i="3"/>
  <c r="D175" i="3"/>
  <c r="D507" i="3"/>
  <c r="D158" i="3"/>
  <c r="D141" i="3"/>
  <c r="D128" i="3"/>
  <c r="D112" i="3"/>
  <c r="D97" i="3"/>
  <c r="D495" i="3"/>
  <c r="D486" i="3"/>
  <c r="D63" i="3"/>
  <c r="D47" i="3"/>
  <c r="D23" i="3"/>
  <c r="D6" i="3"/>
  <c r="E308" i="3"/>
  <c r="E195" i="3"/>
  <c r="E131" i="3"/>
  <c r="E102" i="3"/>
  <c r="E60" i="3"/>
  <c r="E15" i="3"/>
  <c r="D15" i="3"/>
  <c r="D269" i="3"/>
  <c r="E269" i="3"/>
  <c r="D277" i="3"/>
  <c r="E277" i="3"/>
  <c r="D281" i="3"/>
  <c r="E281" i="3"/>
  <c r="D297" i="3"/>
  <c r="E297" i="3"/>
  <c r="D320" i="3"/>
  <c r="E320" i="3"/>
  <c r="D328" i="3"/>
  <c r="E328" i="3"/>
  <c r="D332" i="3"/>
  <c r="E332" i="3"/>
  <c r="D336" i="3"/>
  <c r="E336" i="3"/>
  <c r="D370" i="3"/>
  <c r="E370" i="3"/>
  <c r="E22" i="3"/>
  <c r="D22" i="3"/>
  <c r="E26" i="3"/>
  <c r="D26" i="3"/>
  <c r="E30" i="3"/>
  <c r="D30" i="3"/>
  <c r="E42" i="3"/>
  <c r="D42" i="3"/>
  <c r="E46" i="3"/>
  <c r="D46" i="3"/>
  <c r="E50" i="3"/>
  <c r="D50" i="3"/>
  <c r="E54" i="3"/>
  <c r="D54" i="3"/>
  <c r="E58" i="3"/>
  <c r="D58" i="3"/>
  <c r="E62" i="3"/>
  <c r="D62" i="3"/>
  <c r="E66" i="3"/>
  <c r="D66" i="3"/>
  <c r="E70" i="3"/>
  <c r="D70" i="3"/>
  <c r="E74" i="3"/>
  <c r="D74" i="3"/>
  <c r="E485" i="3"/>
  <c r="D485" i="3"/>
  <c r="E489" i="3"/>
  <c r="D489" i="3"/>
  <c r="E77" i="3"/>
  <c r="D77" i="3"/>
  <c r="E81" i="3"/>
  <c r="D81" i="3"/>
  <c r="E494" i="3"/>
  <c r="D494" i="3"/>
  <c r="E84" i="3"/>
  <c r="D84" i="3"/>
  <c r="E88" i="3"/>
  <c r="D88" i="3"/>
  <c r="E92" i="3"/>
  <c r="D92" i="3"/>
  <c r="E96" i="3"/>
  <c r="D96" i="3"/>
  <c r="E100" i="3"/>
  <c r="D100" i="3"/>
  <c r="E104" i="3"/>
  <c r="D104" i="3"/>
  <c r="E108" i="3"/>
  <c r="D108" i="3"/>
  <c r="E499" i="3"/>
  <c r="D499" i="3"/>
  <c r="E115" i="3"/>
  <c r="D115" i="3"/>
  <c r="E119" i="3"/>
  <c r="D119" i="3"/>
  <c r="E123" i="3"/>
  <c r="D123" i="3"/>
  <c r="E127" i="3"/>
  <c r="D127" i="3"/>
  <c r="E502" i="3"/>
  <c r="D502" i="3"/>
  <c r="E140" i="3"/>
  <c r="D140" i="3"/>
  <c r="E144" i="3"/>
  <c r="D144" i="3"/>
  <c r="E153" i="3"/>
  <c r="D153" i="3"/>
  <c r="E157" i="3"/>
  <c r="D157" i="3"/>
  <c r="E161" i="3"/>
  <c r="D161" i="3"/>
  <c r="E525" i="3"/>
  <c r="D525" i="3"/>
  <c r="E506" i="3"/>
  <c r="D506" i="3"/>
  <c r="E165" i="3"/>
  <c r="D165" i="3"/>
  <c r="E168" i="3"/>
  <c r="D168" i="3"/>
  <c r="E171" i="3"/>
  <c r="D171" i="3"/>
  <c r="E174" i="3"/>
  <c r="D174" i="3"/>
  <c r="E186" i="3"/>
  <c r="D186" i="3"/>
  <c r="E190" i="3"/>
  <c r="D190" i="3"/>
  <c r="E194" i="3"/>
  <c r="D194" i="3"/>
  <c r="E510" i="3"/>
  <c r="D510" i="3"/>
  <c r="E200" i="3"/>
  <c r="D200" i="3"/>
  <c r="E204" i="3"/>
  <c r="D204" i="3"/>
  <c r="E211" i="3"/>
  <c r="D211" i="3"/>
  <c r="E215" i="3"/>
  <c r="D215" i="3"/>
  <c r="E219" i="3"/>
  <c r="D219" i="3"/>
  <c r="E223" i="3"/>
  <c r="D223" i="3"/>
  <c r="E513" i="3"/>
  <c r="D513" i="3"/>
  <c r="E514" i="3"/>
  <c r="D514" i="3"/>
  <c r="E236" i="3"/>
  <c r="D236" i="3"/>
  <c r="E245" i="3"/>
  <c r="D245" i="3"/>
  <c r="E249" i="3"/>
  <c r="D249" i="3"/>
  <c r="E257" i="3"/>
  <c r="D257" i="3"/>
  <c r="E260" i="3"/>
  <c r="D260" i="3"/>
  <c r="D264" i="3"/>
  <c r="E264" i="3"/>
  <c r="D272" i="3"/>
  <c r="E272" i="3"/>
  <c r="D276" i="3"/>
  <c r="E276" i="3"/>
  <c r="D280" i="3"/>
  <c r="E280" i="3"/>
  <c r="D288" i="3"/>
  <c r="E288" i="3"/>
  <c r="D292" i="3"/>
  <c r="E292" i="3"/>
  <c r="D296" i="3"/>
  <c r="E296" i="3"/>
  <c r="D299" i="3"/>
  <c r="E299" i="3"/>
  <c r="D307" i="3"/>
  <c r="E307" i="3"/>
  <c r="D311" i="3"/>
  <c r="E311" i="3"/>
  <c r="E315" i="3"/>
  <c r="D315" i="3"/>
  <c r="D323" i="3"/>
  <c r="E323" i="3"/>
  <c r="D327" i="3"/>
  <c r="E327" i="3"/>
  <c r="D331" i="3"/>
  <c r="E331" i="3"/>
  <c r="D335" i="3"/>
  <c r="E335" i="3"/>
  <c r="D339" i="3"/>
  <c r="E339" i="3"/>
  <c r="D342" i="3"/>
  <c r="E342" i="3"/>
  <c r="D350" i="3"/>
  <c r="E350" i="3"/>
  <c r="D354" i="3"/>
  <c r="E354" i="3"/>
  <c r="D362" i="3"/>
  <c r="E362" i="3"/>
  <c r="D433" i="3"/>
  <c r="E433" i="3"/>
  <c r="D437" i="3"/>
  <c r="E437" i="3"/>
  <c r="D452" i="3"/>
  <c r="E452" i="3"/>
  <c r="D456" i="3"/>
  <c r="E456" i="3"/>
  <c r="D460" i="3"/>
  <c r="E460" i="3"/>
  <c r="D464" i="3"/>
  <c r="E464" i="3"/>
  <c r="E468" i="3"/>
  <c r="D468" i="3"/>
  <c r="D424" i="3"/>
  <c r="E424" i="3"/>
  <c r="D420" i="3"/>
  <c r="E420" i="3"/>
  <c r="D416" i="3"/>
  <c r="E416" i="3"/>
  <c r="D481" i="3"/>
  <c r="E481" i="3"/>
  <c r="D477" i="3"/>
  <c r="E477" i="3"/>
  <c r="D473" i="3"/>
  <c r="E473" i="3"/>
  <c r="E359" i="3"/>
  <c r="D359" i="3"/>
  <c r="D258" i="3"/>
  <c r="D242" i="3"/>
  <c r="D226" i="3"/>
  <c r="D212" i="3"/>
  <c r="D511" i="3"/>
  <c r="D503" i="3"/>
  <c r="D154" i="3"/>
  <c r="D137" i="3"/>
  <c r="D124" i="3"/>
  <c r="D109" i="3"/>
  <c r="D93" i="3"/>
  <c r="D82" i="3"/>
  <c r="D75" i="3"/>
  <c r="D59" i="3"/>
  <c r="D43" i="3"/>
  <c r="D19" i="3"/>
  <c r="E482" i="3"/>
  <c r="E466" i="3"/>
  <c r="E450" i="3"/>
  <c r="E435" i="3"/>
  <c r="E419" i="3"/>
  <c r="E403" i="3"/>
  <c r="E527" i="3"/>
  <c r="E373" i="3"/>
  <c r="E360" i="3"/>
  <c r="E341" i="3"/>
  <c r="E324" i="3"/>
  <c r="E303" i="3"/>
  <c r="E284" i="3"/>
  <c r="E263" i="3"/>
  <c r="E241" i="3"/>
  <c r="E213" i="3"/>
  <c r="E188" i="3"/>
  <c r="E149" i="3"/>
  <c r="E89" i="3"/>
  <c r="E32" i="3"/>
  <c r="D429" i="3"/>
  <c r="D346" i="3"/>
  <c r="D265" i="3"/>
  <c r="E265" i="3"/>
  <c r="D273" i="3"/>
  <c r="E273" i="3"/>
  <c r="E300" i="3"/>
  <c r="D300" i="3"/>
  <c r="D312" i="3"/>
  <c r="E312" i="3"/>
  <c r="D340" i="3"/>
  <c r="E340" i="3"/>
  <c r="E343" i="3"/>
  <c r="D343" i="3"/>
  <c r="D364" i="3"/>
  <c r="E364" i="3"/>
  <c r="D374" i="3"/>
  <c r="E374" i="3"/>
  <c r="E9" i="3"/>
  <c r="D9" i="3"/>
  <c r="E13" i="3"/>
  <c r="D13" i="3"/>
  <c r="E17" i="3"/>
  <c r="D17" i="3"/>
  <c r="E21" i="3"/>
  <c r="D21" i="3"/>
  <c r="E25" i="3"/>
  <c r="D25" i="3"/>
  <c r="E29" i="3"/>
  <c r="D29" i="3"/>
  <c r="E33" i="3"/>
  <c r="D33" i="3"/>
  <c r="E45" i="3"/>
  <c r="D45" i="3"/>
  <c r="E49" i="3"/>
  <c r="D49" i="3"/>
  <c r="E53" i="3"/>
  <c r="D53" i="3"/>
  <c r="E57" i="3"/>
  <c r="D57" i="3"/>
  <c r="E61" i="3"/>
  <c r="D61" i="3"/>
  <c r="E65" i="3"/>
  <c r="D65" i="3"/>
  <c r="E69" i="3"/>
  <c r="D69" i="3"/>
  <c r="E73" i="3"/>
  <c r="D73" i="3"/>
  <c r="E484" i="3"/>
  <c r="D484" i="3"/>
  <c r="E488" i="3"/>
  <c r="D488" i="3"/>
  <c r="E492" i="3"/>
  <c r="D492" i="3"/>
  <c r="E80" i="3"/>
  <c r="D80" i="3"/>
  <c r="E493" i="3"/>
  <c r="D493" i="3"/>
  <c r="E497" i="3"/>
  <c r="D497" i="3"/>
  <c r="E87" i="3"/>
  <c r="D87" i="3"/>
  <c r="E91" i="3"/>
  <c r="D91" i="3"/>
  <c r="E95" i="3"/>
  <c r="D95" i="3"/>
  <c r="E99" i="3"/>
  <c r="D99" i="3"/>
  <c r="E103" i="3"/>
  <c r="D103" i="3"/>
  <c r="E107" i="3"/>
  <c r="D107" i="3"/>
  <c r="E111" i="3"/>
  <c r="D111" i="3"/>
  <c r="E114" i="3"/>
  <c r="D114" i="3"/>
  <c r="E118" i="3"/>
  <c r="D118" i="3"/>
  <c r="E122" i="3"/>
  <c r="D122" i="3"/>
  <c r="E126" i="3"/>
  <c r="D126" i="3"/>
  <c r="E130" i="3"/>
  <c r="D130" i="3"/>
  <c r="E501" i="3"/>
  <c r="D501" i="3"/>
  <c r="E135" i="3"/>
  <c r="D135" i="3"/>
  <c r="E139" i="3"/>
  <c r="D139" i="3"/>
  <c r="E143" i="3"/>
  <c r="D143" i="3"/>
  <c r="E147" i="3"/>
  <c r="D147" i="3"/>
  <c r="E152" i="3"/>
  <c r="E156" i="3"/>
  <c r="D156" i="3"/>
  <c r="E160" i="3"/>
  <c r="D160" i="3"/>
  <c r="E520" i="3"/>
  <c r="D520" i="3"/>
  <c r="E524" i="3"/>
  <c r="D524" i="3"/>
  <c r="E505" i="3"/>
  <c r="D505" i="3"/>
  <c r="E164" i="3"/>
  <c r="D164" i="3"/>
  <c r="E167" i="3"/>
  <c r="D167" i="3"/>
  <c r="E173" i="3"/>
  <c r="D173" i="3"/>
  <c r="E176" i="3"/>
  <c r="D176" i="3"/>
  <c r="E179" i="3"/>
  <c r="D179" i="3"/>
  <c r="E182" i="3"/>
  <c r="D182" i="3"/>
  <c r="E185" i="3"/>
  <c r="D185" i="3"/>
  <c r="E189" i="3"/>
  <c r="D189" i="3"/>
  <c r="E193" i="3"/>
  <c r="D193" i="3"/>
  <c r="E197" i="3"/>
  <c r="D197" i="3"/>
  <c r="E199" i="3"/>
  <c r="D199" i="3"/>
  <c r="E203" i="3"/>
  <c r="D203" i="3"/>
  <c r="E207" i="3"/>
  <c r="D207" i="3"/>
  <c r="E214" i="3"/>
  <c r="D214" i="3"/>
  <c r="E218" i="3"/>
  <c r="D218" i="3"/>
  <c r="E222" i="3"/>
  <c r="D222" i="3"/>
  <c r="E225" i="3"/>
  <c r="D225" i="3"/>
  <c r="E228" i="3"/>
  <c r="D228" i="3"/>
  <c r="E231" i="3"/>
  <c r="D231" i="3"/>
  <c r="E235" i="3"/>
  <c r="D235" i="3"/>
  <c r="E240" i="3"/>
  <c r="D240" i="3"/>
  <c r="E244" i="3"/>
  <c r="D244" i="3"/>
  <c r="E248" i="3"/>
  <c r="D248" i="3"/>
  <c r="D252" i="3"/>
  <c r="E252" i="3"/>
  <c r="E256" i="3"/>
  <c r="D256" i="3"/>
  <c r="E259" i="3"/>
  <c r="D259" i="3"/>
  <c r="D267" i="3"/>
  <c r="E267" i="3"/>
  <c r="D271" i="3"/>
  <c r="E271" i="3"/>
  <c r="E275" i="3"/>
  <c r="D275" i="3"/>
  <c r="D283" i="3"/>
  <c r="E283" i="3"/>
  <c r="D287" i="3"/>
  <c r="E287" i="3"/>
  <c r="D291" i="3"/>
  <c r="E291" i="3"/>
  <c r="D302" i="3"/>
  <c r="E302" i="3"/>
  <c r="D306" i="3"/>
  <c r="E306" i="3"/>
  <c r="D310" i="3"/>
  <c r="E310" i="3"/>
  <c r="D314" i="3"/>
  <c r="E314" i="3"/>
  <c r="D318" i="3"/>
  <c r="E318" i="3"/>
  <c r="D322" i="3"/>
  <c r="E322" i="3"/>
  <c r="D326" i="3"/>
  <c r="E326" i="3"/>
  <c r="D330" i="3"/>
  <c r="E330" i="3"/>
  <c r="D368" i="3"/>
  <c r="E368" i="3"/>
  <c r="D372" i="3"/>
  <c r="E372" i="3"/>
  <c r="D532" i="3"/>
  <c r="E532" i="3"/>
  <c r="D380" i="3"/>
  <c r="E380" i="3"/>
  <c r="D384" i="3"/>
  <c r="E384" i="3"/>
  <c r="D388" i="3"/>
  <c r="E388" i="3"/>
  <c r="D389" i="3"/>
  <c r="E389" i="3"/>
  <c r="D395" i="3"/>
  <c r="E395" i="3"/>
  <c r="D399" i="3"/>
  <c r="E399" i="3"/>
  <c r="D402" i="3"/>
  <c r="E402" i="3"/>
  <c r="D406" i="3"/>
  <c r="E406" i="3"/>
  <c r="D410" i="3"/>
  <c r="E410" i="3"/>
  <c r="D414" i="3"/>
  <c r="E414" i="3"/>
  <c r="D436" i="3"/>
  <c r="E436" i="3"/>
  <c r="D451" i="3"/>
  <c r="E451" i="3"/>
  <c r="D455" i="3"/>
  <c r="E455" i="3"/>
  <c r="D459" i="3"/>
  <c r="E459" i="3"/>
  <c r="D463" i="3"/>
  <c r="E463" i="3"/>
  <c r="D467" i="3"/>
  <c r="E467" i="3"/>
  <c r="D432" i="3"/>
  <c r="E432" i="3"/>
  <c r="D428" i="3"/>
  <c r="E428" i="3"/>
  <c r="D442" i="3"/>
  <c r="E442" i="3"/>
  <c r="D531" i="3"/>
  <c r="E531" i="3"/>
  <c r="D446" i="3"/>
  <c r="E446" i="3"/>
  <c r="D480" i="3"/>
  <c r="E480" i="3"/>
  <c r="D476" i="3"/>
  <c r="E476" i="3"/>
  <c r="D472" i="3"/>
  <c r="E472" i="3"/>
  <c r="D254" i="3"/>
  <c r="D237" i="3"/>
  <c r="D224" i="3"/>
  <c r="D209" i="3"/>
  <c r="D180" i="3"/>
  <c r="D169" i="3"/>
  <c r="D522" i="3"/>
  <c r="D133" i="3"/>
  <c r="D120" i="3"/>
  <c r="D105" i="3"/>
  <c r="D78" i="3"/>
  <c r="D71" i="3"/>
  <c r="D55" i="3"/>
  <c r="D31" i="3"/>
  <c r="D14" i="3"/>
  <c r="E478" i="3"/>
  <c r="E462" i="3"/>
  <c r="E447" i="3"/>
  <c r="E431" i="3"/>
  <c r="E415" i="3"/>
  <c r="E530" i="3"/>
  <c r="E385" i="3"/>
  <c r="E369" i="3"/>
  <c r="E353" i="3"/>
  <c r="E338" i="3"/>
  <c r="E319" i="3"/>
  <c r="E517" i="3"/>
  <c r="E279" i="3"/>
  <c r="E515" i="3"/>
  <c r="E232" i="3"/>
  <c r="E208" i="3"/>
  <c r="E183" i="3"/>
  <c r="E504" i="3"/>
  <c r="E142" i="3"/>
  <c r="E117" i="3"/>
  <c r="E11" i="3"/>
  <c r="D408" i="3"/>
  <c r="E3" i="3"/>
  <c r="D3" i="3"/>
  <c r="D7" i="3"/>
  <c r="E7" i="3"/>
  <c r="D261" i="3"/>
  <c r="E261" i="3"/>
  <c r="D285" i="3"/>
  <c r="E285" i="3"/>
  <c r="D289" i="3"/>
  <c r="E289" i="3"/>
  <c r="D316" i="3"/>
  <c r="E316" i="3"/>
  <c r="D356" i="3"/>
  <c r="E356" i="3"/>
  <c r="E378" i="3"/>
  <c r="D378" i="3"/>
  <c r="E386" i="3"/>
  <c r="D386" i="3"/>
  <c r="E5" i="3"/>
  <c r="D5" i="3"/>
  <c r="E4" i="3"/>
  <c r="D4" i="3"/>
  <c r="E8" i="3"/>
  <c r="D8" i="3"/>
  <c r="E12" i="3"/>
  <c r="D12" i="3"/>
  <c r="E16" i="3"/>
  <c r="D16" i="3"/>
  <c r="E20" i="3"/>
  <c r="D20" i="3"/>
  <c r="E24" i="3"/>
  <c r="D24" i="3"/>
  <c r="E28" i="3"/>
  <c r="D28" i="3"/>
  <c r="E44" i="3"/>
  <c r="D44" i="3"/>
  <c r="E48" i="3"/>
  <c r="D48" i="3"/>
  <c r="D52" i="3"/>
  <c r="E52" i="3"/>
  <c r="E56" i="3"/>
  <c r="D56" i="3"/>
  <c r="D64" i="3"/>
  <c r="E64" i="3"/>
  <c r="E68" i="3"/>
  <c r="D68" i="3"/>
  <c r="E76" i="3"/>
  <c r="D76" i="3"/>
  <c r="D487" i="3"/>
  <c r="E487" i="3"/>
  <c r="D491" i="3"/>
  <c r="E491" i="3"/>
  <c r="E79" i="3"/>
  <c r="D79" i="3"/>
  <c r="E83" i="3"/>
  <c r="D83" i="3"/>
  <c r="D496" i="3"/>
  <c r="E496" i="3"/>
  <c r="E86" i="3"/>
  <c r="D86" i="3"/>
  <c r="E90" i="3"/>
  <c r="D90" i="3"/>
  <c r="D94" i="3"/>
  <c r="E94" i="3"/>
  <c r="D498" i="3"/>
  <c r="E498" i="3"/>
  <c r="E106" i="3"/>
  <c r="D106" i="3"/>
  <c r="D113" i="3"/>
  <c r="E113" i="3"/>
  <c r="E121" i="3"/>
  <c r="D121" i="3"/>
  <c r="E125" i="3"/>
  <c r="D125" i="3"/>
  <c r="D129" i="3"/>
  <c r="E129" i="3"/>
  <c r="E500" i="3"/>
  <c r="D500" i="3"/>
  <c r="E134" i="3"/>
  <c r="D134" i="3"/>
  <c r="D138" i="3"/>
  <c r="E138" i="3"/>
  <c r="D146" i="3"/>
  <c r="E146" i="3"/>
  <c r="E151" i="3"/>
  <c r="D151" i="3"/>
  <c r="D155" i="3"/>
  <c r="E155" i="3"/>
  <c r="E159" i="3"/>
  <c r="D159" i="3"/>
  <c r="D519" i="3"/>
  <c r="E519" i="3"/>
  <c r="E523" i="3"/>
  <c r="D523" i="3"/>
  <c r="D163" i="3"/>
  <c r="E163" i="3"/>
  <c r="E170" i="3"/>
  <c r="D170" i="3"/>
  <c r="E172" i="3"/>
  <c r="D172" i="3"/>
  <c r="D508" i="3"/>
  <c r="E508" i="3"/>
  <c r="E178" i="3"/>
  <c r="D178" i="3"/>
  <c r="E181" i="3"/>
  <c r="D181" i="3"/>
  <c r="D184" i="3"/>
  <c r="E184" i="3"/>
  <c r="D192" i="3"/>
  <c r="E192" i="3"/>
  <c r="E196" i="3"/>
  <c r="D196" i="3"/>
  <c r="D198" i="3"/>
  <c r="E198" i="3"/>
  <c r="E202" i="3"/>
  <c r="D202" i="3"/>
  <c r="D206" i="3"/>
  <c r="E206" i="3"/>
  <c r="E210" i="3"/>
  <c r="D210" i="3"/>
  <c r="D217" i="3"/>
  <c r="E217" i="3"/>
  <c r="E512" i="3"/>
  <c r="D512" i="3"/>
  <c r="E227" i="3"/>
  <c r="D227" i="3"/>
  <c r="D230" i="3"/>
  <c r="E230" i="3"/>
  <c r="E234" i="3"/>
  <c r="D234" i="3"/>
  <c r="E239" i="3"/>
  <c r="D239" i="3"/>
  <c r="D243" i="3"/>
  <c r="E243" i="3"/>
  <c r="D251" i="3"/>
  <c r="E251" i="3"/>
  <c r="E255" i="3"/>
  <c r="D255" i="3"/>
  <c r="D262" i="3"/>
  <c r="E262" i="3"/>
  <c r="D266" i="3"/>
  <c r="E266" i="3"/>
  <c r="D270" i="3"/>
  <c r="E270" i="3"/>
  <c r="D278" i="3"/>
  <c r="E278" i="3"/>
  <c r="D282" i="3"/>
  <c r="E282" i="3"/>
  <c r="D294" i="3"/>
  <c r="E294" i="3"/>
  <c r="D516" i="3"/>
  <c r="E516" i="3"/>
  <c r="D301" i="3"/>
  <c r="E301" i="3"/>
  <c r="D305" i="3"/>
  <c r="E305" i="3"/>
  <c r="D309" i="3"/>
  <c r="E309" i="3"/>
  <c r="D317" i="3"/>
  <c r="E317" i="3"/>
  <c r="D321" i="3"/>
  <c r="E321" i="3"/>
  <c r="D325" i="3"/>
  <c r="E325" i="3"/>
  <c r="D333" i="3"/>
  <c r="E333" i="3"/>
  <c r="D337" i="3"/>
  <c r="E337" i="3"/>
  <c r="D526" i="3"/>
  <c r="E526" i="3"/>
  <c r="D344" i="3"/>
  <c r="E344" i="3"/>
  <c r="D348" i="3"/>
  <c r="E348" i="3"/>
  <c r="D352" i="3"/>
  <c r="E352" i="3"/>
  <c r="D358" i="3"/>
  <c r="E358" i="3"/>
  <c r="D366" i="3"/>
  <c r="E366" i="3"/>
  <c r="D371" i="3"/>
  <c r="E371" i="3"/>
  <c r="D375" i="3"/>
  <c r="E375" i="3"/>
  <c r="D379" i="3"/>
  <c r="E379" i="3"/>
  <c r="D383" i="3"/>
  <c r="E383" i="3"/>
  <c r="D529" i="3"/>
  <c r="E529" i="3"/>
  <c r="D394" i="3"/>
  <c r="E394" i="3"/>
  <c r="D398" i="3"/>
  <c r="E398" i="3"/>
  <c r="D401" i="3"/>
  <c r="E401" i="3"/>
  <c r="E405" i="3"/>
  <c r="D405" i="3"/>
  <c r="D409" i="3"/>
  <c r="E409" i="3"/>
  <c r="D413" i="3"/>
  <c r="E413" i="3"/>
  <c r="D426" i="3"/>
  <c r="E426" i="3"/>
  <c r="D422" i="3"/>
  <c r="E422" i="3"/>
  <c r="D418" i="3"/>
  <c r="E418" i="3"/>
  <c r="E440" i="3"/>
  <c r="D440" i="3"/>
  <c r="D441" i="3"/>
  <c r="E441" i="3"/>
  <c r="D479" i="3"/>
  <c r="E479" i="3"/>
  <c r="D475" i="3"/>
  <c r="E475" i="3"/>
  <c r="D518" i="3"/>
  <c r="E518" i="3"/>
  <c r="D250" i="3"/>
  <c r="D233" i="3"/>
  <c r="D220" i="3"/>
  <c r="D205" i="3"/>
  <c r="D191" i="3"/>
  <c r="D177" i="3"/>
  <c r="D166" i="3"/>
  <c r="D162" i="3"/>
  <c r="D145" i="3"/>
  <c r="D132" i="3"/>
  <c r="D116" i="3"/>
  <c r="D101" i="3"/>
  <c r="D85" i="3"/>
  <c r="D490" i="3"/>
  <c r="D67" i="3"/>
  <c r="D51" i="3"/>
  <c r="D27" i="3"/>
  <c r="D10" i="3"/>
  <c r="E474" i="3"/>
  <c r="E458" i="3"/>
  <c r="E443" i="3"/>
  <c r="E427" i="3"/>
  <c r="E411" i="3"/>
  <c r="E396" i="3"/>
  <c r="E381" i="3"/>
  <c r="E349" i="3"/>
  <c r="E334" i="3"/>
  <c r="E313" i="3"/>
  <c r="E295" i="3"/>
  <c r="E274" i="3"/>
  <c r="E253" i="3"/>
  <c r="E509" i="3"/>
  <c r="E521" i="3"/>
  <c r="E136" i="3"/>
  <c r="E110" i="3"/>
  <c r="E72" i="3"/>
  <c r="D471" i="3"/>
  <c r="D387" i="3"/>
  <c r="D304" i="3"/>
  <c r="E298" i="3"/>
  <c r="E18" i="3"/>
  <c r="D36" i="3"/>
  <c r="E37" i="3"/>
  <c r="D40" i="3"/>
  <c r="E38" i="3"/>
  <c r="E41" i="3"/>
  <c r="D39" i="3"/>
  <c r="D35" i="3"/>
  <c r="D3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F597AE-0C00-4C27-9254-A6424B07BB9E}" keepAlive="1" interval="10" name="Query - export?format=csv&amp;gid=0" description="Connection to the 'export?format=csv&amp;gid=0' query in the workbook." type="5" refreshedVersion="7" background="1" refreshOnLoad="1" saveData="1">
    <dbPr connection="Provider=Microsoft.Mashup.OleDb.1;Data Source=$Workbook$;Location=&quot;export?format=csv&amp;gid=0&quot;;Extended Properties=&quot;&quot;" command="SELECT * FROM [export?format=csv&amp;gid=0]"/>
  </connection>
</connections>
</file>

<file path=xl/sharedStrings.xml><?xml version="1.0" encoding="utf-8"?>
<sst xmlns="http://schemas.openxmlformats.org/spreadsheetml/2006/main" count="4376" uniqueCount="1837">
  <si>
    <t>CTC COMMISSARY MENU</t>
  </si>
  <si>
    <t>CLOTHING, SHOES, &amp; UNDERWEAR</t>
  </si>
  <si>
    <t>THERMAL TOPS</t>
  </si>
  <si>
    <t>THERMAL BOTTOMS</t>
  </si>
  <si>
    <t>THERMAL SETS</t>
  </si>
  <si>
    <t>Thermal Top - Sm</t>
  </si>
  <si>
    <t>Thermal Bottom - Sm</t>
  </si>
  <si>
    <t>Thermal Set - Sm</t>
  </si>
  <si>
    <t>Thermal Top - Md</t>
  </si>
  <si>
    <t>Thermal Bottom - Md</t>
  </si>
  <si>
    <t>Thermal Set - Md</t>
  </si>
  <si>
    <t>Thermal Top - Lg</t>
  </si>
  <si>
    <t>Thermal Bottom - Lg</t>
  </si>
  <si>
    <t>Thermal Set - Lg</t>
  </si>
  <si>
    <t>Thermal Top - XL</t>
  </si>
  <si>
    <t>Thermal Bottom - XL</t>
  </si>
  <si>
    <t>Thermal Set - XL</t>
  </si>
  <si>
    <t>Thermal Top - 2X</t>
  </si>
  <si>
    <t>Thermal Bottom - 2X</t>
  </si>
  <si>
    <t>Thermal Set - 2X</t>
  </si>
  <si>
    <t>Thermal Top - 3X</t>
  </si>
  <si>
    <t>Thermal Bottom - 3X</t>
  </si>
  <si>
    <t>Thermal Set - 3X</t>
  </si>
  <si>
    <t>Thermal Top - 4X</t>
  </si>
  <si>
    <t>Thermal Bottom - 4X</t>
  </si>
  <si>
    <t>Thermal Set - 4X</t>
  </si>
  <si>
    <t>Thermal Top - 5X</t>
  </si>
  <si>
    <t>Thermal Bottom - 5X</t>
  </si>
  <si>
    <t>Thermal Set - 5X</t>
  </si>
  <si>
    <t>SWEATSHIRTS</t>
  </si>
  <si>
    <t>SWEATPANTS</t>
  </si>
  <si>
    <t>T-SHIRTS</t>
  </si>
  <si>
    <t>Sweatshirt Grey - Md</t>
  </si>
  <si>
    <t>Sweatpants Grey - Md</t>
  </si>
  <si>
    <t>White T-Shirt - Sm</t>
  </si>
  <si>
    <t>Sweatshirt Grey - Lg</t>
  </si>
  <si>
    <t>Sweatpants Grey - Lg</t>
  </si>
  <si>
    <t>White T-Shirt - Md</t>
  </si>
  <si>
    <t>Sweatshirt Grey - XL</t>
  </si>
  <si>
    <t>Sweatpants Grey - XL</t>
  </si>
  <si>
    <t>White T-Shirt - Lg</t>
  </si>
  <si>
    <t>Sweatshirt Grey - 2X</t>
  </si>
  <si>
    <t>Sweatpants Grey - 2X</t>
  </si>
  <si>
    <t>White T-Shirt - XL</t>
  </si>
  <si>
    <t>Sweatshirt Grey - 3X</t>
  </si>
  <si>
    <t>Sweatpants Grey - 3X</t>
  </si>
  <si>
    <t>White T-Shirt - 2X</t>
  </si>
  <si>
    <t>Sweatshirt Grey - 4X</t>
  </si>
  <si>
    <t>Sweatpants Grey - 4X</t>
  </si>
  <si>
    <t>White T-Shirt - 3X</t>
  </si>
  <si>
    <t>Sweatshirt Grey - 5X</t>
  </si>
  <si>
    <t>Sweatpants Grey - 5X</t>
  </si>
  <si>
    <t>White T-Shirt - 4X</t>
  </si>
  <si>
    <t>Sweatshirt Grey - 6X</t>
  </si>
  <si>
    <t>Sweatpants Grey - 6X</t>
  </si>
  <si>
    <t>White T-Shirt - 5X</t>
  </si>
  <si>
    <t>White T-Shirt - 6X</t>
  </si>
  <si>
    <t>SOCKS</t>
  </si>
  <si>
    <t>MEN'S UNDERWEAR</t>
  </si>
  <si>
    <t>LINENS, LAUNDRY</t>
  </si>
  <si>
    <t>Crew Socks, White</t>
  </si>
  <si>
    <t>Boxer Shorts - Sm</t>
  </si>
  <si>
    <t>White Bath Towel (Sm)</t>
  </si>
  <si>
    <t>Boxer Shorts - Md</t>
  </si>
  <si>
    <t>White Bath Towel (Md)</t>
  </si>
  <si>
    <t>SHOES</t>
  </si>
  <si>
    <t>Boxer Shorts - Lg</t>
  </si>
  <si>
    <t>Tan Bath Towel (Lg)</t>
  </si>
  <si>
    <t>Black Canvas Shoes (M07/L09)</t>
  </si>
  <si>
    <t>Boxer Shorts - XL</t>
  </si>
  <si>
    <t>Blue Bath Towel (Lg)</t>
  </si>
  <si>
    <t>Black Canvas Shoes (M08/L10)</t>
  </si>
  <si>
    <t>Boxer Shorts - 2X</t>
  </si>
  <si>
    <t>White Washcloth</t>
  </si>
  <si>
    <t>Black Canvas Shoes (M09/L11)</t>
  </si>
  <si>
    <t>Boxer Shorts - 3X</t>
  </si>
  <si>
    <t>Tan Washcloth</t>
  </si>
  <si>
    <t>Black Canvas Shoes (M10/L12)</t>
  </si>
  <si>
    <t>Boxer Shorts - 4X</t>
  </si>
  <si>
    <t>Blue Washcloth</t>
  </si>
  <si>
    <t>Black Canvas Shoes (M11)</t>
  </si>
  <si>
    <t>Boxer Shorts - 5X</t>
  </si>
  <si>
    <t>Mesh Laundry Bag</t>
  </si>
  <si>
    <t>Black Canvas Shoes (M12)</t>
  </si>
  <si>
    <t>Boxer Shorts - 6X</t>
  </si>
  <si>
    <t>Black Canvas Shoes (M13)</t>
  </si>
  <si>
    <t>Black Canvas Shoes (M14)</t>
  </si>
  <si>
    <t>Black Canvas Shoes (M15)</t>
  </si>
  <si>
    <t>WOMEN'S UNDERWEAR</t>
  </si>
  <si>
    <t>Shower Sandals (08)</t>
  </si>
  <si>
    <t>Women's Briefs - Size 05</t>
  </si>
  <si>
    <t>Shower Sandals (10)</t>
  </si>
  <si>
    <t>Women's Briefs - Size 06</t>
  </si>
  <si>
    <t>Shower Sandals (12)</t>
  </si>
  <si>
    <t>Women's Briefs - Size 07</t>
  </si>
  <si>
    <t>Shower Sandals (14)</t>
  </si>
  <si>
    <t>Women's Briefs - Size 08</t>
  </si>
  <si>
    <t>Shower Sandals (17)</t>
  </si>
  <si>
    <t>Women's Briefs - Size 09</t>
  </si>
  <si>
    <t>Orange Canvas Shoes (M07/L09)</t>
  </si>
  <si>
    <t>Women's Briefs - Size 10</t>
  </si>
  <si>
    <t>Orange Canvas Shoes (M08/L10)</t>
  </si>
  <si>
    <t>Women's Briefs - Size 11</t>
  </si>
  <si>
    <t>Orange Canvas Shoes (M09/L11)</t>
  </si>
  <si>
    <t>Women's Briefs - Size 12</t>
  </si>
  <si>
    <t>Orange Canvas Shoes (M10/L12)</t>
  </si>
  <si>
    <t>Women's Briefs - Size 13</t>
  </si>
  <si>
    <t>Orange Canvas Shoes (M11)</t>
  </si>
  <si>
    <t>Women's Briefs - Size 14</t>
  </si>
  <si>
    <t>Orange Canvas Shoes (M12)</t>
  </si>
  <si>
    <t>Sports Bra - Size 32</t>
  </si>
  <si>
    <t>Orange Canvas Shoes (M13)</t>
  </si>
  <si>
    <t>Sports Bra - Size 34</t>
  </si>
  <si>
    <t>Wt Athletic Lace-up Shoes (08)</t>
  </si>
  <si>
    <t>Sports Bra - Size 36</t>
  </si>
  <si>
    <t>Wt Athletic Lace-up Shoes (09)</t>
  </si>
  <si>
    <t>Sports Bra - Size 38</t>
  </si>
  <si>
    <t>Wt Athletic Lace-up Shoes (10)</t>
  </si>
  <si>
    <t>Sports Bra - Size 40/42</t>
  </si>
  <si>
    <t>Wt Athletic Lace-up Shoes (11)</t>
  </si>
  <si>
    <t>Sports Bra - Size 44/46</t>
  </si>
  <si>
    <t>Wt Athletic Lace-up Shoes (12)</t>
  </si>
  <si>
    <t>Sports Bra - Size 50</t>
  </si>
  <si>
    <t>EYE CARE, MEDICINE, &amp; HEALTH</t>
  </si>
  <si>
    <t>EYE CARE</t>
  </si>
  <si>
    <t>MEDICINE</t>
  </si>
  <si>
    <t>HEALTH</t>
  </si>
  <si>
    <t>Contact Lens Case</t>
  </si>
  <si>
    <t>Acetaminophen (2pk)</t>
  </si>
  <si>
    <t>Rolaids</t>
  </si>
  <si>
    <t>Contact Lens Solution</t>
  </si>
  <si>
    <t>Ibuprofen (2pk)</t>
  </si>
  <si>
    <t>Halls Menthol Cough Drops</t>
  </si>
  <si>
    <t>Artificial Tears</t>
  </si>
  <si>
    <t>Alka Seltzer (2pk)</t>
  </si>
  <si>
    <t>Halls Cherry Cough Drops</t>
  </si>
  <si>
    <t>Reading Glasses (1.00)</t>
  </si>
  <si>
    <t>Cold &amp; Sinus (2pk)</t>
  </si>
  <si>
    <t>Multivitamins (100ct)</t>
  </si>
  <si>
    <t>Reading Glasses (1.25)</t>
  </si>
  <si>
    <t>Diphen Allergy Relief (2pk)</t>
  </si>
  <si>
    <t>Reading Glasses (1.50)</t>
  </si>
  <si>
    <t>Reading Glasses (1.75)</t>
  </si>
  <si>
    <t>Reading Glasses (2.00)</t>
  </si>
  <si>
    <t>Reading Glasses (2.25)</t>
  </si>
  <si>
    <t>Reading Glasses (2.50)</t>
  </si>
  <si>
    <t>Reading Glasses (2.75)</t>
  </si>
  <si>
    <t>Reading Glasses (3.00)</t>
  </si>
  <si>
    <t>Reading Glasses (3.25)</t>
  </si>
  <si>
    <t>Reading Glasses (3.50)</t>
  </si>
  <si>
    <t>HYGIENE, TOILETRY, &amp; PERSONAL CARE</t>
  </si>
  <si>
    <t>SOAP</t>
  </si>
  <si>
    <t>HAIR CARE</t>
  </si>
  <si>
    <t>PERSONAL CARE</t>
  </si>
  <si>
    <t>Dalan Bar Soap</t>
  </si>
  <si>
    <t>Pocket Comb (5")</t>
  </si>
  <si>
    <t>Bath Puff</t>
  </si>
  <si>
    <t>Jergens Bar Soap</t>
  </si>
  <si>
    <t>Large Comb (8")</t>
  </si>
  <si>
    <t>Brushless Shave Cream w/Menthol</t>
  </si>
  <si>
    <t>Irish Spring Bar Soap</t>
  </si>
  <si>
    <t>Palm Brush</t>
  </si>
  <si>
    <t>Magic Shave Cream</t>
  </si>
  <si>
    <t>Freshscent Bar Soap</t>
  </si>
  <si>
    <t>Ponytail Holders (18pk)</t>
  </si>
  <si>
    <t>After Shave</t>
  </si>
  <si>
    <t>Dial Gold Soap</t>
  </si>
  <si>
    <t>Hair Scrunchy</t>
  </si>
  <si>
    <t>Petroleum Jelly</t>
  </si>
  <si>
    <t>Ambi Cocoa Butter Soap</t>
  </si>
  <si>
    <t>Durag</t>
  </si>
  <si>
    <t>Baby Oil</t>
  </si>
  <si>
    <t>Soap Dish, Clear Hinged</t>
  </si>
  <si>
    <t>Murray's Hair Pomade</t>
  </si>
  <si>
    <t>Cocoa Butter Skin Lotion</t>
  </si>
  <si>
    <t>Royal Crown Hair Dressing</t>
  </si>
  <si>
    <t>Vitamin E Skin Lotion</t>
  </si>
  <si>
    <t>DEODORANT</t>
  </si>
  <si>
    <t>DEP Styling Gel</t>
  </si>
  <si>
    <t>Aloe Vera Skin Lotion</t>
  </si>
  <si>
    <t>Dial Roll-On</t>
  </si>
  <si>
    <t>Dark &amp; Lovely Relaxer</t>
  </si>
  <si>
    <t>Good Sense Sunscreen SPF 30, 4oz</t>
  </si>
  <si>
    <t>Freshscent Roll-On, 1.5oz</t>
  </si>
  <si>
    <t>Lusti Hair Food</t>
  </si>
  <si>
    <t>Lubriderm Lotion</t>
  </si>
  <si>
    <t>Lady Speed Stick, Shower Fresh</t>
  </si>
  <si>
    <t>Luster's Pink Oil Hair Moisterizer</t>
  </si>
  <si>
    <t>Baby Powder</t>
  </si>
  <si>
    <t>Speed Stick, Fresh Scent Green</t>
  </si>
  <si>
    <t>Lip Balm</t>
  </si>
  <si>
    <t>Degree Solid, Extreme Blast</t>
  </si>
  <si>
    <t>TOOTHPASTE, ORAL HYGIENE</t>
  </si>
  <si>
    <t>Antifungal Cream</t>
  </si>
  <si>
    <t>Suave, Powder Scent</t>
  </si>
  <si>
    <t>Colgate Regular Toothpaste</t>
  </si>
  <si>
    <t>Foot Powder</t>
  </si>
  <si>
    <t>Close-Up Toothpaste</t>
  </si>
  <si>
    <t>Acne Cream</t>
  </si>
  <si>
    <t>SHAMPOO, CONDITIONER, BODY WASH</t>
  </si>
  <si>
    <t>Freshmint Toothpaste</t>
  </si>
  <si>
    <t>Hydrocortisone Cream</t>
  </si>
  <si>
    <t>VO5 Extra Body Shampoo</t>
  </si>
  <si>
    <t>Aim Toothpaste</t>
  </si>
  <si>
    <t>Medicated Skin Cream</t>
  </si>
  <si>
    <t>Herbal Shampoo (Vanilla/Vitamin E)</t>
  </si>
  <si>
    <t>Colgate Sensitive Toothpaste</t>
  </si>
  <si>
    <t>Triple Antibiotic Ointment, 0.33oz</t>
  </si>
  <si>
    <t>VO5 Strwb/Crm Shampoo</t>
  </si>
  <si>
    <t>Tek Toothbrush</t>
  </si>
  <si>
    <t>Q-Tips (90ct)</t>
  </si>
  <si>
    <t>Dandruff Shampoo</t>
  </si>
  <si>
    <t>Shorty Toothbrush</t>
  </si>
  <si>
    <t>Handkerchief</t>
  </si>
  <si>
    <t>Sulfur 8 Shampoo</t>
  </si>
  <si>
    <t>Thumb Toothbrush</t>
  </si>
  <si>
    <t>Foam Earplugs</t>
  </si>
  <si>
    <t>Sulfur 8 Medicated Conditioner</t>
  </si>
  <si>
    <t>Colgate Toothbrush, Soft</t>
  </si>
  <si>
    <t>Toilet Paper</t>
  </si>
  <si>
    <t>VO5 Extra Body Conditioner</t>
  </si>
  <si>
    <t>Toothbrush Holder, Clear</t>
  </si>
  <si>
    <t>Nail Clippers (Sm)</t>
  </si>
  <si>
    <t>Herbal Conditioner (Vanilla/Vitamin E)</t>
  </si>
  <si>
    <t>Dental Floss Safety Loops (30ct)</t>
  </si>
  <si>
    <t>Emery Board</t>
  </si>
  <si>
    <t>VO5 Strwb/Crm Conditioner</t>
  </si>
  <si>
    <t>Mouthwash, Alchohol Free</t>
  </si>
  <si>
    <t>Toenail Clippers (Lg)</t>
  </si>
  <si>
    <t>Freshscent Shampoo &amp; Bodywash</t>
  </si>
  <si>
    <t>Denture Adhesive Cream</t>
  </si>
  <si>
    <t>Douche</t>
  </si>
  <si>
    <t>White Rain Mens 3-In-1</t>
  </si>
  <si>
    <t>Denture Cleanser Tablets (2pk)</t>
  </si>
  <si>
    <t>Maxipads (14ct)</t>
  </si>
  <si>
    <t>Suave Ocean Breeze Body Wash, 15oz</t>
  </si>
  <si>
    <t>Oral Pain Relief</t>
  </si>
  <si>
    <t>Tampons (10ct)</t>
  </si>
  <si>
    <t>MISCELLANEOUS</t>
  </si>
  <si>
    <t>PLASTICWARE</t>
  </si>
  <si>
    <t>RELIGIOUS</t>
  </si>
  <si>
    <t>STATIONERY</t>
  </si>
  <si>
    <t>Bowl w/Lid (24oz)</t>
  </si>
  <si>
    <t>* Holy Bible, KJV</t>
  </si>
  <si>
    <t>Webster's Dictionary</t>
  </si>
  <si>
    <t>Tumbler w/Lid (22oz)</t>
  </si>
  <si>
    <t>* Sagrada Biblia</t>
  </si>
  <si>
    <t>Writing Pad (8.5x11, 50pg)</t>
  </si>
  <si>
    <t>Plastic Mug (12oz)</t>
  </si>
  <si>
    <t>* NIV Recovery Study Bible</t>
  </si>
  <si>
    <t>Writing Pad (8.5x14, 50pg)</t>
  </si>
  <si>
    <t>Yellow Spork</t>
  </si>
  <si>
    <t>* Book of Mormon</t>
  </si>
  <si>
    <t>Scratch Pad (8.5x11, 50pg)</t>
  </si>
  <si>
    <t>White Spork (Sm)</t>
  </si>
  <si>
    <t>* Quran (in English)</t>
  </si>
  <si>
    <t>Shorty Pencil</t>
  </si>
  <si>
    <t>* Prayer Rug</t>
  </si>
  <si>
    <t>#2 Pencil</t>
  </si>
  <si>
    <t>ELECTRONICS</t>
  </si>
  <si>
    <t>* Satanic Bible</t>
  </si>
  <si>
    <t>Colored Pencils (12pk)</t>
  </si>
  <si>
    <t>AA Batteries (2pk)</t>
  </si>
  <si>
    <t>* Items marked with a star are non-commissionable.</t>
  </si>
  <si>
    <t>Eraser Cap</t>
  </si>
  <si>
    <t>AA Batteries (4pk)</t>
  </si>
  <si>
    <t>Flex Pen</t>
  </si>
  <si>
    <t>AAA Batteries (2pk)</t>
  </si>
  <si>
    <t>E-CIGS</t>
  </si>
  <si>
    <t>Bic Pen, Black Ink</t>
  </si>
  <si>
    <t>AM/FM Radio</t>
  </si>
  <si>
    <t>Crossbar E-Cig, Regular</t>
  </si>
  <si>
    <t>Bic Pen, Blue Ink</t>
  </si>
  <si>
    <t>Sentry Earbuds</t>
  </si>
  <si>
    <t>Crossbar E-Cig, Menthol</t>
  </si>
  <si>
    <t>Pencil Sharpener</t>
  </si>
  <si>
    <t>Koss CL-3 Earbuds</t>
  </si>
  <si>
    <t>Photo Album</t>
  </si>
  <si>
    <t>Earbuds w/Microphone</t>
  </si>
  <si>
    <t>E-DIP (NICOTINE POUCHES)</t>
  </si>
  <si>
    <t>Friendship Card w/Envelope</t>
  </si>
  <si>
    <t>Clear Headphones w/10' Cord</t>
  </si>
  <si>
    <t>DRYFT Wintergreen, 7mg</t>
  </si>
  <si>
    <t>Love Card w/Envelope</t>
  </si>
  <si>
    <t>DRYFT Spearmint, 7mg</t>
  </si>
  <si>
    <t>Birthday Card w/Envelope</t>
  </si>
  <si>
    <t>GAMES</t>
  </si>
  <si>
    <t>DRYFT Dragon Fruit, 7mg</t>
  </si>
  <si>
    <t>Holiday Card w/Envelope</t>
  </si>
  <si>
    <t>Playing Cards</t>
  </si>
  <si>
    <t>DRYFT Citrus, 7mg</t>
  </si>
  <si>
    <t>Christmas Card w/Envelope</t>
  </si>
  <si>
    <t>Double-Six Dominoes</t>
  </si>
  <si>
    <t>DRYFT Black Cherry, 7mg</t>
  </si>
  <si>
    <t>Blank Card w/Envelope</t>
  </si>
  <si>
    <t>Checkers Set</t>
  </si>
  <si>
    <t>DRYFT Cinnamon, 7mg</t>
  </si>
  <si>
    <t>Thanksgiving Card w/Envelope</t>
  </si>
  <si>
    <t>Chess Set</t>
  </si>
  <si>
    <t>DRYFT Coffee, 7mg</t>
  </si>
  <si>
    <t>Mother's Day Card w/Envelope</t>
  </si>
  <si>
    <t>Variety Puzzle Book</t>
  </si>
  <si>
    <t>2ONE Wintergreen, 8mg</t>
  </si>
  <si>
    <t>Easter Card w/Envelope</t>
  </si>
  <si>
    <t>Bible Word Find Book</t>
  </si>
  <si>
    <t>2ONE Glacier Mint, 8mg</t>
  </si>
  <si>
    <t>Father's Day Card w/Envelope</t>
  </si>
  <si>
    <t>SKIP BO</t>
  </si>
  <si>
    <t>2ONE Very Berry, 8mg</t>
  </si>
  <si>
    <t>Get Well Card w/ Envelope</t>
  </si>
  <si>
    <t>Rook</t>
  </si>
  <si>
    <t>2ONE Mocha Java, 8mg</t>
  </si>
  <si>
    <t>Halloween Card w/Envelope</t>
  </si>
  <si>
    <t>Farkle Flip</t>
  </si>
  <si>
    <t>Valentine's Card w/ Envelope</t>
  </si>
  <si>
    <t>Phase 10</t>
  </si>
  <si>
    <t>TOBACCO - CIGARETTES</t>
  </si>
  <si>
    <t>#10 Envelopes (50ct)</t>
  </si>
  <si>
    <t>UNO</t>
  </si>
  <si>
    <t>3950 -</t>
  </si>
  <si>
    <t>Seneca Brand</t>
  </si>
  <si>
    <t>TBD</t>
  </si>
  <si>
    <t>Single #10 Envelope</t>
  </si>
  <si>
    <t>Adult Coloring Book</t>
  </si>
  <si>
    <t>3952 -</t>
  </si>
  <si>
    <t>Marlboro Brand</t>
  </si>
  <si>
    <t>Large Brown Envelope (9x12)</t>
  </si>
  <si>
    <t>3954 -</t>
  </si>
  <si>
    <t>Newport Brand</t>
  </si>
  <si>
    <t>* Stamped #10 Envelope</t>
  </si>
  <si>
    <t>SPECIALTY</t>
  </si>
  <si>
    <t>Lighter</t>
  </si>
  <si>
    <t>* Stamped Postcard</t>
  </si>
  <si>
    <t>Master Lock w/Key</t>
  </si>
  <si>
    <t>* Stamp Booklet (10ct)</t>
  </si>
  <si>
    <t>* Westbend Clear Hot Pot - 5 Cup</t>
  </si>
  <si>
    <t>CHEWING TOBACCO</t>
  </si>
  <si>
    <t>Reusable Face Mask</t>
  </si>
  <si>
    <t>Grizzly Long Cut Straight</t>
  </si>
  <si>
    <t>Single Blade Razor</t>
  </si>
  <si>
    <t>Grizzly Wintergreen</t>
  </si>
  <si>
    <t>Wahl Quick Cut Hair Clippers</t>
  </si>
  <si>
    <t>* Other brands, as requested</t>
  </si>
  <si>
    <t>* * Prices based on Commission, or Fixed</t>
  </si>
  <si>
    <t>BEVERAGES</t>
  </si>
  <si>
    <t>BOTTLED DRINKS</t>
  </si>
  <si>
    <t>DRINK MIXES</t>
  </si>
  <si>
    <t>INSTANT COFFEE</t>
  </si>
  <si>
    <t>Bottled Water</t>
  </si>
  <si>
    <t>Wyler's Purple Berry (10ct)</t>
  </si>
  <si>
    <t>Folgers Instant Coffee (8oz Jar)</t>
  </si>
  <si>
    <t>Coca Cola</t>
  </si>
  <si>
    <t>Wyler's Fruity Red Punch (10ct)</t>
  </si>
  <si>
    <t>Folgers Pounch - Instant Coffee (4oz)</t>
  </si>
  <si>
    <t>Diet Coke</t>
  </si>
  <si>
    <t>Wyler's Green Tropical Dream (10ct)</t>
  </si>
  <si>
    <t>Cafe Bustello Instant Coffee (3.5oz)</t>
  </si>
  <si>
    <t>Dr. Pepper</t>
  </si>
  <si>
    <t>Wyler's Blue Ocean Breeze (10ct)</t>
  </si>
  <si>
    <t>Café Genial Instant Coffee w/Cinnamon (3oz)</t>
  </si>
  <si>
    <t>Diet Dr. Pepper</t>
  </si>
  <si>
    <t>Wyler's Radical Lemon Berry (10ct)</t>
  </si>
  <si>
    <t>Boston's Best Instant Coffee (4oz)</t>
  </si>
  <si>
    <t>A&amp;W Root Beer</t>
  </si>
  <si>
    <t>Kool-Aid Singles, Tropical Punch</t>
  </si>
  <si>
    <t>Flavor Fix Freeze Dried Coffee (3oz)</t>
  </si>
  <si>
    <t>Pineapple Soda</t>
  </si>
  <si>
    <t>Kool-Aid Singles, Sour Raspberry</t>
  </si>
  <si>
    <t>Folgers Single Serve Packets (7ct)</t>
  </si>
  <si>
    <t>Orange Soda</t>
  </si>
  <si>
    <t>Kool-Aid Singles, Sour Green Apple</t>
  </si>
  <si>
    <t>Single Stick Folgers (1ct)</t>
  </si>
  <si>
    <t>Peach Soda</t>
  </si>
  <si>
    <t>Crush Strawberry Drink Mix (6ct)</t>
  </si>
  <si>
    <t>Arctic Rain Soda</t>
  </si>
  <si>
    <t>Instant Tea w/Lemon (24oz)</t>
  </si>
  <si>
    <t>SUGAR &amp; CREAMER</t>
  </si>
  <si>
    <t>Black Cola Soda</t>
  </si>
  <si>
    <t>Swiss Miss Hot Cocoa Mix</t>
  </si>
  <si>
    <t>Sugar Canister (22oz)</t>
  </si>
  <si>
    <t>Gatorade Cool Blue</t>
  </si>
  <si>
    <t>Cafe Style Mocha Cappuccino Mix</t>
  </si>
  <si>
    <t>Sugar Packet (1ct)</t>
  </si>
  <si>
    <t>Gatorade Grape</t>
  </si>
  <si>
    <t>French Vanilla Cappuccino Mix</t>
  </si>
  <si>
    <t>Sugar Twin Sweetener Box (100pk)</t>
  </si>
  <si>
    <t>Gatorade Fruit Punch</t>
  </si>
  <si>
    <t>Salted Caramel Cappuccino Mix</t>
  </si>
  <si>
    <t>Sugar Twin Packets (10ct)</t>
  </si>
  <si>
    <t>Gatorade Riptide Rush</t>
  </si>
  <si>
    <t>Instant Milk Mix (1qt)</t>
  </si>
  <si>
    <t>Creamer Packet</t>
  </si>
  <si>
    <t>Creamer Canister (16oz)</t>
  </si>
  <si>
    <t>CONDIMENTS, SEASONING, &amp; GROCERY</t>
  </si>
  <si>
    <t>SQUEEZE PACKETS &amp; DIPS</t>
  </si>
  <si>
    <t>POUCHED MEALS</t>
  </si>
  <si>
    <t>NUTS</t>
  </si>
  <si>
    <t>Ketchup Packet</t>
  </si>
  <si>
    <t>Hot Chili w/Beans</t>
  </si>
  <si>
    <t>Salted Peanuts</t>
  </si>
  <si>
    <t>BBQ Sauce Packet</t>
  </si>
  <si>
    <t>Chili, No Beans</t>
  </si>
  <si>
    <t>Sunflower Kernels</t>
  </si>
  <si>
    <t>Mayonnaise Packet</t>
  </si>
  <si>
    <t>Beef Stew</t>
  </si>
  <si>
    <t>Double Dipped Peanuts</t>
  </si>
  <si>
    <t>Mustard Packet</t>
  </si>
  <si>
    <t>Tuna in Water</t>
  </si>
  <si>
    <t>All Energy Trail Mix</t>
  </si>
  <si>
    <t>Taco Sauce Packet</t>
  </si>
  <si>
    <t>Sardines in Oil</t>
  </si>
  <si>
    <t>Sweet 'N Spicy Snack Mix</t>
  </si>
  <si>
    <t>Hot Sauce Packet</t>
  </si>
  <si>
    <t>Sardines in Hot Sauce</t>
  </si>
  <si>
    <t>Squeeze Jalapeno Cheese Packet</t>
  </si>
  <si>
    <t>Mackerel in Water</t>
  </si>
  <si>
    <t>SNACK CRACKERS</t>
  </si>
  <si>
    <t>Hot Salsa Squeeze Bottle (15.5oz)</t>
  </si>
  <si>
    <t>Chilorio Shredded Pork</t>
  </si>
  <si>
    <t>Nekot Peanut Butter Sandwich Crackers</t>
  </si>
  <si>
    <t>Jalapeno Cheese Sqz Bottle (16oz)</t>
  </si>
  <si>
    <t>Mackeral in Sriracha Sauce</t>
  </si>
  <si>
    <t>Toasty Peanut Butter Sandwich Crackers</t>
  </si>
  <si>
    <t>Tostitos Salsa Cup</t>
  </si>
  <si>
    <t>Smoked Oysters in Oil</t>
  </si>
  <si>
    <t>Grilled Cheese Sandwich Crackers</t>
  </si>
  <si>
    <t>Rico's Nacho Cheese Cup</t>
  </si>
  <si>
    <t>Spicy Cheddar Sandwich Crackers</t>
  </si>
  <si>
    <t>Habanero Cheese Spread (8oz)</t>
  </si>
  <si>
    <t>DEHYDRATED MEALS</t>
  </si>
  <si>
    <t>Cream Cheese &amp; Chive Sandwich Crackers</t>
  </si>
  <si>
    <t>Nacho Cheese Spread (8oz)</t>
  </si>
  <si>
    <t>Fully Cooked Bacon</t>
  </si>
  <si>
    <t>Gold-n-Chees Bite Size Crackers</t>
  </si>
  <si>
    <t>Pepper Jack Cheese Spread (8oz)</t>
  </si>
  <si>
    <t>Easy Mac &amp; Cheese Cup</t>
  </si>
  <si>
    <t>Cheez-It Hot &amp; Spicy Crackers</t>
  </si>
  <si>
    <t>Ranch Dressing Cup</t>
  </si>
  <si>
    <t>Instant Refried Beans w/Jal</t>
  </si>
  <si>
    <t>Instant Spanish Rice w/Cheese &amp; Jal</t>
  </si>
  <si>
    <t>SEASONING</t>
  </si>
  <si>
    <t>Instant White Rice</t>
  </si>
  <si>
    <t>SOUPS / RAMEN NOODLES</t>
  </si>
  <si>
    <t>Tony's Creole Seasoning (20ct)</t>
  </si>
  <si>
    <t>Instant Msh'd Potatoes, Loaded</t>
  </si>
  <si>
    <t>Beef Ramen Noodles</t>
  </si>
  <si>
    <t>Salt Packet (10ct)</t>
  </si>
  <si>
    <t>Instant Msh'd Potatoes, Pepper Jack</t>
  </si>
  <si>
    <t>Picante Beef Ramen Noodles</t>
  </si>
  <si>
    <t>Pepper Packet (10ct)</t>
  </si>
  <si>
    <t>Instant Red Beans &amp; Rice w/Chili Flavor</t>
  </si>
  <si>
    <t>Roasted Beef Ramen Noodles</t>
  </si>
  <si>
    <t>Garlic Powder Shaker</t>
  </si>
  <si>
    <t>Chicken Ramen Noodles</t>
  </si>
  <si>
    <t>Minced Onions Shaker</t>
  </si>
  <si>
    <t>BREAD, CRACKERS</t>
  </si>
  <si>
    <t>Roasted Chicken Ramen Noodles</t>
  </si>
  <si>
    <t>Seasoning Salt Shaker</t>
  </si>
  <si>
    <t>Flour Tortillas (Pack)</t>
  </si>
  <si>
    <t>Picante Chicken Ramen Noodles</t>
  </si>
  <si>
    <t>Louisiana Supreme Hot Sauce (5oz)</t>
  </si>
  <si>
    <t>Saltine Crackers (16oz)</t>
  </si>
  <si>
    <t>Cajun Chicken Ramen Noodles</t>
  </si>
  <si>
    <t>Snack Crackers (10oz)</t>
  </si>
  <si>
    <t>Low Sodium Chckn Ramen Noodles</t>
  </si>
  <si>
    <t>JALAPENOS</t>
  </si>
  <si>
    <t>Shrimp Ramen Noodles</t>
  </si>
  <si>
    <t>Sliced Jalapenos Packet</t>
  </si>
  <si>
    <t>Lime Chili Shrimp Ramen Noodles</t>
  </si>
  <si>
    <t>Sliced Jalapeno Peppers, Tub (12oz)</t>
  </si>
  <si>
    <t>SNACKS &amp; CHIPS</t>
  </si>
  <si>
    <t>Chili Ramen Noodles</t>
  </si>
  <si>
    <t>BBQ Pork Rinds</t>
  </si>
  <si>
    <t>Pork Ramen Noodles</t>
  </si>
  <si>
    <t>JELLY</t>
  </si>
  <si>
    <t>Hot Pork Rinds</t>
  </si>
  <si>
    <t>Squeeze Grape Jelly Packet</t>
  </si>
  <si>
    <t>Jalapeno Pretzel Pieces</t>
  </si>
  <si>
    <t>GRAB BAGS</t>
  </si>
  <si>
    <t>Squeeze Strawberry Jelly Packet</t>
  </si>
  <si>
    <t>Buffalo Hotwings Pretzel Pieces</t>
  </si>
  <si>
    <t>09201</t>
  </si>
  <si>
    <t>Grab Bag 25</t>
  </si>
  <si>
    <t>Grape Jelly Sqz Bottle (19oz)</t>
  </si>
  <si>
    <t>Jalapeno Popper Puffs</t>
  </si>
  <si>
    <t xml:space="preserve">Pre-packed beverage mixes, coffee, </t>
  </si>
  <si>
    <t>Strawberry Jelly Sqz Bottle (19oz)</t>
  </si>
  <si>
    <t>Deep Dish Pizza Curls</t>
  </si>
  <si>
    <t xml:space="preserve">sugar and creamer packets, pastries, </t>
  </si>
  <si>
    <t>Cheetos</t>
  </si>
  <si>
    <t>and noodles)</t>
  </si>
  <si>
    <t>PEANUT BUTTER</t>
  </si>
  <si>
    <t>Hot Cheetos</t>
  </si>
  <si>
    <t>Creamy Peanut Butter, Jar (18oz)</t>
  </si>
  <si>
    <t>Takis</t>
  </si>
  <si>
    <t>09202</t>
  </si>
  <si>
    <t>Grab Bag 50</t>
  </si>
  <si>
    <t>Jif Peanut Butter To-Go Cup</t>
  </si>
  <si>
    <t>BBQ Corn Chips</t>
  </si>
  <si>
    <t>Crunchy Peanut Butter, Jar (18oz</t>
  </si>
  <si>
    <t>Red Hot Corn Chips</t>
  </si>
  <si>
    <t>Nacho Cheese Doritos</t>
  </si>
  <si>
    <t>candy, and noodles)</t>
  </si>
  <si>
    <t>SAUSAGE, PICKLES, POPCORN</t>
  </si>
  <si>
    <t>Cool Ranch Doritos</t>
  </si>
  <si>
    <t>Beef Summer Sausage</t>
  </si>
  <si>
    <t>Tostitos Crispy Rounds</t>
  </si>
  <si>
    <t>09203</t>
  </si>
  <si>
    <t>Grab Bag 75</t>
  </si>
  <si>
    <t>Hot &amp; Spicy Beef Summer Sausage</t>
  </si>
  <si>
    <t>Chili Cheese Fritos</t>
  </si>
  <si>
    <t>O'Brien's Beef Sticks</t>
  </si>
  <si>
    <t>Regular Corn Chips</t>
  </si>
  <si>
    <t>sugar and creamer packets, coco mix,</t>
  </si>
  <si>
    <t>Double Barrel Beef Sticks</t>
  </si>
  <si>
    <t>Ruffles</t>
  </si>
  <si>
    <t>pastries, candy, dip, beans, and noodles)</t>
  </si>
  <si>
    <t>Hot Dill Pickle</t>
  </si>
  <si>
    <t>Baby Back Rib Chips</t>
  </si>
  <si>
    <t>Dill Pickle</t>
  </si>
  <si>
    <t>Creamy Ranch &amp; Habanero Chips</t>
  </si>
  <si>
    <t>* Bags are available ONLINE only, and can be adjusted.</t>
  </si>
  <si>
    <t>Microwave Butter Popcorn</t>
  </si>
  <si>
    <t>Ruffles Cheddar &amp; Sour Cream</t>
  </si>
  <si>
    <t>BREAKFAST ITEMS</t>
  </si>
  <si>
    <t>CEREALS, BARS</t>
  </si>
  <si>
    <t>TOASTERS (3-PK BOX)</t>
  </si>
  <si>
    <t>TOASTERS (SINGLES)</t>
  </si>
  <si>
    <t>Instant Grits, Butter Flavor (12pk)</t>
  </si>
  <si>
    <t>Strawberry Pop-Ups (3pk)</t>
  </si>
  <si>
    <t>Single Pack Strawberry Pop-Up</t>
  </si>
  <si>
    <t>Instant Oatmeal (10pk Variety)</t>
  </si>
  <si>
    <t>Wild Berry Pop-Ups (3pk)</t>
  </si>
  <si>
    <t>Single Pack Wild Berry Pop-Up</t>
  </si>
  <si>
    <t>Frosted Flakes Cereal Bowl</t>
  </si>
  <si>
    <t>Cookies &amp; Cream Pop-Ups (3pk)</t>
  </si>
  <si>
    <t>Single Pack Cookies &amp; Cream Pop-Up</t>
  </si>
  <si>
    <t>Cinnamon Toaster Cereal Bowl</t>
  </si>
  <si>
    <t>S'mores Pop-Ups (3pk)</t>
  </si>
  <si>
    <t>Single Pack S'mores Pop-Up</t>
  </si>
  <si>
    <t>Chewy Granola Bar</t>
  </si>
  <si>
    <t>Brown Sugar Cinnamon Pop-Ups (3pk)</t>
  </si>
  <si>
    <t>Single Pack Brown Sugar Cinnamon Pop-Up</t>
  </si>
  <si>
    <t>Crunchy Granola Bar</t>
  </si>
  <si>
    <t>Chocolate Fudge Pop-Ups (3pk)</t>
  </si>
  <si>
    <t>Single Pack Chocolate Fudge Pop-Up</t>
  </si>
  <si>
    <t>Cherry Pop-Ups (3pk)</t>
  </si>
  <si>
    <t>Single Pack Cherry Pop-Up</t>
  </si>
  <si>
    <t>COOKIES, PASTRIES, &amp; CANDY</t>
  </si>
  <si>
    <t>PASTRIES</t>
  </si>
  <si>
    <t>COOKIES</t>
  </si>
  <si>
    <t>CANDY</t>
  </si>
  <si>
    <t>Iced Honey Bun</t>
  </si>
  <si>
    <t>Duplex Crème Cookies</t>
  </si>
  <si>
    <t>Black Forest Gummy Bears</t>
  </si>
  <si>
    <t>Glazed Honey Bun</t>
  </si>
  <si>
    <t>Vanilla Crème Cookies</t>
  </si>
  <si>
    <t>Gummi Sour Worms</t>
  </si>
  <si>
    <t>Big Texas Cinnamon Roll</t>
  </si>
  <si>
    <t>Strawberry Crème Cookies</t>
  </si>
  <si>
    <t>Very Berry Sour Brite Crawlers</t>
  </si>
  <si>
    <t>Cremey Curl Honey Bun</t>
  </si>
  <si>
    <t>Peanut Butter Crème Cookies</t>
  </si>
  <si>
    <t>Sour Brite Crawlers</t>
  </si>
  <si>
    <t>Jelly Swirl Honey Bun</t>
  </si>
  <si>
    <t>Banana Crème Cookies</t>
  </si>
  <si>
    <t>Sour Patch Kids</t>
  </si>
  <si>
    <t>Pecan Twirls</t>
  </si>
  <si>
    <t>Lemon Crème Cookies</t>
  </si>
  <si>
    <t>Watermelon Sour Patch Kids</t>
  </si>
  <si>
    <t>Chocolate Cupcakes</t>
  </si>
  <si>
    <t>Chocolate Chip Cookies</t>
  </si>
  <si>
    <t>Skittles</t>
  </si>
  <si>
    <t>Banana Pudding Cupcakes</t>
  </si>
  <si>
    <t>Iced Oatmeal Cookies</t>
  </si>
  <si>
    <t>Starburst Fruit Chews</t>
  </si>
  <si>
    <t>Vanilla Zingers</t>
  </si>
  <si>
    <t>Famous Amos Choc Chip Cookies</t>
  </si>
  <si>
    <t>AirHeads Bar - Random Flavor</t>
  </si>
  <si>
    <t>Chocolate Zingers</t>
  </si>
  <si>
    <t>Vanilla Wafers</t>
  </si>
  <si>
    <t>Lemonheads</t>
  </si>
  <si>
    <t>Swiss Rolls (12ct Box)</t>
  </si>
  <si>
    <t>Wild Cherry Rainbow Stick</t>
  </si>
  <si>
    <t>Mini Powdered Donuts</t>
  </si>
  <si>
    <t>CANDY BARS</t>
  </si>
  <si>
    <t>Jolly Ranchers</t>
  </si>
  <si>
    <t>Donut Sticks</t>
  </si>
  <si>
    <t>Snickers</t>
  </si>
  <si>
    <t>Now &amp; Laters</t>
  </si>
  <si>
    <t>Mini Crunchy Donuts</t>
  </si>
  <si>
    <t>Reese's Peanut Butter Cups</t>
  </si>
  <si>
    <t>Atomic Fireballs</t>
  </si>
  <si>
    <t>Brownie Oreo</t>
  </si>
  <si>
    <t>Hershey's Bar</t>
  </si>
  <si>
    <t>Starlite Peppermints</t>
  </si>
  <si>
    <t>Banana Moon Pie</t>
  </si>
  <si>
    <t>3 Musketeers</t>
  </si>
  <si>
    <t>Butterscotch Discs</t>
  </si>
  <si>
    <t>Vanilla Moon Pie</t>
  </si>
  <si>
    <t>Butterfinger</t>
  </si>
  <si>
    <t>Tootsie Pop - Random Flavor</t>
  </si>
  <si>
    <t>Chocolate Moon Pie</t>
  </si>
  <si>
    <t>Twix</t>
  </si>
  <si>
    <t>Chick-O-Stick</t>
  </si>
  <si>
    <t>Salted Caramel Moon Pie</t>
  </si>
  <si>
    <t>Almond Snickers</t>
  </si>
  <si>
    <t>Oatmeal Crème Pie</t>
  </si>
  <si>
    <t>Kit Kat</t>
  </si>
  <si>
    <t>Pecan Pie</t>
  </si>
  <si>
    <t>Baby Ruth</t>
  </si>
  <si>
    <t>Double Decker Oatmeal Cream Pie</t>
  </si>
  <si>
    <t>Peanut M&amp;M's</t>
  </si>
  <si>
    <t>Buddy Bars</t>
  </si>
  <si>
    <t>M&amp;M's</t>
  </si>
  <si>
    <t>Rice Krispies Treat</t>
  </si>
  <si>
    <t>Milky Way</t>
  </si>
  <si>
    <t>Hershey's w/Almonds</t>
  </si>
  <si>
    <t>INDIGENT KIT ITEMS</t>
  </si>
  <si>
    <t>STATIONERY KIT</t>
  </si>
  <si>
    <t>HYGIENE KIT</t>
  </si>
  <si>
    <t>Item No.</t>
  </si>
  <si>
    <t>Description</t>
  </si>
  <si>
    <t>Qty</t>
  </si>
  <si>
    <t>Single Sheet of Paper</t>
  </si>
  <si>
    <t>Freshscent Bar Soap, 3oz</t>
  </si>
  <si>
    <t xml:space="preserve"> CHECK HERE TO COMBINE KITS INTO ONE.</t>
  </si>
  <si>
    <t>Dial Roll-On Deodorant, 1.5oz</t>
  </si>
  <si>
    <t>Freshscent Roll-On Deodorant, 1.5oz</t>
  </si>
  <si>
    <t>* KITS ARE PRICED ACCORDING TO QTY</t>
  </si>
  <si>
    <t>Plain Envelope</t>
  </si>
  <si>
    <t>Freshmint Toothpaste, 1.5oz</t>
  </si>
  <si>
    <t xml:space="preserve">  OF ITEMS.  </t>
  </si>
  <si>
    <t>Stamped Envelope</t>
  </si>
  <si>
    <t>Stamped Postcard</t>
  </si>
  <si>
    <t>Freshscent Shampoo &amp; Body Wash, 4oz</t>
  </si>
  <si>
    <t>* OTHER ITEMS AVAILABLE UPON REQUEST</t>
  </si>
  <si>
    <t>PHONE CARDS</t>
  </si>
  <si>
    <t xml:space="preserve"> CHECK HERE TO HAVE PHONE CARDS ADDED TO COMMISSARY MENU.  USE THE SPACE BELOW TO LIST THE FACE VALUE AMOUNT FOR EACH CARD:</t>
  </si>
  <si>
    <t>1)</t>
  </si>
  <si>
    <t>2)</t>
  </si>
  <si>
    <t>3)</t>
  </si>
  <si>
    <t>4)</t>
  </si>
  <si>
    <t>5)</t>
  </si>
  <si>
    <t>6)</t>
  </si>
  <si>
    <t>USE THE SPACE BELOW TO REQUEST ANY ITEMS NOT LISTED ON THE MENU:</t>
  </si>
  <si>
    <t>Item ID</t>
  </si>
  <si>
    <t>ItemID</t>
  </si>
  <si>
    <t>Category</t>
  </si>
  <si>
    <t>Sales Type</t>
  </si>
  <si>
    <t>Gender</t>
  </si>
  <si>
    <t>Last Cost</t>
  </si>
  <si>
    <t>Vendor ID</t>
  </si>
  <si>
    <t>Vendor Item</t>
  </si>
  <si>
    <t>Min Qty</t>
  </si>
  <si>
    <t>Max Qty</t>
  </si>
  <si>
    <t>Case Qty</t>
  </si>
  <si>
    <t>Scan Code</t>
  </si>
  <si>
    <t>CustomerItemDescription</t>
  </si>
  <si>
    <t>Multiplier</t>
  </si>
  <si>
    <t>Clothing</t>
  </si>
  <si>
    <t>Both</t>
  </si>
  <si>
    <t>REI</t>
  </si>
  <si>
    <t>1001</t>
  </si>
  <si>
    <t>Thermal Set (Sm)</t>
  </si>
  <si>
    <t>1002</t>
  </si>
  <si>
    <t>Thermal Set (Md)</t>
  </si>
  <si>
    <t>1003</t>
  </si>
  <si>
    <t>Thermal Set (Lg)</t>
  </si>
  <si>
    <t>1004</t>
  </si>
  <si>
    <t>Thermal Set (XL)</t>
  </si>
  <si>
    <t>1005</t>
  </si>
  <si>
    <t>Thermal Set (2X)</t>
  </si>
  <si>
    <t>1006</t>
  </si>
  <si>
    <t>Thermal Set (3X)</t>
  </si>
  <si>
    <t>1007</t>
  </si>
  <si>
    <t>Thermal Set (4X)</t>
  </si>
  <si>
    <t>1008</t>
  </si>
  <si>
    <t>Thermal Set (5X)</t>
  </si>
  <si>
    <t>900701</t>
  </si>
  <si>
    <t>Thermal Top (Sm)</t>
  </si>
  <si>
    <t>900702</t>
  </si>
  <si>
    <t>Thermal Top (Md)</t>
  </si>
  <si>
    <t>900703</t>
  </si>
  <si>
    <t>Thermal Top (Lg)</t>
  </si>
  <si>
    <t>900704</t>
  </si>
  <si>
    <t>Thermal Top (XL)</t>
  </si>
  <si>
    <t>900705</t>
  </si>
  <si>
    <t>Thermal Top (2X)</t>
  </si>
  <si>
    <t>900706</t>
  </si>
  <si>
    <t>Thermal Top (3X)</t>
  </si>
  <si>
    <t>900707</t>
  </si>
  <si>
    <t>Thermal Top (4X)</t>
  </si>
  <si>
    <t>900708</t>
  </si>
  <si>
    <t>Thermal Top (5X)</t>
  </si>
  <si>
    <t>900801</t>
  </si>
  <si>
    <t>Thermal Bottom (Sm)</t>
  </si>
  <si>
    <t>900802</t>
  </si>
  <si>
    <t>Thermal Bottom (Md)</t>
  </si>
  <si>
    <t>900803</t>
  </si>
  <si>
    <t>Thermal Bottom (Lg)</t>
  </si>
  <si>
    <t>900804</t>
  </si>
  <si>
    <t>Thermal Bottom (XL)</t>
  </si>
  <si>
    <t>900805</t>
  </si>
  <si>
    <t>Thermal Bottom (2X)</t>
  </si>
  <si>
    <t>900806</t>
  </si>
  <si>
    <t>Thermal Bottom (3X)</t>
  </si>
  <si>
    <t>900807</t>
  </si>
  <si>
    <t>Thermal Bottom (4X)</t>
  </si>
  <si>
    <t>900808</t>
  </si>
  <si>
    <t>Thermal Bottom (5X)</t>
  </si>
  <si>
    <t>Sweatshirt, Grey (Md)</t>
  </si>
  <si>
    <t>901002</t>
  </si>
  <si>
    <t>Grey Sweatshirt (Md)</t>
  </si>
  <si>
    <t>Sweatshirt, Grey (Lg)</t>
  </si>
  <si>
    <t>901003</t>
  </si>
  <si>
    <t>Grey Sweatshirt (Lg)</t>
  </si>
  <si>
    <t>Sweatshirt, Grey (XL)</t>
  </si>
  <si>
    <t>901004</t>
  </si>
  <si>
    <t>Grey Sweatshirt (XL)</t>
  </si>
  <si>
    <t>Sweatshirt, Grey (2X)</t>
  </si>
  <si>
    <t>901005</t>
  </si>
  <si>
    <t>Grey Sweatshirt (2X)</t>
  </si>
  <si>
    <t>Sweatshirt, Grey (3X)</t>
  </si>
  <si>
    <t>901006</t>
  </si>
  <si>
    <t>Grey Sweatshirt (3X)</t>
  </si>
  <si>
    <t>Sweatshirt, Grey (4X)</t>
  </si>
  <si>
    <t>901007</t>
  </si>
  <si>
    <t>Grey Sweatshirt (4X)</t>
  </si>
  <si>
    <t>Sweatshirt, Grey (5XL)</t>
  </si>
  <si>
    <t>Claiborne Parish</t>
  </si>
  <si>
    <t>60133</t>
  </si>
  <si>
    <t>Grey Sweatshirt (5XL)</t>
  </si>
  <si>
    <t>Sweatshirt, Grey (6XL)</t>
  </si>
  <si>
    <t>60134</t>
  </si>
  <si>
    <t>Grey Sweatshirt (6XL)</t>
  </si>
  <si>
    <t>Sweatpants, Grey (Md)</t>
  </si>
  <si>
    <t>901102</t>
  </si>
  <si>
    <t>Grey Sweatpants (Md)</t>
  </si>
  <si>
    <t>Sweatpants, Grey (Lg)</t>
  </si>
  <si>
    <t>901103</t>
  </si>
  <si>
    <t>Grey Sweatpants (Lg)</t>
  </si>
  <si>
    <t>Sweatpants, Grey (XL)</t>
  </si>
  <si>
    <t>901104</t>
  </si>
  <si>
    <t>Grey Sweatpants (XL)</t>
  </si>
  <si>
    <t>Sweatpants, Grey (2X)</t>
  </si>
  <si>
    <t>901105</t>
  </si>
  <si>
    <t>Grey Sweatpants (2X)</t>
  </si>
  <si>
    <t>Sweatpants, Grey (3X)</t>
  </si>
  <si>
    <t>901106</t>
  </si>
  <si>
    <t>Grey Sweatpants (3X)</t>
  </si>
  <si>
    <t>Sweatpants, Grey (4X)</t>
  </si>
  <si>
    <t>901107</t>
  </si>
  <si>
    <t>Grey Sweatpants (4X)</t>
  </si>
  <si>
    <t>Sweatpants, Grey (5XL)</t>
  </si>
  <si>
    <t>60153</t>
  </si>
  <si>
    <t>Grey Sweatpants (5XL)</t>
  </si>
  <si>
    <t>Sweatpants, Grey (6XL)</t>
  </si>
  <si>
    <t>60154</t>
  </si>
  <si>
    <t>Grey Sweatpants (6XL)</t>
  </si>
  <si>
    <t>Crew Socks, White - Sizes 10-13</t>
  </si>
  <si>
    <t>901200</t>
  </si>
  <si>
    <t>White Crew Socks</t>
  </si>
  <si>
    <t>900101</t>
  </si>
  <si>
    <t>White T-Shirt (Sm)</t>
  </si>
  <si>
    <t>900102</t>
  </si>
  <si>
    <t>White T-Shirt (Md)</t>
  </si>
  <si>
    <t>900103</t>
  </si>
  <si>
    <t>White T-Shirt (Lg)</t>
  </si>
  <si>
    <t>900104</t>
  </si>
  <si>
    <t>White T-Shirt (XL)</t>
  </si>
  <si>
    <t>900105</t>
  </si>
  <si>
    <t>White T-Shirt (2X)</t>
  </si>
  <si>
    <t>900106</t>
  </si>
  <si>
    <t>White T-Shirt (3X)</t>
  </si>
  <si>
    <t>900107</t>
  </si>
  <si>
    <t>White T-Shirt (4X)</t>
  </si>
  <si>
    <t>900108</t>
  </si>
  <si>
    <t>White T-Shirt (5X)</t>
  </si>
  <si>
    <t>900109</t>
  </si>
  <si>
    <t>White T-Shirt (6X)</t>
  </si>
  <si>
    <t>900201</t>
  </si>
  <si>
    <t>White Boxers (Sm)</t>
  </si>
  <si>
    <t>900202</t>
  </si>
  <si>
    <t>White Boxers (Md)</t>
  </si>
  <si>
    <t>900203</t>
  </si>
  <si>
    <t>White Boxers (Lg)</t>
  </si>
  <si>
    <t>900204</t>
  </si>
  <si>
    <t>White Boxers (XL)</t>
  </si>
  <si>
    <t>900205</t>
  </si>
  <si>
    <t>White Boxers (2X)</t>
  </si>
  <si>
    <t>900206</t>
  </si>
  <si>
    <t>White Boxers (3X)</t>
  </si>
  <si>
    <t>900207</t>
  </si>
  <si>
    <t>White Boxers (4X)</t>
  </si>
  <si>
    <t>900208</t>
  </si>
  <si>
    <t>White Boxers (5X)</t>
  </si>
  <si>
    <t>900209</t>
  </si>
  <si>
    <t>White Boxers (6X)</t>
  </si>
  <si>
    <t>900405</t>
  </si>
  <si>
    <t>White Panties (Sz 05)</t>
  </si>
  <si>
    <t>900406</t>
  </si>
  <si>
    <t>White Panties (Sz 06)</t>
  </si>
  <si>
    <t>60042</t>
  </si>
  <si>
    <t>White Panties (Sz 07)</t>
  </si>
  <si>
    <t>Buyback</t>
  </si>
  <si>
    <t>60043</t>
  </si>
  <si>
    <t>White Panties (Sz 08)</t>
  </si>
  <si>
    <t>900409</t>
  </si>
  <si>
    <t>White Panties (Sz 09)</t>
  </si>
  <si>
    <t>60045</t>
  </si>
  <si>
    <t>White Panties (Sz 10)</t>
  </si>
  <si>
    <t>900412</t>
  </si>
  <si>
    <t>White Panties (Sz 12)</t>
  </si>
  <si>
    <t>60048</t>
  </si>
  <si>
    <t>White Panties (Sz 13)</t>
  </si>
  <si>
    <t>60049</t>
  </si>
  <si>
    <t>White Panties (Sz 14)</t>
  </si>
  <si>
    <t>900532</t>
  </si>
  <si>
    <t>White Sports Bra (32)</t>
  </si>
  <si>
    <t>900534</t>
  </si>
  <si>
    <t>White Sports Bra (34)</t>
  </si>
  <si>
    <t>900536</t>
  </si>
  <si>
    <t>White Sports Bra (36)</t>
  </si>
  <si>
    <t>900538</t>
  </si>
  <si>
    <t>White Sports Bra (38)</t>
  </si>
  <si>
    <t>900540</t>
  </si>
  <si>
    <t>White Sports Bra (40-42)</t>
  </si>
  <si>
    <t>900544</t>
  </si>
  <si>
    <t>White Sports Bra (44-46)</t>
  </si>
  <si>
    <t>900550</t>
  </si>
  <si>
    <t>White Sports Bra (50)</t>
  </si>
  <si>
    <t>Canvas Shoes, Black - Size 07</t>
  </si>
  <si>
    <t>Clothing - Shoes</t>
  </si>
  <si>
    <t>901602</t>
  </si>
  <si>
    <t>Canvas Shoes, Black - Size 08</t>
  </si>
  <si>
    <t>901603</t>
  </si>
  <si>
    <t>Canvas Shoes, Black - Size 09</t>
  </si>
  <si>
    <t>901604</t>
  </si>
  <si>
    <t>Canvas Shoes, Black - Size 10</t>
  </si>
  <si>
    <t>901605</t>
  </si>
  <si>
    <t>Canvas Shoes, Black - Size 11</t>
  </si>
  <si>
    <t>901606</t>
  </si>
  <si>
    <t>Canvas Shoes, Black - Size 12</t>
  </si>
  <si>
    <t>901607</t>
  </si>
  <si>
    <t>Canvas Shoes, Black - Size 13</t>
  </si>
  <si>
    <t>901608</t>
  </si>
  <si>
    <t>901609</t>
  </si>
  <si>
    <t>901610</t>
  </si>
  <si>
    <t>Canvas Shoes Orange - Size 7</t>
  </si>
  <si>
    <t>901632</t>
  </si>
  <si>
    <t>Canvas Shoes Orange - Size 8</t>
  </si>
  <si>
    <t>901633</t>
  </si>
  <si>
    <t>Canvas Shoes Orange - Size 9</t>
  </si>
  <si>
    <t>901634</t>
  </si>
  <si>
    <t>Canvas Shoes Orange - Size 10</t>
  </si>
  <si>
    <t>901635</t>
  </si>
  <si>
    <t>Canvas Shoes Orange - Size 11</t>
  </si>
  <si>
    <t>901636</t>
  </si>
  <si>
    <t>Orange Canvas Shoes (12)</t>
  </si>
  <si>
    <t>901637</t>
  </si>
  <si>
    <t>Orange Canvas Shoes (13)</t>
  </si>
  <si>
    <t>901638</t>
  </si>
  <si>
    <t>Low Top Leather Athletic Lace-Up Shoes, White, Mens - Size 08</t>
  </si>
  <si>
    <t>901570</t>
  </si>
  <si>
    <t>White Athletic Lace-up Shoes (08)</t>
  </si>
  <si>
    <t>Low Top Leather Athletic Lace-Up Shoes, White, Mens - Size 09</t>
  </si>
  <si>
    <t>901572</t>
  </si>
  <si>
    <t>White Athletic Lace-up Shoes (09)</t>
  </si>
  <si>
    <t>Low Top Leather Athletic Lace-Up Shoes, White, Mens - Size 10</t>
  </si>
  <si>
    <t>901574</t>
  </si>
  <si>
    <t>White Athletic Lace-up Shoes (10)</t>
  </si>
  <si>
    <t>Low Top Leather Athletic Lace-Up Shoes, White, Mens - Size 11</t>
  </si>
  <si>
    <t>901576</t>
  </si>
  <si>
    <t>White Athletic Lace-up Shoes (11)</t>
  </si>
  <si>
    <t>Low Top Leather Athletic Lace-Up Shoes, White, Mens - Size 12</t>
  </si>
  <si>
    <t>901578</t>
  </si>
  <si>
    <t>White Athletic Lace-up Shoes (12)</t>
  </si>
  <si>
    <t>Basket-Weave Shower Sandal, Orange, PVC - Size 08</t>
  </si>
  <si>
    <t>901663</t>
  </si>
  <si>
    <t>Basket-Weave Shower Sandal, Orange, PVC - Size 10</t>
  </si>
  <si>
    <t>901665</t>
  </si>
  <si>
    <t>Basket-Weave Shower Sandal, Orange, PVC - Size 12</t>
  </si>
  <si>
    <t>901667</t>
  </si>
  <si>
    <t>Basket-Weave Shower Sandal, Orange, PVC - Size 14</t>
  </si>
  <si>
    <t>901669</t>
  </si>
  <si>
    <t>Basket-Weave Shower Sandal, Orange, PVC - Size 17</t>
  </si>
  <si>
    <t>901672</t>
  </si>
  <si>
    <t>Wash Cloth, 1lb White - 12/cs</t>
  </si>
  <si>
    <t>Laundry</t>
  </si>
  <si>
    <t>907106</t>
  </si>
  <si>
    <t>Wash Cloth, Beige</t>
  </si>
  <si>
    <t>Towel Hub</t>
  </si>
  <si>
    <t>BE1313-PP</t>
  </si>
  <si>
    <t>907120</t>
  </si>
  <si>
    <t>Hygiene</t>
  </si>
  <si>
    <t>603997</t>
  </si>
  <si>
    <t>Towel, 5lb White, 20 x 40</t>
  </si>
  <si>
    <t>907000</t>
  </si>
  <si>
    <t>Towel, 6lb White, 22 x 44</t>
  </si>
  <si>
    <t>907001</t>
  </si>
  <si>
    <t>Towel, Beige, 27 x 52</t>
  </si>
  <si>
    <t>907011</t>
  </si>
  <si>
    <t>Blue Towels</t>
  </si>
  <si>
    <t>907013</t>
  </si>
  <si>
    <t>Mesh Bag w/Drawstring, 24 x 36</t>
  </si>
  <si>
    <t>907500</t>
  </si>
  <si>
    <t>Master Lock w/Key (142DCM)</t>
  </si>
  <si>
    <t>Security</t>
  </si>
  <si>
    <t>542149</t>
  </si>
  <si>
    <t>Bowl w/Lid, 24oz - 150/cs</t>
  </si>
  <si>
    <t>Grocery - Plasticware</t>
  </si>
  <si>
    <t>569557</t>
  </si>
  <si>
    <t>Tumbler w/Lid, Clear Plastic, 22oz - 100/cs</t>
  </si>
  <si>
    <t>569496</t>
  </si>
  <si>
    <t>Clear Soft Mugs, 12oz - 48/cs</t>
  </si>
  <si>
    <t>569514</t>
  </si>
  <si>
    <t>Spork, Beige - 144/cs</t>
  </si>
  <si>
    <t>577905</t>
  </si>
  <si>
    <t>Spork Medium Weight White Wrapped 1000ct</t>
  </si>
  <si>
    <t>578000</t>
  </si>
  <si>
    <t>West Bend Clear Hot Pots #53645R, 350Wt, 4/cs</t>
  </si>
  <si>
    <t>411107</t>
  </si>
  <si>
    <t>Hot Pot - 5 Cup</t>
  </si>
  <si>
    <t>Energizer Batteries AA - 48/cs</t>
  </si>
  <si>
    <t>Electronics</t>
  </si>
  <si>
    <t>442840</t>
  </si>
  <si>
    <t>Tenergy Batteries AA, 4pk - 12/cs</t>
  </si>
  <si>
    <t>442920</t>
  </si>
  <si>
    <t>Energizer Batteries AAA - 48/cs</t>
  </si>
  <si>
    <t>442841</t>
  </si>
  <si>
    <t>JWIN JXM AM/FM Radio, Clear</t>
  </si>
  <si>
    <t>411199</t>
  </si>
  <si>
    <t>Sentry Ear-Buds 3.5ft, Black (HO220)</t>
  </si>
  <si>
    <t>411151</t>
  </si>
  <si>
    <t>411154</t>
  </si>
  <si>
    <t>City Tele-Coin Company, Inc.</t>
  </si>
  <si>
    <t>625</t>
  </si>
  <si>
    <t>411155</t>
  </si>
  <si>
    <t>Playing Cards - 12/cs</t>
  </si>
  <si>
    <t>Games</t>
  </si>
  <si>
    <t>411316</t>
  </si>
  <si>
    <t>Double-Six Dominoes, Wooden - 12/cs</t>
  </si>
  <si>
    <t>409212</t>
  </si>
  <si>
    <t>SKIP BO Card Game, International Games</t>
  </si>
  <si>
    <t>Amazon</t>
  </si>
  <si>
    <t>SKIP BO (No Item #)</t>
  </si>
  <si>
    <t>Rook Card Game, Hasbro</t>
  </si>
  <si>
    <t>Rook (No Item #)</t>
  </si>
  <si>
    <t>Farkle Flip Card Game, PlayMonster</t>
  </si>
  <si>
    <t>Farkle Flip (No Item #)</t>
  </si>
  <si>
    <t>Phase 10 Card Game, Mattel</t>
  </si>
  <si>
    <t>Phase 10 (No Item #)</t>
  </si>
  <si>
    <t>UNO, Classic Card Game, Mattell</t>
  </si>
  <si>
    <t>UNO (No Item #)</t>
  </si>
  <si>
    <t>Checkerboard Set - 12/cs</t>
  </si>
  <si>
    <t>409210</t>
  </si>
  <si>
    <t>Chess Set - 12/cs</t>
  </si>
  <si>
    <t>409211</t>
  </si>
  <si>
    <t>Variety Puzzles &amp; Games Book</t>
  </si>
  <si>
    <t>409201</t>
  </si>
  <si>
    <t>409203</t>
  </si>
  <si>
    <t>Adult Coloring Book, Random Design - 72/cs</t>
  </si>
  <si>
    <t>409207</t>
  </si>
  <si>
    <t>Webster's Standard Dictionary</t>
  </si>
  <si>
    <t>Stationery</t>
  </si>
  <si>
    <t>409144</t>
  </si>
  <si>
    <t>Writing Pad, Ruled White Letter Size 8.5 x 11, 50pgs - 72/cs</t>
  </si>
  <si>
    <t>406715</t>
  </si>
  <si>
    <t>Writing Pad, Ruled White Legal Size 8.5 x 14, 50pgs - 72/cs</t>
  </si>
  <si>
    <t>406753</t>
  </si>
  <si>
    <t>Scratch Pad, Plain White, 8.5 x 11, 50pgs - 72/cs</t>
  </si>
  <si>
    <t>406716</t>
  </si>
  <si>
    <t>Art Pad (8.5x11, 50pg)</t>
  </si>
  <si>
    <t>404897</t>
  </si>
  <si>
    <t>404930</t>
  </si>
  <si>
    <t>Coloring Pencils, 12pk - 12/cs</t>
  </si>
  <si>
    <t>407655</t>
  </si>
  <si>
    <t>Pink Cap Erasers - 50/cs</t>
  </si>
  <si>
    <t>408745</t>
  </si>
  <si>
    <t>Flex Pens</t>
  </si>
  <si>
    <t>405753</t>
  </si>
  <si>
    <t>Bic Pens - Black 60ct</t>
  </si>
  <si>
    <t>405655</t>
  </si>
  <si>
    <t>BIC Pen, Black</t>
  </si>
  <si>
    <t>BIC Crystal Blue Pen, 10ct - 12/cs</t>
  </si>
  <si>
    <t>405561</t>
  </si>
  <si>
    <t>BIC Cristal Pen, Blue</t>
  </si>
  <si>
    <t>Bazic Pencil Round Sharpener - 20/cs</t>
  </si>
  <si>
    <t>408113</t>
  </si>
  <si>
    <t>Stationery - Greeting Cards</t>
  </si>
  <si>
    <t>411337</t>
  </si>
  <si>
    <t>Friendship Card</t>
  </si>
  <si>
    <t>411339</t>
  </si>
  <si>
    <t>Love Card</t>
  </si>
  <si>
    <t>411330</t>
  </si>
  <si>
    <t>Birthday Card</t>
  </si>
  <si>
    <t>Happy Holidays Card w/Envelope</t>
  </si>
  <si>
    <t>411347</t>
  </si>
  <si>
    <t>Holiday Card</t>
  </si>
  <si>
    <t>411346</t>
  </si>
  <si>
    <t>Christmas Card</t>
  </si>
  <si>
    <t>411322</t>
  </si>
  <si>
    <t>Blank Card</t>
  </si>
  <si>
    <t>411326</t>
  </si>
  <si>
    <t>Thanksgiving Card</t>
  </si>
  <si>
    <t>411344</t>
  </si>
  <si>
    <t>Mother's Day Card</t>
  </si>
  <si>
    <t>Greeting Cards w/Envelope, Easter - 6/cs</t>
  </si>
  <si>
    <t>411343</t>
  </si>
  <si>
    <t>Easter Card</t>
  </si>
  <si>
    <t>411345</t>
  </si>
  <si>
    <t>Father's Day Card</t>
  </si>
  <si>
    <t>Get Well Card w/Envelope</t>
  </si>
  <si>
    <t>411335</t>
  </si>
  <si>
    <t>Get Well Card</t>
  </si>
  <si>
    <t>411327</t>
  </si>
  <si>
    <t>Halloween Card</t>
  </si>
  <si>
    <t>Greeting Cards w/Envelope, Valentine's - 6/cs</t>
  </si>
  <si>
    <t>411342</t>
  </si>
  <si>
    <t>Valentine's Day Card</t>
  </si>
  <si>
    <t>Photo Album, 20pg - 24/cs</t>
  </si>
  <si>
    <t>Photo Albums</t>
  </si>
  <si>
    <t>407530</t>
  </si>
  <si>
    <t>408757</t>
  </si>
  <si>
    <t>Single #10 Envelope (Plain)</t>
  </si>
  <si>
    <t>408757-1</t>
  </si>
  <si>
    <t>Kraft Gummed Envelope, 9 x 12 - 250/cs</t>
  </si>
  <si>
    <t>409056</t>
  </si>
  <si>
    <t>Stamped Envelopes</t>
  </si>
  <si>
    <t>409112</t>
  </si>
  <si>
    <t>Prestamped #10 Envelope</t>
  </si>
  <si>
    <t>409114</t>
  </si>
  <si>
    <t>Prestamped Postcard</t>
  </si>
  <si>
    <t>Stamps, 10ct Booklet - 100/cs</t>
  </si>
  <si>
    <t>Stamps</t>
  </si>
  <si>
    <t>409113</t>
  </si>
  <si>
    <t>Stamp Booklet (10ct)</t>
  </si>
  <si>
    <t>Holy Bible, Paperback KJV - 24/cs</t>
  </si>
  <si>
    <t>Religious</t>
  </si>
  <si>
    <t>410500</t>
  </si>
  <si>
    <t>Holy Bible, KJV</t>
  </si>
  <si>
    <t>Holy Bible, Spanish Translation - 1/cs</t>
  </si>
  <si>
    <t>410501</t>
  </si>
  <si>
    <t>Santa Biblia</t>
  </si>
  <si>
    <t>NIV Celebrate Recovery Study Bible, Softcover 12/cs</t>
  </si>
  <si>
    <t>Bibles in Bulk</t>
  </si>
  <si>
    <t>SKU 9780310445173</t>
  </si>
  <si>
    <t>NIV Recovery Study Bible</t>
  </si>
  <si>
    <t>Book of Mormom, English, Regular Size</t>
  </si>
  <si>
    <t>Church of Jesus Christ</t>
  </si>
  <si>
    <t>30923000</t>
  </si>
  <si>
    <t>Book of Mormon</t>
  </si>
  <si>
    <t>Quran, English Translation - 1/cs</t>
  </si>
  <si>
    <t>410499</t>
  </si>
  <si>
    <t>Quran (in English)</t>
  </si>
  <si>
    <t>Prayer Rug</t>
  </si>
  <si>
    <t>410498</t>
  </si>
  <si>
    <t>Satanic Bible - Anton LaVey</t>
  </si>
  <si>
    <t>410506</t>
  </si>
  <si>
    <t>Satanic Bible</t>
  </si>
  <si>
    <t>Black Reusable Face Mask, 1pc</t>
  </si>
  <si>
    <t>Personal Protective Equipment</t>
  </si>
  <si>
    <t>386705</t>
  </si>
  <si>
    <t>E-Cig, Regular</t>
  </si>
  <si>
    <t>E-Cigs</t>
  </si>
  <si>
    <t>411147</t>
  </si>
  <si>
    <t>E-Cig, Menthol</t>
  </si>
  <si>
    <t>411148</t>
  </si>
  <si>
    <t>E-Dip</t>
  </si>
  <si>
    <t>Smart Vending Services, LLC</t>
  </si>
  <si>
    <t>2ONE Wintergreen - 8mg</t>
  </si>
  <si>
    <t>3940</t>
  </si>
  <si>
    <t>2ONE Glacier Mint - 8mg</t>
  </si>
  <si>
    <t>3941</t>
  </si>
  <si>
    <t>2ONE Very Berry - 8mg</t>
  </si>
  <si>
    <t>3942</t>
  </si>
  <si>
    <t>2ONE Mocha Java - 8mg</t>
  </si>
  <si>
    <t>3943</t>
  </si>
  <si>
    <t>Tobacco</t>
  </si>
  <si>
    <t>3990</t>
  </si>
  <si>
    <t>Dalan Refreshing Bar Soap, 3.17oz bar - 72/cs</t>
  </si>
  <si>
    <t>597977</t>
  </si>
  <si>
    <t>Jergens Bar Soap, Mild, 4.5oz bar - 4/24/cs</t>
  </si>
  <si>
    <t>392992</t>
  </si>
  <si>
    <t>Irish Spring Bar Soap, Original Green, 3.7oz bar - 80/cs</t>
  </si>
  <si>
    <t>598946</t>
  </si>
  <si>
    <t>Freshscent Deodorant Soap, 3oz</t>
  </si>
  <si>
    <t>400930</t>
  </si>
  <si>
    <t>Dial Antibacterial Gold Soap - 88/cs</t>
  </si>
  <si>
    <t>598375</t>
  </si>
  <si>
    <t>Ambi Cocoa Butter Soap, 3.5oz - 24/cs</t>
  </si>
  <si>
    <t>392210</t>
  </si>
  <si>
    <t>Soap Dish, Hinged Box SD3 - 100/cs</t>
  </si>
  <si>
    <t>602751</t>
  </si>
  <si>
    <t>Soap Dish</t>
  </si>
  <si>
    <t>396885</t>
  </si>
  <si>
    <t>Dial Roll-On Deodorant</t>
  </si>
  <si>
    <t>400932</t>
  </si>
  <si>
    <t>Freshscent Roll-On Deodorant</t>
  </si>
  <si>
    <t>Lady Speed Stick Deoderant, Shower Fresh, 1.4oz stick - 12/cs</t>
  </si>
  <si>
    <t>397281</t>
  </si>
  <si>
    <t>397695</t>
  </si>
  <si>
    <t>Speed Stick, Fresh Scent</t>
  </si>
  <si>
    <t>Degree Solid Extreme Blast 12/1.7oz</t>
  </si>
  <si>
    <t>396879</t>
  </si>
  <si>
    <t>Suave Powder Scent A/P Deodorant 12/1.4oz</t>
  </si>
  <si>
    <t>397789</t>
  </si>
  <si>
    <t>Freshscent Brushless Shave Cream w/Menthol, 3oz tube - 12/cs</t>
  </si>
  <si>
    <t>399543</t>
  </si>
  <si>
    <t>Shaving Cream</t>
  </si>
  <si>
    <t>Magic Shave Cream (Regular), 6oz tube - 6/cs</t>
  </si>
  <si>
    <t>399951</t>
  </si>
  <si>
    <t>Freshscent After Shave, 4oz bottle - 60/cs</t>
  </si>
  <si>
    <t>400949</t>
  </si>
  <si>
    <t>After Shave Lotion</t>
  </si>
  <si>
    <t>Colgate Regular Cavity Protection Toothpaste, 2.5oz tube - 24/cs</t>
  </si>
  <si>
    <t>390856</t>
  </si>
  <si>
    <t>Close-Up Red Gel Cinnamon Toothpaste, 4oz tube - 24/cs</t>
  </si>
  <si>
    <t>389675</t>
  </si>
  <si>
    <t>400933</t>
  </si>
  <si>
    <t>Aim Blue Gel Toothpaste w/ TC, 6oz - 24/cs</t>
  </si>
  <si>
    <t>389544</t>
  </si>
  <si>
    <t>Colgate Sensitive Toothpaste, 6oz tube - 24/cs</t>
  </si>
  <si>
    <t>389890</t>
  </si>
  <si>
    <t>Tek Toothbrush w/Medium Bristles - 72/cs</t>
  </si>
  <si>
    <t>389436</t>
  </si>
  <si>
    <t>389296</t>
  </si>
  <si>
    <t>Thumb Toothbrush - 72/cs</t>
  </si>
  <si>
    <t>389440</t>
  </si>
  <si>
    <t>Colgate Full Head Soft Toothbrush - 72/cs</t>
  </si>
  <si>
    <t>389205</t>
  </si>
  <si>
    <t>Toothbrush Holder, Clear - 100/cs</t>
  </si>
  <si>
    <t>400911</t>
  </si>
  <si>
    <t>Toothbrush Holder</t>
  </si>
  <si>
    <t>Dental Floss Safety Loops (Mint) 30ct - 144/cs</t>
  </si>
  <si>
    <t>390578</t>
  </si>
  <si>
    <t>Dental Floss Loops (30ct)</t>
  </si>
  <si>
    <t>Freshmint Mouthwash, Alchohol Free, 4oz bottle - 60/cs</t>
  </si>
  <si>
    <t>390963</t>
  </si>
  <si>
    <t>Mouthwash</t>
  </si>
  <si>
    <t>Denture Adhesive Cream, 2.4oz tube - 12/cs</t>
  </si>
  <si>
    <t>390301</t>
  </si>
  <si>
    <t>Denture Adhesive</t>
  </si>
  <si>
    <t>Freshmint Denture Cleanser - 24/40/cs</t>
  </si>
  <si>
    <t>400910</t>
  </si>
  <si>
    <t>Freshmint Denture Cleanser Tabs</t>
  </si>
  <si>
    <t>Dr. Sheffields Oral Pain Relief, .33oz - 24/cs</t>
  </si>
  <si>
    <t>Medicine</t>
  </si>
  <si>
    <t>390978</t>
  </si>
  <si>
    <t>Classic Cotton Swabs, 90pk - 96/cs</t>
  </si>
  <si>
    <t>388902</t>
  </si>
  <si>
    <t>Handkerchiefs - 24/cs</t>
  </si>
  <si>
    <t>411654</t>
  </si>
  <si>
    <t>Foam Earplugs, Uncorded, 2pk - 200/cs</t>
  </si>
  <si>
    <t>404871</t>
  </si>
  <si>
    <t>Green Heritage 2-Ply Toilet Tissue - 96/cs</t>
  </si>
  <si>
    <t>593386</t>
  </si>
  <si>
    <t>Nail Clippers, No File - 12/cs</t>
  </si>
  <si>
    <t>396524</t>
  </si>
  <si>
    <t>Nail Clippers</t>
  </si>
  <si>
    <t>Emery Board - 100/cs</t>
  </si>
  <si>
    <t>396579</t>
  </si>
  <si>
    <t>Toe Nail Clippers "No File" - 12/cs</t>
  </si>
  <si>
    <t>396526</t>
  </si>
  <si>
    <t>Toe Nail Clippers</t>
  </si>
  <si>
    <t>398705</t>
  </si>
  <si>
    <t>Douche, Fresh Scent, 4.5oz bottle - 12/cs</t>
  </si>
  <si>
    <t>Female</t>
  </si>
  <si>
    <t>589502</t>
  </si>
  <si>
    <t>Coralite Maxipads, Regular, 14ct - 24/cs</t>
  </si>
  <si>
    <t>588270</t>
  </si>
  <si>
    <t>Best Choice Tampons, Regular, 40ct box - 12/cs</t>
  </si>
  <si>
    <t>588301</t>
  </si>
  <si>
    <t>VO5 Extra Body Shampoo, 12.5oz bottle - 6/cs</t>
  </si>
  <si>
    <t>393645</t>
  </si>
  <si>
    <t>Herbal Shampoo, Vanilla &amp; Vitamin E, 12oz bottle - 12/cs</t>
  </si>
  <si>
    <t>393426</t>
  </si>
  <si>
    <t>VO5 Strawberries &amp; Cream Shampoo 12.5oz 6/cs</t>
  </si>
  <si>
    <t>393652</t>
  </si>
  <si>
    <t>Dandruff Shampoo, 1% Pyrithione Zinc, 13.5oz bottle - 12/cs</t>
  </si>
  <si>
    <t>393422</t>
  </si>
  <si>
    <t>Sulfur 8 Shampoo, 7.5oz - 12/cs</t>
  </si>
  <si>
    <t>393500</t>
  </si>
  <si>
    <t>Sulfur 8 Medicated Conditioner - 12/cs</t>
  </si>
  <si>
    <t>393942</t>
  </si>
  <si>
    <t>VO5 Extra Body Conditioner, 12.5oz bottle - 6/cs</t>
  </si>
  <si>
    <t>393950</t>
  </si>
  <si>
    <t>Herbal Conditioner, Vanilla, 12oz bottle - 12/cs</t>
  </si>
  <si>
    <t>393746</t>
  </si>
  <si>
    <t>VO5 Strawberries &amp; Cream Conditioner 12.5oz 6/cs</t>
  </si>
  <si>
    <t>393959</t>
  </si>
  <si>
    <t>Freshscent Shampoo &amp; Bodywash, 4oz</t>
  </si>
  <si>
    <t>400923</t>
  </si>
  <si>
    <t>White Rain Mens 3-In-1 Sh+Cnd+BW, 6/15oz</t>
  </si>
  <si>
    <t>394033</t>
  </si>
  <si>
    <t>Suave Ocean Breeze Body Wash, 15oz -6/cs</t>
  </si>
  <si>
    <t>603200</t>
  </si>
  <si>
    <t>Suave Ocean Breeze Body Wash</t>
  </si>
  <si>
    <t>Pocket Comb, 5"</t>
  </si>
  <si>
    <t>Hygiene - Hair Styling</t>
  </si>
  <si>
    <t>395921</t>
  </si>
  <si>
    <t>Dresser Comb, 8" - 12/cs</t>
  </si>
  <si>
    <t>395510</t>
  </si>
  <si>
    <t>Palm Brush w/Nylon Bristles, No Handle - 12/cs</t>
  </si>
  <si>
    <t>395570</t>
  </si>
  <si>
    <t>FreeStyle Ponytail Holders, Black, 18pk - 12/cs</t>
  </si>
  <si>
    <t>396097</t>
  </si>
  <si>
    <t>Hair Scrunchy - 24/cs</t>
  </si>
  <si>
    <t>396106</t>
  </si>
  <si>
    <t>Durag, Black - 6/cs</t>
  </si>
  <si>
    <t>396004</t>
  </si>
  <si>
    <t>Murray's Hair Pomade, 3oz tub - 24/cs</t>
  </si>
  <si>
    <t>394100</t>
  </si>
  <si>
    <t>Royal Crown Hair Dressing, 4oz jar - 12/cs</t>
  </si>
  <si>
    <t>395236</t>
  </si>
  <si>
    <t>DEP Alcohol Free Styling Gel, 2oz - 36/cs</t>
  </si>
  <si>
    <t>394056</t>
  </si>
  <si>
    <t>Dark &amp; Lovely Super Relaxer - 6/cs</t>
  </si>
  <si>
    <t>395260</t>
  </si>
  <si>
    <t>Lusti Hair Food, 4oz tub - 24/cs</t>
  </si>
  <si>
    <t>395066</t>
  </si>
  <si>
    <t>Luster's Pink Oil, 8oz - 12/cs</t>
  </si>
  <si>
    <t>394702</t>
  </si>
  <si>
    <t>Luster's Pink Oil Hair Moisturizer</t>
  </si>
  <si>
    <t>Wahl Quick Cut 10-pc Hair Clipper Set</t>
  </si>
  <si>
    <t>CTC Commissary, LLC</t>
  </si>
  <si>
    <t>9314-1501</t>
  </si>
  <si>
    <t>Hair Clippers</t>
  </si>
  <si>
    <t>CareAll Petroleum Jelly, 4oz jar - 12/cs</t>
  </si>
  <si>
    <t>Hygiene - Skin Care</t>
  </si>
  <si>
    <t>400893</t>
  </si>
  <si>
    <t>Freshscent Baby Oil, 4oz clear bottle - 60/cs</t>
  </si>
  <si>
    <t>400913</t>
  </si>
  <si>
    <t>Cocoa Butter Skin Lotion, 20oz bottle - 12/cs</t>
  </si>
  <si>
    <t>393200</t>
  </si>
  <si>
    <t>Personal Care Vitamin E. Lotion, 20oz - 12/cs</t>
  </si>
  <si>
    <t>393235</t>
  </si>
  <si>
    <t>Personal Care Aloe Vera Lotion, 20oz - 12/cs</t>
  </si>
  <si>
    <t>393190</t>
  </si>
  <si>
    <t>392843</t>
  </si>
  <si>
    <t>Sunscreen (SPF 30)</t>
  </si>
  <si>
    <t>Freshscent Baby Powder w/Corn Starch, 4oz container - 48/cs</t>
  </si>
  <si>
    <t>400803</t>
  </si>
  <si>
    <t>ChapIce Lip Balm Original, 0.15oz stick - 32/cs</t>
  </si>
  <si>
    <t>386384</t>
  </si>
  <si>
    <t>Dr. Sheffield's Tolnaftate Cream, 0.5oz tube - 24/cs</t>
  </si>
  <si>
    <t>401031</t>
  </si>
  <si>
    <t>401079</t>
  </si>
  <si>
    <t>Dr. Sheffield's Zit Cream, 1oz tube - 24/cs</t>
  </si>
  <si>
    <t>392320</t>
  </si>
  <si>
    <t>Dr. Sheffield's Hydrocortisone Cream, 0.5oz tube - 24/cs</t>
  </si>
  <si>
    <t>400959</t>
  </si>
  <si>
    <t>Prescription Care Original Skin Cream, 4oz jar - 24/cs</t>
  </si>
  <si>
    <t>392544</t>
  </si>
  <si>
    <t>Dr Sheffield's Triple Antibiotic Ointment, 0.33oz - 24/cs</t>
  </si>
  <si>
    <t>401032</t>
  </si>
  <si>
    <t>Triple Antibiotic Ointment</t>
  </si>
  <si>
    <t>WFPLUS Colorful Contact Lens Case, 30/cs</t>
  </si>
  <si>
    <t>Hygiene - Eye Care</t>
  </si>
  <si>
    <t>385962</t>
  </si>
  <si>
    <t>Renu Multi-Solution Adv. Formula for Contact Lenses, 2oz bottle - 24/cs</t>
  </si>
  <si>
    <t>385966</t>
  </si>
  <si>
    <t>Family Care Sterile Eye Drops, 0.5oz - 24/cs</t>
  </si>
  <si>
    <t>385965</t>
  </si>
  <si>
    <t>Artificial Tears Eye Drops</t>
  </si>
  <si>
    <t>Reading Glasses - Strength 1.00</t>
  </si>
  <si>
    <t>411027</t>
  </si>
  <si>
    <t>Reading Glasses - Strength 1.25</t>
  </si>
  <si>
    <t>411028</t>
  </si>
  <si>
    <t>Reading Glasses - Strength 1.50</t>
  </si>
  <si>
    <t>411029</t>
  </si>
  <si>
    <t>Reading Glasses - Strength 1.75</t>
  </si>
  <si>
    <t>411030</t>
  </si>
  <si>
    <t>Reading Glasses - Strength 2.00</t>
  </si>
  <si>
    <t>411031</t>
  </si>
  <si>
    <t>Reading Glasses - Strength 2.25</t>
  </si>
  <si>
    <t>411032</t>
  </si>
  <si>
    <t>Reading Glasses - Strength 2.50</t>
  </si>
  <si>
    <t>411033</t>
  </si>
  <si>
    <t>Reading Glasses - Strength 2.75</t>
  </si>
  <si>
    <t>411034</t>
  </si>
  <si>
    <t>Reading Glasses - Strength 3.00</t>
  </si>
  <si>
    <t>411035</t>
  </si>
  <si>
    <t>Reading Glasses - Strength 3.25</t>
  </si>
  <si>
    <t>411036</t>
  </si>
  <si>
    <t>Reading Glasses - Strength 3.50</t>
  </si>
  <si>
    <t>411037</t>
  </si>
  <si>
    <t>Acetaminophen, 2pk</t>
  </si>
  <si>
    <t>384200</t>
  </si>
  <si>
    <t>Ibuprofen, 2pk</t>
  </si>
  <si>
    <t>384201</t>
  </si>
  <si>
    <t>Alka Seltzer Original, 2pk - 58/cs</t>
  </si>
  <si>
    <t>384159</t>
  </si>
  <si>
    <t>Sinus Pain &amp; Pressure, 2pk - 250/cs</t>
  </si>
  <si>
    <t>384203</t>
  </si>
  <si>
    <t>Diphen Allergy Relief, 2pks - 100/bx</t>
  </si>
  <si>
    <t>FILL IN LATER</t>
  </si>
  <si>
    <t>Rolaids Regular Mint, 12pk - 12/cs</t>
  </si>
  <si>
    <t>384168</t>
  </si>
  <si>
    <t>Halls Menthol Cough Drops, 9ct roll - 20/cs</t>
  </si>
  <si>
    <t>381640</t>
  </si>
  <si>
    <t>Halls Cherry Cough Drops, 9ct roll - 20/cs</t>
  </si>
  <si>
    <t>381525</t>
  </si>
  <si>
    <t>Daily Multivitamin, 100-ct bottle - 12/cs</t>
  </si>
  <si>
    <t>373791</t>
  </si>
  <si>
    <t>Bottled Water, 16.9oz bottle - 24/cs</t>
  </si>
  <si>
    <t>Beverages</t>
  </si>
  <si>
    <t>Vistar</t>
  </si>
  <si>
    <t>UHN00123</t>
  </si>
  <si>
    <t>Coca Cola, 20oz bottle - 24/cs</t>
  </si>
  <si>
    <t>Coca-Cola</t>
  </si>
  <si>
    <t>6100</t>
  </si>
  <si>
    <t>Diet Coke, 20oz bottle - 24/cs</t>
  </si>
  <si>
    <t>6101</t>
  </si>
  <si>
    <t>Dr. Pepper, 20oz bottle - 24/cs</t>
  </si>
  <si>
    <t>DRP2771</t>
  </si>
  <si>
    <t>Diet Dr. Pepper, 20oz bottle - 24/cs</t>
  </si>
  <si>
    <t>DRP50249</t>
  </si>
  <si>
    <t>A&amp;W Root Beer, 20oz bottle - 24/cs</t>
  </si>
  <si>
    <t>DRP32500</t>
  </si>
  <si>
    <t>Pineapple Soda, 20oz bottle - 24/cs</t>
  </si>
  <si>
    <t>PSH1479</t>
  </si>
  <si>
    <t>Orange Soda, 20oz bottle - 24/cs</t>
  </si>
  <si>
    <t>PSH1477</t>
  </si>
  <si>
    <t>Peach Soda, 20oz bottle - 24/cs</t>
  </si>
  <si>
    <t>PSH00225</t>
  </si>
  <si>
    <t>Arctic Rain Soda, 20oz bottle - 24/cs</t>
  </si>
  <si>
    <t>PSH00226</t>
  </si>
  <si>
    <t>Black Cola Soda, 20oz bottle - 24/cs</t>
  </si>
  <si>
    <t>PSH0228</t>
  </si>
  <si>
    <t>G2 Sport Drink, Cool Blue, 20oz bottle - 24/cs</t>
  </si>
  <si>
    <t>QUA32481</t>
  </si>
  <si>
    <t>G2 Sport Drink, Grape, 20oz bottle - 24/cs</t>
  </si>
  <si>
    <t>QUA20406</t>
  </si>
  <si>
    <t>G2 Sport Drink, Fruit Punch, 20oz bottle - 24/cs</t>
  </si>
  <si>
    <t>QUA20405</t>
  </si>
  <si>
    <t>G2 Sport Drink Frost, Riptide Rush, 20oz bottle - 24/cs</t>
  </si>
  <si>
    <t>QUA32488</t>
  </si>
  <si>
    <t>Wyler's Island Punch - Purple Berry, 10ct box - 12/cs</t>
  </si>
  <si>
    <t>Wyler's Purple Berry (10pk)</t>
  </si>
  <si>
    <t>Wyler's Island Punch - Fruity Red Punch, 10ct box - 12/cs</t>
  </si>
  <si>
    <t>Wyler's Fruity Red Punch (10pk)</t>
  </si>
  <si>
    <t>Wyler's Island Punch - Green Tropical Dream, 10ct - 12/cs</t>
  </si>
  <si>
    <t>Wyler's Island Punch - Blue Ocean Breeze, 10ct - 12/cs</t>
  </si>
  <si>
    <t>Wyler's Island Punch - Radical Lemon Berry, 10ct - 12/cs</t>
  </si>
  <si>
    <t>Kool-Aid On the Go, Tropical Punch, 0.37oz - 72/cs</t>
  </si>
  <si>
    <t>28000</t>
  </si>
  <si>
    <t>Kool-Aid On the Go, Sour Shockin' Blue Raspberry, 0.37oz - 72/cs</t>
  </si>
  <si>
    <t>28001</t>
  </si>
  <si>
    <t>Kool-Aid Singles, Sour Blue Raspberry</t>
  </si>
  <si>
    <t>Kool-Aid On the Go, Sour Snappin' Green Apple, 0.37oz - 72/cs</t>
  </si>
  <si>
    <t>28002</t>
  </si>
  <si>
    <t>Crush Strawberry, 6ct - 12/cs</t>
  </si>
  <si>
    <t>Folgers Classic Roast Instant Coffee, 8oz jar - 6/cs</t>
  </si>
  <si>
    <t>220319</t>
  </si>
  <si>
    <t>Folgers Jar - Instant Coffee (8oz)</t>
  </si>
  <si>
    <t>Folgers Instant Traditional Roast Pouch, 4oz - 24/cs</t>
  </si>
  <si>
    <t>220340</t>
  </si>
  <si>
    <t>Folgers Pouch - Instant Coffee (4oz)</t>
  </si>
  <si>
    <t>Cafe Bustelo Instant Coffee, 3.5oz pouch - 24/cs</t>
  </si>
  <si>
    <t>220433</t>
  </si>
  <si>
    <t>Cafe Bustelo Instant Coffee (3.5oz)</t>
  </si>
  <si>
    <t>Seasonal</t>
  </si>
  <si>
    <t>220435</t>
  </si>
  <si>
    <t>Café Genial Instant Coffee w/Cinnamon</t>
  </si>
  <si>
    <t>Boston's Best Spray Dried Coffee, 4oz pouch - 64/cs</t>
  </si>
  <si>
    <t>220499</t>
  </si>
  <si>
    <t>Flavor Fix Freeze Dried Coffee, 3oz - 24/cs</t>
  </si>
  <si>
    <t>222460</t>
  </si>
  <si>
    <t>Swiss Miss Hot Cocoa Mix, 1.38oz pack - 50/cs</t>
  </si>
  <si>
    <t>231327</t>
  </si>
  <si>
    <t>Cafe Style Mocha Cappuccino, 0.81oz - 300/cs</t>
  </si>
  <si>
    <t>217110</t>
  </si>
  <si>
    <t>Victorian Inn Cappuccino French Vanilla 6/10ct</t>
  </si>
  <si>
    <t>217130</t>
  </si>
  <si>
    <t>Victorian Inn Cappuccino Salted Caramel 6/10/35g</t>
  </si>
  <si>
    <t>217131</t>
  </si>
  <si>
    <t>Instant Milk, Dry Mix, 1qt bag - 12/3/cs</t>
  </si>
  <si>
    <t>216309</t>
  </si>
  <si>
    <t>Folgers Classic Roast Coffee Singles, 7ct box - 12/7/cs</t>
  </si>
  <si>
    <t>220335</t>
  </si>
  <si>
    <t>Single Stick Folgers Classic Roast Coffee</t>
  </si>
  <si>
    <t>220335-1</t>
  </si>
  <si>
    <t>N-Joy Pure Sugar, 22oz canister - 8/cs</t>
  </si>
  <si>
    <t>Sugar</t>
  </si>
  <si>
    <t>252090</t>
  </si>
  <si>
    <t>Sugar, 0.1oz packets - 2000/cs</t>
  </si>
  <si>
    <t>BULK20</t>
  </si>
  <si>
    <t>Sugar Twin Sweetener, 100pk - 12/100/cs</t>
  </si>
  <si>
    <t>Sugar Substitute</t>
  </si>
  <si>
    <t>252080</t>
  </si>
  <si>
    <t>Sugar Substitute, 10pk</t>
  </si>
  <si>
    <t>252080-1</t>
  </si>
  <si>
    <t>Sugar Twin Sweetener Packets (10ct)</t>
  </si>
  <si>
    <t>Creamer, 2.5gm packets - 1000/cs</t>
  </si>
  <si>
    <t>Creamer</t>
  </si>
  <si>
    <t>BULK22</t>
  </si>
  <si>
    <t>N-Joy Coffee Creamer, 16oz - 8/cs</t>
  </si>
  <si>
    <t>216945</t>
  </si>
  <si>
    <t>Ketchup, 9gm packets - 1000/cs</t>
  </si>
  <si>
    <t>Condiments/Seasonings</t>
  </si>
  <si>
    <t>334201</t>
  </si>
  <si>
    <t>BBQ Sauce, 9gm packets - 200/cs</t>
  </si>
  <si>
    <t>BULK28</t>
  </si>
  <si>
    <t>Mayonnaise, 9gm packets - 500/cs</t>
  </si>
  <si>
    <t>BULK26</t>
  </si>
  <si>
    <t>Mustard, 7gm packets - 500/cs</t>
  </si>
  <si>
    <t>334215</t>
  </si>
  <si>
    <t>Taco Sauce, 9gm packets - 200/cs</t>
  </si>
  <si>
    <t>BFSVENL283</t>
  </si>
  <si>
    <t>O.F. Foods Louisiana Hot Sauce, 0.5oz packets - 300/cs</t>
  </si>
  <si>
    <t>334168</t>
  </si>
  <si>
    <t>Squeeze Hot Sauce Packet</t>
  </si>
  <si>
    <t>O.F. Foods Cheese Jalapeno, 1oz packets - 200/cs</t>
  </si>
  <si>
    <t>334156</t>
  </si>
  <si>
    <t>Tito's Sliced Jalapenos, 0.7oz packets - 300/cs</t>
  </si>
  <si>
    <t>314199</t>
  </si>
  <si>
    <t>O.F. Foods Grape Jelly, 1oz packets - 200/cs</t>
  </si>
  <si>
    <t>334120</t>
  </si>
  <si>
    <t>O.F. Foods Strawberry Jelly, 1oz packets - 200/cs</t>
  </si>
  <si>
    <t>334100</t>
  </si>
  <si>
    <t>O.F. Foods Hot Salsa, 15.5oz - 12/cs</t>
  </si>
  <si>
    <t>321156</t>
  </si>
  <si>
    <t>Hot Salsa Squeeze (15.5oz)</t>
  </si>
  <si>
    <t>O.F. Foods Jalapeno Squeeze Cheese, 16oz - 12/cs</t>
  </si>
  <si>
    <t>206409</t>
  </si>
  <si>
    <t>Jalapeno Squeeze Cheese (16oz)</t>
  </si>
  <si>
    <t>Blackburn's Grape Jelly, 19oz - 12/cs</t>
  </si>
  <si>
    <t>300280</t>
  </si>
  <si>
    <t>Grape Jelly Squeeze (19oz)</t>
  </si>
  <si>
    <t>Blackburn's Strawberry Jelly, 19oz - 12/cs</t>
  </si>
  <si>
    <t>300279</t>
  </si>
  <si>
    <t>Strawberry Jelly Squeeze (19oz)</t>
  </si>
  <si>
    <t>Tostitos Salsa, 3.8oz cup - 30/cs</t>
  </si>
  <si>
    <t>FRI47906</t>
  </si>
  <si>
    <t>Rico's Nacho Cheese, 3.5oz cup - 48/cs</t>
  </si>
  <si>
    <t>RIC21148</t>
  </si>
  <si>
    <t>Ranch Dressing, 2oz cup - 60/cs</t>
  </si>
  <si>
    <t>HEI544300</t>
  </si>
  <si>
    <t>Tito's Jalapeno Peppers - Sliced, 12oz - 12/cs</t>
  </si>
  <si>
    <t>314195</t>
  </si>
  <si>
    <t>12oz Tub - Jalapeno Peppers</t>
  </si>
  <si>
    <t>Algood Creamy Peanut Butter, 18oz Jar - 12/cs</t>
  </si>
  <si>
    <t>Grocery</t>
  </si>
  <si>
    <t>306955</t>
  </si>
  <si>
    <t>Peanut Butter Jar (18oz)</t>
  </si>
  <si>
    <t>Jif To Go Creamy Peanut Butter Cups, 1.5oz cups - 6/8/cs</t>
  </si>
  <si>
    <t>333998</t>
  </si>
  <si>
    <t>Algood Peanut Butter - Crunchy, 18oz - 12/cs</t>
  </si>
  <si>
    <t>306956</t>
  </si>
  <si>
    <t>Crunchy Peanut Butter (18oz)</t>
  </si>
  <si>
    <t>Tony Chachere's Creole Seasoning, 0.5oz packets - 1000/cs</t>
  </si>
  <si>
    <t>260205</t>
  </si>
  <si>
    <t>Salt Packets, 0.6gr - 3000/cs</t>
  </si>
  <si>
    <t>BULK23</t>
  </si>
  <si>
    <t>Pepper Packets, 0.1gr - 3000/cs</t>
  </si>
  <si>
    <t>BULK24</t>
  </si>
  <si>
    <t>Better Valu Garlic Powder, 1.75oz shaker - 12/cs</t>
  </si>
  <si>
    <t>260277</t>
  </si>
  <si>
    <t>Better Valu Minced Onion, 1.75oz shaker - 12/cs</t>
  </si>
  <si>
    <t>284050</t>
  </si>
  <si>
    <t>Better Valu Seasoned Salt, 5.25oz shaker - 12/cs</t>
  </si>
  <si>
    <t>284117</t>
  </si>
  <si>
    <t>Louisiana Supreme Hot Sauce, 5oz - 24/cs</t>
  </si>
  <si>
    <t>320240</t>
  </si>
  <si>
    <t>Aunt Dot's Hot Chili w/Beans, 7.5oz pouch - 24/cs</t>
  </si>
  <si>
    <t>94387</t>
  </si>
  <si>
    <t>Aunt Dot's Chili, No Beans, 7.5oz pouch - 24/cs</t>
  </si>
  <si>
    <t>94384</t>
  </si>
  <si>
    <t>Aunt Dot's Beef Stew, 7.5oz pouch - 24/cs</t>
  </si>
  <si>
    <t>94395</t>
  </si>
  <si>
    <t>Geisha Light Tuna in Water, 6oz pouch - 24/cs</t>
  </si>
  <si>
    <t>92520</t>
  </si>
  <si>
    <t>Geisha Sardines in Oil, 3.53oz pouch - 24/cs</t>
  </si>
  <si>
    <t>92429</t>
  </si>
  <si>
    <t>Geisha Sardines in Hot Sauce, 3.53oz pouch - 24/cs</t>
  </si>
  <si>
    <t>92361</t>
  </si>
  <si>
    <t>Geisha Whole Mackerel in Water, 12oz pouch - 24/cs</t>
  </si>
  <si>
    <t>92254</t>
  </si>
  <si>
    <t>Dona Adela Chilorio Shredded Pork, 70/4.4oz</t>
  </si>
  <si>
    <t>92578</t>
  </si>
  <si>
    <t>Geisha Mackeral in Sriracha Hot Sauce 24/3.53oz</t>
  </si>
  <si>
    <t>92529</t>
  </si>
  <si>
    <t>Geisha Smoked Oysters in Oil-Pouch, 3.53oz - 24/cs</t>
  </si>
  <si>
    <t>Williams Fully Cooked Bacon - 12/2.2oz</t>
  </si>
  <si>
    <t>206999</t>
  </si>
  <si>
    <t>Reinhart Foodservice</t>
  </si>
  <si>
    <t>CookQuik Instant Refried Beans w/Jalapenos, 8oz - 60/cs</t>
  </si>
  <si>
    <t>290449</t>
  </si>
  <si>
    <t>CookQuik Instant Spanish Rice w/Cheese &amp; Jalapenos, 2.2oz - 48/cs</t>
  </si>
  <si>
    <t>290470</t>
  </si>
  <si>
    <t>CookQuik Instant White Rice, 7oz - 48/cs</t>
  </si>
  <si>
    <t>290437</t>
  </si>
  <si>
    <t>Idahoan Instant Potatoes Loaded Baked 12/4oz</t>
  </si>
  <si>
    <t>172791</t>
  </si>
  <si>
    <t>Instant Mashed Potatoes, Loaded</t>
  </si>
  <si>
    <t>172842</t>
  </si>
  <si>
    <t>Instant Mashed Potatoes, Pepper Jack</t>
  </si>
  <si>
    <t>CookQuik Instant Red Beans &amp; Rice w/chili Flavor, 4.4oz - 48/cs</t>
  </si>
  <si>
    <t>290444</t>
  </si>
  <si>
    <t>Instant Red Beans &amp; Rice w/chili</t>
  </si>
  <si>
    <t>Nuevo Leon 8" Flour Tortillas, 16oz 12pk - 30/cs</t>
  </si>
  <si>
    <t>366622</t>
  </si>
  <si>
    <t>Baker's Harvest Saltine Crackers, 16oz box - 12/cs</t>
  </si>
  <si>
    <t>195016</t>
  </si>
  <si>
    <t>Baker's Harvest Snack Crackers, 10.3oz box - 12/cs</t>
  </si>
  <si>
    <t>195206</t>
  </si>
  <si>
    <t>Village Farm Instant Grits, Butter Flavor 12pk - 12/cs</t>
  </si>
  <si>
    <t>Breakfast</t>
  </si>
  <si>
    <t>182020</t>
  </si>
  <si>
    <t>Village Farm Oatmeal, Variety Flavor 10pk - 12/cs</t>
  </si>
  <si>
    <t>182025</t>
  </si>
  <si>
    <t>M.O.M. Frosted Flakes Cereal, 1oz bowl - 96/cs</t>
  </si>
  <si>
    <t>180100</t>
  </si>
  <si>
    <t>M.O.M. Cinnamon Toaster Cereal, 1oz bowl - 96/cs</t>
  </si>
  <si>
    <t>180101</t>
  </si>
  <si>
    <t>Toast'em Frosted Strawberry Popups 3pk, 11oz - 12/3/cs</t>
  </si>
  <si>
    <t>185298</t>
  </si>
  <si>
    <t>Toast'em Frosted Wild Berry Popups 3pk, 11oz - 12/3/cs</t>
  </si>
  <si>
    <t>185299</t>
  </si>
  <si>
    <t>Toast'em Frosted Cookies &amp; Cream Popups 3pk, 11oz - 12/3/cs</t>
  </si>
  <si>
    <t>185235</t>
  </si>
  <si>
    <t>Toast'em Frosted S'Mores Popups 3pk, 11oz - 12/3/cs</t>
  </si>
  <si>
    <t>185297</t>
  </si>
  <si>
    <t>Toast'em Frosted Cinnamon &amp; Brown Sugar Popups 3pk, 11oz - 12/3/cs</t>
  </si>
  <si>
    <t>185215</t>
  </si>
  <si>
    <t>Toast'em Frosted Chocolate Fudge Poptarts, 12/3/cs</t>
  </si>
  <si>
    <t>185230</t>
  </si>
  <si>
    <t>Toast' em Frosted Cherry Poptarts, 11oz - 12/3/cs</t>
  </si>
  <si>
    <t>185173</t>
  </si>
  <si>
    <t>Frosted Cherry Pop-Ups (3pk)</t>
  </si>
  <si>
    <t>Single Pack Toast'em Frosted Strawberry Popups</t>
  </si>
  <si>
    <t>185298-1</t>
  </si>
  <si>
    <t>Single Pack Toast'em Frosted Wild Berry Popups</t>
  </si>
  <si>
    <t>185299-1</t>
  </si>
  <si>
    <t>Single Pack Toast'em Frosted Cookies &amp; Cream Popups</t>
  </si>
  <si>
    <t>185235-1</t>
  </si>
  <si>
    <t>Single Pack Toast'em Frosted S'Mores Popups</t>
  </si>
  <si>
    <t>185297-1</t>
  </si>
  <si>
    <t>Single Pack Toast'em Frosted Cinnamon &amp; Brown Sugar Popups</t>
  </si>
  <si>
    <t>185215-1</t>
  </si>
  <si>
    <t>185230-1</t>
  </si>
  <si>
    <t>Single Pack Frosted Cherry Pop-Up</t>
  </si>
  <si>
    <t>185173-1</t>
  </si>
  <si>
    <t>Duplex Crème Sandwich Cookies, 5oz - 24/cs</t>
  </si>
  <si>
    <t>Snacks - Cookies/Crackers</t>
  </si>
  <si>
    <t>199904</t>
  </si>
  <si>
    <t>Vanilla Crème Sandwich Cookies, 5oz - 24/cs</t>
  </si>
  <si>
    <t>199902</t>
  </si>
  <si>
    <t>Strawberry Crème Sandwich Cookies, 5oz - 24/cs</t>
  </si>
  <si>
    <t>199903</t>
  </si>
  <si>
    <t>Peanut Butter Crème Sandwhich Cookies, 5oz - 24/cs</t>
  </si>
  <si>
    <t>199900</t>
  </si>
  <si>
    <t>Uncle Al's Banana Crème Cookies, 5oz - 12/cs</t>
  </si>
  <si>
    <t>199907</t>
  </si>
  <si>
    <t>199906</t>
  </si>
  <si>
    <t>Uncle Al's Chocolate Chip Cookies, 5oz - 12/cs</t>
  </si>
  <si>
    <t>199909</t>
  </si>
  <si>
    <t>Uncle Al's Iced Oatmeal Cookies, 5oz - 12/cs</t>
  </si>
  <si>
    <t>199912</t>
  </si>
  <si>
    <t>Vanilla Wafers, 10oz - 12/cs</t>
  </si>
  <si>
    <t>196592</t>
  </si>
  <si>
    <t>Nature Valley Peanut Butter Protein Bar, 1.42oz - 30/cs</t>
  </si>
  <si>
    <t>Snacks - Bars/Nuts</t>
  </si>
  <si>
    <t>28056</t>
  </si>
  <si>
    <t>Granola Bar, Oat &amp; Honey, 1.5oz - 6/28/cs</t>
  </si>
  <si>
    <t>GEM2382</t>
  </si>
  <si>
    <t>Buddy Bars, 3oz - 12/8/cs</t>
  </si>
  <si>
    <t>FLO48051250FOA</t>
  </si>
  <si>
    <t>Rice Krispies Treats Original, 2.13oz - 4/12/cs</t>
  </si>
  <si>
    <t>KEE52402</t>
  </si>
  <si>
    <t>Icy White Honey Bun, 6oz - 8/6/cs</t>
  </si>
  <si>
    <t>Pastries</t>
  </si>
  <si>
    <t>FLO00765FOA</t>
  </si>
  <si>
    <t>Jumbo Glazed Honey Bun, 5oz - 8/6/cs</t>
  </si>
  <si>
    <t>FLO00723FOA</t>
  </si>
  <si>
    <t>Big Texas Cinnamon Roll, 4oz - 36/cs</t>
  </si>
  <si>
    <t>HOS80035</t>
  </si>
  <si>
    <t>Honey Bun Creamy Curl 6/9/4oz</t>
  </si>
  <si>
    <t>FLO5114775FOA</t>
  </si>
  <si>
    <t>Honey Bun Jelly Swirl 6/9/4oz</t>
  </si>
  <si>
    <t>FLO5114776FOA</t>
  </si>
  <si>
    <t>Cake Pecan Twirls 48/3oz</t>
  </si>
  <si>
    <t>FLO91092</t>
  </si>
  <si>
    <t>Chocolate Cupcakes, 4oz - 6/6/cs</t>
  </si>
  <si>
    <t>FLO5115513</t>
  </si>
  <si>
    <t>Mrs. Freshley's Swiss Rolls, 12ct - 24/c</t>
  </si>
  <si>
    <t>FLO48016840</t>
  </si>
  <si>
    <t>Powdered Mini Donuts, 3oz - 6/12/cs</t>
  </si>
  <si>
    <t>FLO48030632FOA</t>
  </si>
  <si>
    <t>Donut Stick 3ct 48/cs</t>
  </si>
  <si>
    <t>FLO48033450</t>
  </si>
  <si>
    <t>Mrs. Freshley's Crunch Mini Donuts, 3.4oz - 6/12/cs</t>
  </si>
  <si>
    <t>802107</t>
  </si>
  <si>
    <t>Brownie Oreo, 3oz - 6/8/cs</t>
  </si>
  <si>
    <t>FLO51075</t>
  </si>
  <si>
    <t>Banana Moon Pie, Dbl Decker, 2.75oz - 9/9/cs</t>
  </si>
  <si>
    <t>NK152</t>
  </si>
  <si>
    <t>Vanilla Moon Pie, Dbl Decker, 2.75oz - 6/9/cs</t>
  </si>
  <si>
    <t>P5290</t>
  </si>
  <si>
    <t>Chocolate Moon Pie, Dbl Decker, 2.75oz - 6/9/cs</t>
  </si>
  <si>
    <t>NK154</t>
  </si>
  <si>
    <t>Moon Pies-Salted Caramel, 2.75oz - 54/cs</t>
  </si>
  <si>
    <t>203173</t>
  </si>
  <si>
    <t>Look Out Pecan Pies 81/3oz</t>
  </si>
  <si>
    <t>MC0001</t>
  </si>
  <si>
    <t>Oatmeal Creme Pie - Double Decker, 3.9oz - 54/cs</t>
  </si>
  <si>
    <t>NK236</t>
  </si>
  <si>
    <t>Double Decker Oatmeal Creme Pie</t>
  </si>
  <si>
    <t>Snickers, 1.86oz - 8/48/cs</t>
  </si>
  <si>
    <t>Snacks - Candy</t>
  </si>
  <si>
    <t>MMM42431</t>
  </si>
  <si>
    <t>Reese's Peanut Butter Cups, 1.5oz - 12/36/cs</t>
  </si>
  <si>
    <t>HEC44000</t>
  </si>
  <si>
    <t>Hershey Chocolate Bar, 1.55oz - 12/36/cs</t>
  </si>
  <si>
    <t>HEC24000</t>
  </si>
  <si>
    <t>3 Musketeers, 1.92oz - 10/36/cs</t>
  </si>
  <si>
    <t>MMM42208</t>
  </si>
  <si>
    <t>Butterfinger, 1.9oz - 8/36/cs</t>
  </si>
  <si>
    <t>NES53105</t>
  </si>
  <si>
    <t>Twix, 1.79oz - 10/36/cs</t>
  </si>
  <si>
    <t>MMM35391</t>
  </si>
  <si>
    <t>Snickers w/Almond, 1.76oz - 12/24/cs</t>
  </si>
  <si>
    <t>MMM1105</t>
  </si>
  <si>
    <t>Kit Kat Bar, 1.5oz - 12/36/cs</t>
  </si>
  <si>
    <t>HEC24600</t>
  </si>
  <si>
    <t>Kit Kat Bar</t>
  </si>
  <si>
    <t>Baby Ruth, 2.1oz - 12/24/cs</t>
  </si>
  <si>
    <t>FEU86780</t>
  </si>
  <si>
    <t>M&amp;M's Peanut, 1.74oz - 8/48/cs</t>
  </si>
  <si>
    <t>MMM01232</t>
  </si>
  <si>
    <t>M&amp;M's Plain, 1.69oz - 9/36/cs</t>
  </si>
  <si>
    <t>MMM49990</t>
  </si>
  <si>
    <t>Milky Way Singles, 1.84oz - 10/36/cs</t>
  </si>
  <si>
    <t>MMM42206</t>
  </si>
  <si>
    <t>Hershey Almond, 1.45oz - 12/36/cs</t>
  </si>
  <si>
    <t>HEC24100</t>
  </si>
  <si>
    <t>Hershey w/Almonds</t>
  </si>
  <si>
    <t>Gummy Bears, 4.5oz - 12/cs</t>
  </si>
  <si>
    <t>FER03848</t>
  </si>
  <si>
    <t>Gummi Sour Worms Original, 4.5oz - 48/cs</t>
  </si>
  <si>
    <t>PIM02733</t>
  </si>
  <si>
    <t>Sour Brite Crawlers,Very Berry, 5oz - 12/cs</t>
  </si>
  <si>
    <t>FER03852</t>
  </si>
  <si>
    <t>Sour Brite Crawlers, 5oz - 12/cs</t>
  </si>
  <si>
    <t>FER03851</t>
  </si>
  <si>
    <t>Sour Patch Kids, 5oz - 24/cs</t>
  </si>
  <si>
    <t>JAR1506227</t>
  </si>
  <si>
    <t>Sour Patch Watermelon, 5oz - 12/cs</t>
  </si>
  <si>
    <t>JAR1506224</t>
  </si>
  <si>
    <t>Skittles Original, 2.17oz - 10/36/cs</t>
  </si>
  <si>
    <t>MMM01160</t>
  </si>
  <si>
    <t>Starburst Fruit Chews Original, 2.07oz - 10/36/cs</t>
  </si>
  <si>
    <t>MMM01151</t>
  </si>
  <si>
    <t>AirHeads, Mixed Flavors - 12/60/cs</t>
  </si>
  <si>
    <t>FD610</t>
  </si>
  <si>
    <t>Pop's Snack Shack Lemonheads, 4oz - 48/cs</t>
  </si>
  <si>
    <t>57273</t>
  </si>
  <si>
    <t>Atkinson Rainbow Sticks, Wild Cherry - 200/cs</t>
  </si>
  <si>
    <t>33607</t>
  </si>
  <si>
    <t>Pop's Snack Shack Jolly Ranchers, Assorted, 4oz - 48/cs</t>
  </si>
  <si>
    <t>57365</t>
  </si>
  <si>
    <t>Pop's Snack Shack Now &amp; Laters, 3.5oz - 48/cs</t>
  </si>
  <si>
    <t>57653</t>
  </si>
  <si>
    <t>Pop's Snack Shack Atomic Fireballs, 4oz - 48/cs</t>
  </si>
  <si>
    <t>57174</t>
  </si>
  <si>
    <t>Pop's Snack Shack Peppermints, 4.5oz - 48/cs</t>
  </si>
  <si>
    <t>57299</t>
  </si>
  <si>
    <t>Pop's Snack Shack Butterscotch Discs, 4.5oz - 48/cs</t>
  </si>
  <si>
    <t>57281</t>
  </si>
  <si>
    <t>Tootsie Pops, Assorted Flavors, 0.6oz - 100/cs</t>
  </si>
  <si>
    <t>SAMS2423</t>
  </si>
  <si>
    <t>Atkinson Chick-O-Sticks, 0.7oz - 200/cs</t>
  </si>
  <si>
    <t>49750</t>
  </si>
  <si>
    <t>Tito's Hearty Beef Summer Sausage, 5oz - 40/cs</t>
  </si>
  <si>
    <t>Snacks - Meats/Other</t>
  </si>
  <si>
    <t>206991</t>
  </si>
  <si>
    <t>Tito's Hot &amp; Spicy Beef Summer Sausage, 5oz - 40/cs</t>
  </si>
  <si>
    <t>206990</t>
  </si>
  <si>
    <t>O'Briens Beef Sticks, 1.125oz twin pack - 100/cs</t>
  </si>
  <si>
    <t>206938</t>
  </si>
  <si>
    <t>Double Barrel Beef Sticks (Hot Shots), 1.125oz twin pack - 100/cs</t>
  </si>
  <si>
    <t>HUI53041</t>
  </si>
  <si>
    <t>Van Holtens Hot Dill Pickle (#4) - 12/cs</t>
  </si>
  <si>
    <t>JGV412H</t>
  </si>
  <si>
    <t>Van Holtens Mild Dill Pickle (#4) - 12/cs</t>
  </si>
  <si>
    <t>JGV412M</t>
  </si>
  <si>
    <t>Butter Lovers Microwave Popcorn, 2.75oz - 36/cs</t>
  </si>
  <si>
    <t>211292</t>
  </si>
  <si>
    <t>Salted Peanuts, 1oz - 100/cs</t>
  </si>
  <si>
    <t>KAR978</t>
  </si>
  <si>
    <t>Sunflower Kernels, 2oz - 72/cs</t>
  </si>
  <si>
    <t>KAR08989</t>
  </si>
  <si>
    <t>Zachary Double Dipped Peanuts 12/5oz</t>
  </si>
  <si>
    <t>60912</t>
  </si>
  <si>
    <t>All Energy Trail Mix, 2oz - 48/cs</t>
  </si>
  <si>
    <t>KAR08952</t>
  </si>
  <si>
    <t>Sweet N' Spicy Snack Mix, 1.75oz - 72/cs</t>
  </si>
  <si>
    <t>KAR984</t>
  </si>
  <si>
    <t>Nekot Peanut Butter Sandwich Crackers, 1.75oz - 6/20/cs</t>
  </si>
  <si>
    <t>SNY90131</t>
  </si>
  <si>
    <t>Lance Toasty Peanut Butter Sandwich Crackers, 1.29oz - 6/20/cs</t>
  </si>
  <si>
    <t>SNY90128</t>
  </si>
  <si>
    <t>Lance Grilled Cheese Sandwich Crackers, 1.375oz - 6/20/cs</t>
  </si>
  <si>
    <t>200595</t>
  </si>
  <si>
    <t>Lance Spicy Cheddar Sandwich Crackers, 1.41oz - 6/20/cs</t>
  </si>
  <si>
    <t>200599</t>
  </si>
  <si>
    <t>200594</t>
  </si>
  <si>
    <t>Cheez-It Hot &amp; Spicy Crackers, 3oz - 6/6/cs</t>
  </si>
  <si>
    <t>KEE37278</t>
  </si>
  <si>
    <t>BBQ Pork Rinds, 0.875oz - 60/cs</t>
  </si>
  <si>
    <t>Snacks - Chips</t>
  </si>
  <si>
    <t>SON00713</t>
  </si>
  <si>
    <t>Hot Pork Rinds, 0.875oz - 60/cs</t>
  </si>
  <si>
    <t>SON00712</t>
  </si>
  <si>
    <t>Jalapeno Pretzel Pieces, 2.25oz - 60/cs</t>
  </si>
  <si>
    <t>802123</t>
  </si>
  <si>
    <t>Snyder Buffalo Hotwings Pretzel Pieces, 2.25oz</t>
  </si>
  <si>
    <t>802124</t>
  </si>
  <si>
    <t>Buffalo Pretzel Pieces</t>
  </si>
  <si>
    <t>Herr's Jalapeno Poppers, 1oz - 42/cs</t>
  </si>
  <si>
    <t>NK238</t>
  </si>
  <si>
    <t>Herr's Deep Dish Pizza Curls, 1oz - 42/cs</t>
  </si>
  <si>
    <t>HRR08101</t>
  </si>
  <si>
    <t>Crunchy Cheetos, 3.25oz - 28/cs</t>
  </si>
  <si>
    <t>FRI36131</t>
  </si>
  <si>
    <t>Crunchy Hot Cheetos, 3.25oz - 28/cs</t>
  </si>
  <si>
    <t>FRI36134</t>
  </si>
  <si>
    <t>Takis Fuego Chips, 2oz - 42/cs</t>
  </si>
  <si>
    <t>BAR00276</t>
  </si>
  <si>
    <t>Golden Gourmet BBQ Corn Chips, 10oz - 12/cs</t>
  </si>
  <si>
    <t>200644</t>
  </si>
  <si>
    <t>Golden Gourmet Hot &amp; Spicy Corn Chips, 10oz - 12/cs</t>
  </si>
  <si>
    <t>200645</t>
  </si>
  <si>
    <t>Doritos Nacho Cheese, 2.875oz - 24/cs</t>
  </si>
  <si>
    <t>FRI36294</t>
  </si>
  <si>
    <t>Doritos Cool Ranch, 2.875oz - 24/cs</t>
  </si>
  <si>
    <t>FRI36289</t>
  </si>
  <si>
    <t>Tostitos Crispy Rounds, 3oz - 28/cs</t>
  </si>
  <si>
    <t>FRI20871</t>
  </si>
  <si>
    <t>Fritos Chili Cheese, 2oz - 64/cs</t>
  </si>
  <si>
    <t>FRI44354</t>
  </si>
  <si>
    <t>200643</t>
  </si>
  <si>
    <t>Ruffles Regular Chips, 1.5oz - 64/cs</t>
  </si>
  <si>
    <t>FRI44363</t>
  </si>
  <si>
    <t>Herr's Baby Back Rib Chips, 1.5oz - 30/cs</t>
  </si>
  <si>
    <t>HRR057</t>
  </si>
  <si>
    <t>Herr's Creamy Ranch &amp; Habanero Chips, 1.5oz - 30/cs</t>
  </si>
  <si>
    <t>HRR06133</t>
  </si>
  <si>
    <t>Ruffles Cheddar &amp; Sour Cream, 1.5oz - 64/cs</t>
  </si>
  <si>
    <t>FRI44365</t>
  </si>
  <si>
    <t>Ramen Noodles, Beef, 3oz - 24/cs</t>
  </si>
  <si>
    <t>Noodles</t>
  </si>
  <si>
    <t>143891</t>
  </si>
  <si>
    <t>Ramen Noodles, Picante Beef, 3oz - 24/cs</t>
  </si>
  <si>
    <t>144706</t>
  </si>
  <si>
    <t>Ramen Noodles, Roasted Beef, 3oz - 24/cs</t>
  </si>
  <si>
    <t>143909</t>
  </si>
  <si>
    <t>Maruchan Chicken Noodles, 3oz - 24/cs</t>
  </si>
  <si>
    <t>144022</t>
  </si>
  <si>
    <t>Ramen Noodles, Roasted Chicken, 3oz - 24/cs</t>
  </si>
  <si>
    <t>144030</t>
  </si>
  <si>
    <t>Ramen Noodles, Picante Chicken, 3oz - 24/cs</t>
  </si>
  <si>
    <t>144394</t>
  </si>
  <si>
    <t>Nissin Cajun Chicken Noodles, 3oz - 24/cs</t>
  </si>
  <si>
    <t>144708</t>
  </si>
  <si>
    <t>Maruchan Low Sodium Chicken Noodles 24/3oz</t>
  </si>
  <si>
    <t>144421</t>
  </si>
  <si>
    <t>Low Sodium Chicken Ramen Noodles</t>
  </si>
  <si>
    <t>Ramen Noodles, Shrimp, 3oz - 24/cs</t>
  </si>
  <si>
    <t>144410</t>
  </si>
  <si>
    <t>Maruchan Chili Lime Shrimp Noodles - 24/3oz</t>
  </si>
  <si>
    <t>144414</t>
  </si>
  <si>
    <t>Ramen Noodles, Chili, 3oz - 24/cs</t>
  </si>
  <si>
    <t>143933</t>
  </si>
  <si>
    <t>Maruchan Pork Noodles, 24/3oz</t>
  </si>
  <si>
    <t>144150</t>
  </si>
  <si>
    <t>Pop's Snack Shack Sugar Free Assorted Fruit Hard Candy</t>
  </si>
  <si>
    <t>Diabetic</t>
  </si>
  <si>
    <t>Sugar Free Assorted Candy</t>
  </si>
  <si>
    <t>Price</t>
  </si>
  <si>
    <t>County</t>
  </si>
  <si>
    <t>State Tax</t>
  </si>
  <si>
    <t>County Tax</t>
  </si>
  <si>
    <t>State Food</t>
  </si>
  <si>
    <t>State</t>
  </si>
  <si>
    <t>Local</t>
  </si>
  <si>
    <t>Canvas Shoes, Black - Size 14</t>
  </si>
  <si>
    <t>Canvas Shoes, Black - Size 15</t>
  </si>
  <si>
    <t>Bath Puffs (Hvy Wt) WHITE ONLY 12ct Barcode</t>
  </si>
  <si>
    <t>Mesh Bath Pouf</t>
  </si>
  <si>
    <t>#2 Pencils 20ct</t>
  </si>
  <si>
    <t>Speed Stick Deoderant, Fresh Scent Green, 1.8oz stick - 12/cs</t>
  </si>
  <si>
    <t>Single Blade Razor, Orange</t>
  </si>
  <si>
    <t>Good Sense Sunscreen SPF 30, 4oz - 12/cs</t>
  </si>
  <si>
    <t>Lubriderm Lotion Fresh Scent, 6oz - 6/cs</t>
  </si>
  <si>
    <t>Moisture Absorbing Foot Powder, 6oz container - 12/cs</t>
  </si>
  <si>
    <t>Orchard Park Tea w/Lemon Drink Mix, 24oz - 12/cs</t>
  </si>
  <si>
    <t>Cafe Genial Instant Coffee w/Cinnamon, 3oz - 40/cs</t>
  </si>
  <si>
    <t>Idahoan Instant Potatoes Monterey Pepper Jack, 4oz - 12/cs</t>
  </si>
  <si>
    <t>Uncle Al's Lemon Creme Cookies, 5oz - 12/cs</t>
  </si>
  <si>
    <t>Mini Crunchy Donut</t>
  </si>
  <si>
    <t>Lance Cream Cheese/Chive Sandwich Crackers, 1.375oz - 6/20/cs</t>
  </si>
  <si>
    <t>Golden Gourmet Regular Corn Chips, 11oz</t>
  </si>
  <si>
    <t>Cookie Chips Ahoy Mini, 3oz - 36/cs</t>
  </si>
  <si>
    <t>GEN00043</t>
  </si>
  <si>
    <t>Chips Ahoy Choc Chip Cookies</t>
  </si>
  <si>
    <t>Stnd Price</t>
  </si>
  <si>
    <t>000041</t>
  </si>
  <si>
    <t>028123</t>
  </si>
  <si>
    <t>028122</t>
  </si>
  <si>
    <t>028124</t>
  </si>
  <si>
    <t>028125</t>
  </si>
  <si>
    <t>028126</t>
  </si>
  <si>
    <t>028101</t>
  </si>
  <si>
    <t>029763</t>
  </si>
  <si>
    <t>092510</t>
  </si>
  <si>
    <t>057626</t>
  </si>
  <si>
    <t>PLACEHOLDERS</t>
  </si>
  <si>
    <t>Clear Headphones w/Cord</t>
  </si>
  <si>
    <t>Side Combination Lock Metal (#22015) - 72ct</t>
  </si>
  <si>
    <t>542125</t>
  </si>
  <si>
    <t>Combination Padlock</t>
  </si>
  <si>
    <t>Cake Golden Crème Fill, 2.55oz - 6/6cs</t>
  </si>
  <si>
    <t>HOS30226</t>
  </si>
  <si>
    <t>Golden Crème Cake, 2ct</t>
  </si>
  <si>
    <t>Mrs. Freshley's Snowball Pink, 4.25oz - 6/8/cs</t>
  </si>
  <si>
    <t>FLO48052850FOA</t>
  </si>
  <si>
    <t>Pink Snowballs</t>
  </si>
  <si>
    <t>Hemorrhoid Ointment</t>
  </si>
  <si>
    <t>10815</t>
  </si>
  <si>
    <t>Column1</t>
  </si>
  <si>
    <t>Column2</t>
  </si>
  <si>
    <t>900411</t>
  </si>
  <si>
    <t>White Panties (Sz 11)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</si>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</sst>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8"/>
      <color theme="1"/>
      <name val="Arial Narrow"/>
      <family val="2"/>
    </font>
    <font>
      <sz val="8"/>
      <name val="Arial Narrow"/>
      <family val="2"/>
    </font>
    <font>
      <sz val="8"/>
      <color rgb="FF7030A0"/>
      <name val="Arial Narrow"/>
      <family val="2"/>
    </font>
    <font>
      <sz val="9"/>
      <color theme="1"/>
      <name val="Times New Roman"/>
      <family val="1"/>
    </font>
    <font>
      <sz val="9"/>
      <name val="Times New Roman"/>
      <family val="1"/>
    </font>
    <font>
      <sz val="9"/>
      <color rgb="FF7030A0"/>
      <name val="Times New Roman"/>
      <family val="1"/>
    </font>
    <font>
      <b/>
      <sz val="8"/>
      <color theme="1"/>
      <name val="Arial Narrow"/>
      <family val="2"/>
    </font>
    <font>
      <i/>
      <sz val="8"/>
      <color theme="1"/>
      <name val="Arial Narrow"/>
      <family val="2"/>
    </font>
    <font>
      <b/>
      <sz val="8"/>
      <color rgb="FF7030A0"/>
      <name val="Arial Narrow"/>
      <family val="2"/>
    </font>
    <font>
      <b/>
      <u/>
      <sz val="8"/>
      <color theme="1"/>
      <name val="Arial Narrow"/>
      <family val="2"/>
    </font>
    <font>
      <i/>
      <sz val="11"/>
      <color theme="1"/>
      <name val="Times New Roman"/>
      <family val="2"/>
    </font>
    <font>
      <b/>
      <sz val="10"/>
      <name val="Times New Roman"/>
      <family val="1"/>
    </font>
    <font>
      <sz val="8"/>
      <name val="Calibri"/>
      <family val="2"/>
      <scheme val="minor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2" tint="-9.9948118533890809E-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2" tint="-9.9948118533890809E-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2" fillId="0" borderId="0"/>
  </cellStyleXfs>
  <cellXfs count="90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vertical="center"/>
    </xf>
    <xf numFmtId="0" fontId="10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vertical="center"/>
    </xf>
    <xf numFmtId="164" fontId="10" fillId="0" borderId="0" xfId="0" applyNumberFormat="1" applyFont="1" applyAlignment="1">
      <alignment vertical="center"/>
    </xf>
    <xf numFmtId="164" fontId="11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4" xfId="0" applyFont="1" applyBorder="1" applyAlignment="1">
      <alignment horizontal="center" vertical="center" wrapText="1"/>
    </xf>
    <xf numFmtId="0" fontId="9" fillId="0" borderId="4" xfId="0" applyFont="1" applyBorder="1" applyAlignment="1">
      <alignment vertical="center"/>
    </xf>
    <xf numFmtId="164" fontId="10" fillId="0" borderId="4" xfId="0" applyNumberFormat="1" applyFont="1" applyBorder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vertical="center"/>
    </xf>
    <xf numFmtId="164" fontId="14" fillId="0" borderId="0" xfId="0" applyNumberFormat="1" applyFont="1" applyAlignment="1">
      <alignment vertical="center"/>
    </xf>
    <xf numFmtId="49" fontId="10" fillId="0" borderId="3" xfId="0" applyNumberFormat="1" applyFont="1" applyBorder="1" applyAlignment="1">
      <alignment horizontal="left" vertical="center" wrapText="1"/>
    </xf>
    <xf numFmtId="164" fontId="10" fillId="0" borderId="3" xfId="0" applyNumberFormat="1" applyFont="1" applyBorder="1" applyAlignment="1">
      <alignment vertical="center"/>
    </xf>
    <xf numFmtId="49" fontId="10" fillId="0" borderId="4" xfId="0" applyNumberFormat="1" applyFont="1" applyBorder="1" applyAlignment="1">
      <alignment horizontal="left" vertical="center" wrapText="1"/>
    </xf>
    <xf numFmtId="164" fontId="12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4" fontId="9" fillId="0" borderId="2" xfId="0" applyNumberFormat="1" applyFont="1" applyBorder="1" applyAlignment="1">
      <alignment vertical="center"/>
    </xf>
    <xf numFmtId="0" fontId="9" fillId="0" borderId="5" xfId="0" applyFont="1" applyBorder="1" applyAlignment="1">
      <alignment vertical="center"/>
    </xf>
    <xf numFmtId="164" fontId="9" fillId="0" borderId="5" xfId="0" applyNumberFormat="1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164" fontId="10" fillId="0" borderId="6" xfId="0" applyNumberFormat="1" applyFont="1" applyBorder="1" applyAlignment="1">
      <alignment vertical="center"/>
    </xf>
    <xf numFmtId="164" fontId="9" fillId="0" borderId="0" xfId="0" applyNumberFormat="1" applyFont="1" applyAlignment="1">
      <alignment vertical="center"/>
    </xf>
    <xf numFmtId="0" fontId="15" fillId="0" borderId="2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49" fontId="10" fillId="0" borderId="4" xfId="0" applyNumberFormat="1" applyFont="1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10" fillId="0" borderId="6" xfId="0" applyFont="1" applyBorder="1" applyAlignment="1">
      <alignment horizontal="center" vertical="center" wrapText="1"/>
    </xf>
    <xf numFmtId="49" fontId="10" fillId="0" borderId="6" xfId="0" applyNumberFormat="1" applyFont="1" applyBorder="1" applyAlignment="1">
      <alignment horizontal="left" vertical="center" wrapText="1"/>
    </xf>
    <xf numFmtId="164" fontId="10" fillId="0" borderId="3" xfId="0" applyNumberFormat="1" applyFont="1" applyBorder="1" applyAlignment="1">
      <alignment horizontal="center" vertical="center"/>
    </xf>
    <xf numFmtId="164" fontId="17" fillId="0" borderId="0" xfId="0" applyNumberFormat="1" applyFont="1" applyAlignment="1">
      <alignment horizontal="left" vertical="center"/>
    </xf>
    <xf numFmtId="0" fontId="9" fillId="0" borderId="0" xfId="0" applyFont="1"/>
    <xf numFmtId="49" fontId="10" fillId="0" borderId="4" xfId="0" applyNumberFormat="1" applyFont="1" applyBorder="1" applyAlignment="1">
      <alignment vertical="center" wrapText="1"/>
    </xf>
    <xf numFmtId="0" fontId="9" fillId="0" borderId="0" xfId="0" applyFont="1" applyAlignment="1">
      <alignment horizontal="center" vertical="center"/>
    </xf>
    <xf numFmtId="49" fontId="10" fillId="0" borderId="3" xfId="0" applyNumberFormat="1" applyFont="1" applyBorder="1" applyAlignment="1">
      <alignment vertical="center" wrapText="1"/>
    </xf>
    <xf numFmtId="49" fontId="10" fillId="0" borderId="3" xfId="0" applyNumberFormat="1" applyFont="1" applyBorder="1" applyAlignment="1">
      <alignment horizontal="left" vertical="center"/>
    </xf>
    <xf numFmtId="164" fontId="17" fillId="0" borderId="0" xfId="0" applyNumberFormat="1" applyFont="1" applyAlignment="1">
      <alignment vertical="center"/>
    </xf>
    <xf numFmtId="49" fontId="10" fillId="0" borderId="6" xfId="0" applyNumberFormat="1" applyFont="1" applyBorder="1" applyAlignment="1">
      <alignment horizontal="left" vertical="center"/>
    </xf>
    <xf numFmtId="164" fontId="9" fillId="0" borderId="7" xfId="0" applyNumberFormat="1" applyFont="1" applyBorder="1" applyAlignment="1">
      <alignment vertical="center"/>
    </xf>
    <xf numFmtId="164" fontId="17" fillId="0" borderId="0" xfId="0" applyNumberFormat="1" applyFont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0" fontId="16" fillId="0" borderId="0" xfId="0" applyFont="1"/>
    <xf numFmtId="0" fontId="9" fillId="0" borderId="4" xfId="0" applyFont="1" applyBorder="1" applyAlignment="1">
      <alignment horizontal="center" vertical="center"/>
    </xf>
    <xf numFmtId="49" fontId="10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9" fillId="0" borderId="9" xfId="0" applyFont="1" applyBorder="1"/>
    <xf numFmtId="0" fontId="19" fillId="0" borderId="0" xfId="0" applyFont="1"/>
    <xf numFmtId="0" fontId="9" fillId="0" borderId="0" xfId="0" applyFont="1" applyAlignment="1">
      <alignment horizontal="right"/>
    </xf>
    <xf numFmtId="0" fontId="0" fillId="0" borderId="2" xfId="0" applyBorder="1"/>
    <xf numFmtId="10" fontId="0" fillId="0" borderId="0" xfId="2" applyNumberFormat="1" applyFont="1" applyAlignment="1">
      <alignment vertical="center"/>
    </xf>
    <xf numFmtId="0" fontId="20" fillId="0" borderId="0" xfId="0" applyFont="1" applyAlignment="1" applyProtection="1">
      <alignment horizontal="center" vertical="center"/>
      <protection locked="0" hidden="1"/>
    </xf>
    <xf numFmtId="10" fontId="20" fillId="2" borderId="0" xfId="2" applyNumberFormat="1" applyFont="1" applyFill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10" fontId="0" fillId="2" borderId="0" xfId="2" applyNumberFormat="1" applyFont="1" applyFill="1" applyProtection="1">
      <protection locked="0" hidden="1"/>
    </xf>
    <xf numFmtId="164" fontId="20" fillId="0" borderId="0" xfId="0" applyNumberFormat="1" applyFont="1" applyAlignment="1" applyProtection="1">
      <alignment horizontal="center" vertical="center"/>
      <protection locked="0" hidden="1"/>
    </xf>
    <xf numFmtId="164" fontId="0" fillId="0" borderId="0" xfId="0" applyNumberFormat="1" applyProtection="1">
      <protection locked="0" hidden="1"/>
    </xf>
    <xf numFmtId="164" fontId="20" fillId="2" borderId="0" xfId="1" applyNumberFormat="1" applyFont="1" applyFill="1" applyAlignment="1" applyProtection="1">
      <alignment horizontal="center" vertical="center"/>
      <protection locked="0" hidden="1"/>
    </xf>
    <xf numFmtId="164" fontId="0" fillId="2" borderId="0" xfId="1" applyNumberFormat="1" applyFont="1" applyFill="1" applyProtection="1">
      <protection locked="0" hidden="1"/>
    </xf>
    <xf numFmtId="10" fontId="20" fillId="4" borderId="0" xfId="2" applyNumberFormat="1" applyFont="1" applyFill="1" applyAlignment="1" applyProtection="1">
      <alignment horizontal="center" vertical="center"/>
      <protection locked="0" hidden="1"/>
    </xf>
    <xf numFmtId="10" fontId="0" fillId="4" borderId="0" xfId="2" applyNumberFormat="1" applyFont="1" applyFill="1" applyProtection="1">
      <protection locked="0" hidden="1"/>
    </xf>
    <xf numFmtId="0" fontId="9" fillId="0" borderId="2" xfId="0" applyFont="1" applyBorder="1" applyAlignment="1" applyProtection="1">
      <alignment vertical="center"/>
    </xf>
    <xf numFmtId="0" fontId="0" fillId="0" borderId="0" xfId="0" applyNumberFormat="1"/>
    <xf numFmtId="0" fontId="9" fillId="0" borderId="5" xfId="0" applyFont="1" applyBorder="1" applyAlignment="1" applyProtection="1">
      <alignment vertical="center"/>
    </xf>
    <xf numFmtId="164" fontId="9" fillId="0" borderId="5" xfId="0" applyNumberFormat="1" applyFont="1" applyBorder="1" applyAlignment="1" applyProtection="1">
      <alignment vertical="center"/>
    </xf>
    <xf numFmtId="164" fontId="9" fillId="0" borderId="2" xfId="0" applyNumberFormat="1" applyFont="1" applyBorder="1" applyAlignment="1" applyProtection="1">
      <alignment vertical="center"/>
    </xf>
    <xf numFmtId="164" fontId="0" fillId="0" borderId="0" xfId="0" applyNumberFormat="1"/>
    <xf numFmtId="0" fontId="7" fillId="3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vertical="center"/>
    </xf>
  </cellXfs>
  <cellStyles count="4">
    <cellStyle name="Currency" xfId="1" builtinId="4"/>
    <cellStyle name="Normal" xfId="0" builtinId="0"/>
    <cellStyle name="Normal 2" xfId="3" xr:uid="{53A641CF-B623-45B8-A406-1BFB5279CB14}"/>
    <cellStyle name="Percent" xfId="2" builtinId="5"/>
  </cellStyles>
  <dxfs count="8"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DBEC45F7-0DFB-4159-8C0F-F8B1E74CFF26}" autoFormatId="16" applyNumberFormats="0" applyBorderFormats="0" applyFontFormats="0" applyPatternFormats="0" applyAlignmentFormats="0" applyWidthHeightFormats="0">
  <queryTableRefresh nextId="20" unboundColumnsRight="2">
    <queryTableFields count="18">
      <queryTableField id="1" name="Item ID" tableColumnId="17"/>
      <queryTableField id="2" name="ItemID" tableColumnId="2"/>
      <queryTableField id="3" name="Description" tableColumnId="3"/>
      <queryTableField id="4" name="Category" tableColumnId="4"/>
      <queryTableField id="5" name="Sales Type" tableColumnId="5"/>
      <queryTableField id="6" name="Gender" tableColumnId="6"/>
      <queryTableField id="7" name="Last Cost" tableColumnId="7"/>
      <queryTableField id="8" name="Vendor ID" tableColumnId="8"/>
      <queryTableField id="9" name="Vendor Item" tableColumnId="9"/>
      <queryTableField id="10" name="Min Qty" tableColumnId="10"/>
      <queryTableField id="11" name="Max Qty" tableColumnId="11"/>
      <queryTableField id="12" name="Case Qty" tableColumnId="12"/>
      <queryTableField id="13" name="Scan Code" tableColumnId="13"/>
      <queryTableField id="14" name="CustomerItemDescription" tableColumnId="14"/>
      <queryTableField id="15" name="Multiplier" tableColumnId="15"/>
      <queryTableField id="17" name="Stnd Price" tableColumnId="1"/>
      <queryTableField id="18" dataBound="0" tableColumnId="16"/>
      <queryTableField id="19" dataBound="0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7146AD-87E5-49BF-ADE2-610D370DCEEB}" name="export_format_csv_gid_0" displayName="export_format_csv_gid_0" ref="A1:R519" tableType="queryTable" totalsRowShown="0">
  <autoFilter ref="A1:R519" xr:uid="{6E7146AD-87E5-49BF-ADE2-610D370DCEEB}"/>
  <sortState xmlns:xlrd2="http://schemas.microsoft.com/office/spreadsheetml/2017/richdata2" ref="A2:R519">
    <sortCondition ref="M1:M519"/>
  </sortState>
  <tableColumns count="18">
    <tableColumn id="17" xr3:uid="{F035E2D9-D878-4B2F-B4B8-3391AEF59A73}" uniqueName="17" name="Item ID" queryTableFieldId="1"/>
    <tableColumn id="2" xr3:uid="{B6143603-982D-4593-9C69-2E1FD91695FA}" uniqueName="2" name="ItemID" queryTableFieldId="2"/>
    <tableColumn id="3" xr3:uid="{53A56717-4A2D-497B-95D2-1AC3E878E32C}" uniqueName="3" name="Description" queryTableFieldId="3" dataDxfId="7"/>
    <tableColumn id="4" xr3:uid="{912DEE40-52DF-4B2C-ADEB-DE1E1BA1DDC2}" uniqueName="4" name="Category" queryTableFieldId="4" dataDxfId="6"/>
    <tableColumn id="5" xr3:uid="{216C4B02-C0DA-4043-850F-3852A14E20D5}" uniqueName="5" name="Sales Type" queryTableFieldId="5" dataDxfId="5"/>
    <tableColumn id="6" xr3:uid="{DB36C495-27D3-4F5B-85A9-17223F1937F7}" uniqueName="6" name="Gender" queryTableFieldId="6" dataDxfId="4"/>
    <tableColumn id="7" xr3:uid="{B8AC142A-2A67-4207-9620-5AFFB7154D95}" uniqueName="7" name="Last Cost" queryTableFieldId="7"/>
    <tableColumn id="8" xr3:uid="{5BE38837-3CAB-4767-8577-384157D95325}" uniqueName="8" name="Vendor ID" queryTableFieldId="8" dataDxfId="3"/>
    <tableColumn id="9" xr3:uid="{AF9250CB-E7B1-468F-BC83-891148B3BAF0}" uniqueName="9" name="Vendor Item" queryTableFieldId="9" dataDxfId="2"/>
    <tableColumn id="10" xr3:uid="{5889A067-1306-49C3-AFE9-47AE62FFDD61}" uniqueName="10" name="Min Qty" queryTableFieldId="10"/>
    <tableColumn id="11" xr3:uid="{9C212765-09CA-48A4-B6C3-9F002B83C9DA}" uniqueName="11" name="Max Qty" queryTableFieldId="11"/>
    <tableColumn id="12" xr3:uid="{487D928F-9B1D-43F6-8083-39E6278C6096}" uniqueName="12" name="Case Qty" queryTableFieldId="12"/>
    <tableColumn id="13" xr3:uid="{E4DF2133-EE85-40B0-BD87-489523E47065}" uniqueName="13" name="Scan Code" queryTableFieldId="13"/>
    <tableColumn id="14" xr3:uid="{9792C32A-CBF8-4688-8EBB-4830FFECBEEB}" uniqueName="14" name="CustomerItemDescription" queryTableFieldId="14" dataDxfId="1"/>
    <tableColumn id="15" xr3:uid="{BD44BF78-D518-45A3-8A32-E5429FF08020}" uniqueName="15" name="Multiplier" queryTableFieldId="15"/>
    <tableColumn id="1" xr3:uid="{CC955297-D6B9-456A-BFFB-92F826FB12A8}" uniqueName="1" name="Stnd Price" queryTableFieldId="17" dataDxfId="0"/>
    <tableColumn id="16" xr3:uid="{3A94CD59-C63D-4E28-B987-A7D40E1E3EB5}" uniqueName="16" name="Column1" queryTableFieldId="18"/>
    <tableColumn id="18" xr3:uid="{32EC05D7-9BD1-49F3-9695-2BE569C7CEEF}" uniqueName="18" name="Column2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9554B-6E19-45AD-B760-F0FA5A575670}">
  <sheetPr codeName="Sheet1"/>
  <dimension ref="A1:T295"/>
  <sheetViews>
    <sheetView tabSelected="1" workbookViewId="0">
      <selection activeCell="T16" sqref="T16"/>
    </sheetView>
  </sheetViews>
  <sheetFormatPr defaultRowHeight="15" x14ac:dyDescent="0.25"/>
  <cols>
    <col min="1" max="1" width="2.7109375" style="16" customWidth="1"/>
    <col min="2" max="2" width="5.7109375" style="29" customWidth="1"/>
    <col min="3" max="3" width="23.7109375" style="16" customWidth="1"/>
    <col min="4" max="4" width="6.7109375" style="18" customWidth="1"/>
    <col min="5" max="5" width="3.7109375" style="19" customWidth="1"/>
    <col min="6" max="6" width="2.7109375" style="23" customWidth="1"/>
    <col min="7" max="7" width="5.7109375" style="16" customWidth="1"/>
    <col min="8" max="8" width="23.7109375" style="16" customWidth="1"/>
    <col min="9" max="9" width="6.7109375" style="18" customWidth="1"/>
    <col min="10" max="10" width="3.7109375" style="1" customWidth="1"/>
    <col min="11" max="11" width="2.7109375" style="1" customWidth="1"/>
    <col min="12" max="12" width="5.7109375" style="1" customWidth="1"/>
    <col min="13" max="13" width="23.7109375" style="1" customWidth="1"/>
    <col min="14" max="14" width="6.7109375" style="1" customWidth="1"/>
    <col min="15" max="15" width="9.140625" style="1"/>
    <col min="16" max="16" width="10.28515625" style="1" customWidth="1"/>
    <col min="17" max="17" width="9.140625" style="1"/>
    <col min="18" max="18" width="14.140625" style="1" customWidth="1"/>
    <col min="19" max="16384" width="9.140625" style="1"/>
  </cols>
  <sheetData>
    <row r="1" spans="1:20" ht="12.75" customHeight="1" x14ac:dyDescent="0.25">
      <c r="A1" s="88" t="s">
        <v>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P1" s="1" t="s">
        <v>1785</v>
      </c>
      <c r="Q1" s="1" t="s">
        <v>1786</v>
      </c>
      <c r="R1" s="1" t="s">
        <v>1782</v>
      </c>
      <c r="S1" s="1" t="s">
        <v>1035</v>
      </c>
      <c r="T1" s="1" t="s">
        <v>1787</v>
      </c>
    </row>
    <row r="2" spans="1:20" ht="12.75" customHeight="1" x14ac:dyDescent="0.25">
      <c r="A2" s="2"/>
      <c r="B2" s="2"/>
      <c r="C2" s="2"/>
      <c r="D2" s="3"/>
      <c r="E2" s="2"/>
      <c r="F2" s="2"/>
      <c r="G2" s="2"/>
      <c r="H2" s="2"/>
      <c r="I2" s="4"/>
      <c r="P2" s="66">
        <v>4.4999999999999998E-2</v>
      </c>
      <c r="Q2" s="66">
        <v>4.4999999999999998E-2</v>
      </c>
      <c r="R2" s="66">
        <v>0.02</v>
      </c>
      <c r="S2" s="66">
        <v>0</v>
      </c>
      <c r="T2" s="66">
        <v>3.5000000000000003E-2</v>
      </c>
    </row>
    <row r="3" spans="1:20" ht="12.75" customHeight="1" x14ac:dyDescent="0.25">
      <c r="A3" s="84" t="s">
        <v>1</v>
      </c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</row>
    <row r="4" spans="1:20" s="6" customFormat="1" ht="12.75" customHeight="1" x14ac:dyDescent="0.25">
      <c r="A4" s="83" t="s">
        <v>2</v>
      </c>
      <c r="B4" s="83"/>
      <c r="C4" s="83"/>
      <c r="D4" s="83"/>
      <c r="E4" s="5"/>
      <c r="F4" s="83" t="s">
        <v>3</v>
      </c>
      <c r="G4" s="83"/>
      <c r="H4" s="83"/>
      <c r="I4" s="83"/>
      <c r="K4" s="83" t="s">
        <v>4</v>
      </c>
      <c r="L4" s="83"/>
      <c r="M4" s="83"/>
      <c r="N4" s="83"/>
      <c r="P4" s="83" t="s">
        <v>1819</v>
      </c>
      <c r="Q4" s="83"/>
      <c r="R4" s="83"/>
      <c r="S4" s="83"/>
    </row>
    <row r="5" spans="1:20" s="12" customFormat="1" ht="12.75" customHeight="1" x14ac:dyDescent="0.25">
      <c r="A5" s="7"/>
      <c r="B5" s="8">
        <v>1021</v>
      </c>
      <c r="C5" s="9" t="s">
        <v>5</v>
      </c>
      <c r="D5" s="10">
        <v>8.6999999999999993</v>
      </c>
      <c r="E5" s="11"/>
      <c r="F5" s="7"/>
      <c r="G5" s="8">
        <v>1041</v>
      </c>
      <c r="H5" s="9" t="s">
        <v>6</v>
      </c>
      <c r="I5" s="10">
        <v>8.6999999999999993</v>
      </c>
      <c r="K5" s="7"/>
      <c r="L5" s="8">
        <v>1001</v>
      </c>
      <c r="M5" s="9" t="s">
        <v>7</v>
      </c>
      <c r="N5" s="10">
        <v>17.399999999999999</v>
      </c>
      <c r="P5" s="7"/>
      <c r="Q5" s="8">
        <v>2101</v>
      </c>
      <c r="R5" s="9" t="str">
        <f>INDEX(export_format_csv_gid_0[], MATCH('Interactive Selection Sheet'!Q5, export_format_csv_gid_0[Scan Code]), 14)</f>
        <v>Combination Padlock</v>
      </c>
      <c r="S5" s="10"/>
    </row>
    <row r="6" spans="1:20" s="12" customFormat="1" ht="12.75" customHeight="1" x14ac:dyDescent="0.25">
      <c r="A6" s="7"/>
      <c r="B6" s="13">
        <v>1022</v>
      </c>
      <c r="C6" s="14" t="s">
        <v>8</v>
      </c>
      <c r="D6" s="15">
        <v>8.6999999999999993</v>
      </c>
      <c r="E6" s="11"/>
      <c r="F6" s="7"/>
      <c r="G6" s="13">
        <v>1042</v>
      </c>
      <c r="H6" s="14" t="s">
        <v>9</v>
      </c>
      <c r="I6" s="15">
        <v>8.6999999999999993</v>
      </c>
      <c r="K6" s="7"/>
      <c r="L6" s="13">
        <v>1002</v>
      </c>
      <c r="M6" s="14" t="s">
        <v>10</v>
      </c>
      <c r="N6" s="15">
        <v>17.399999999999999</v>
      </c>
      <c r="P6" s="7"/>
      <c r="Q6" s="13">
        <v>7327</v>
      </c>
      <c r="R6" s="9" t="str">
        <f>INDEX(export_format_csv_gid_0[], MATCH('Interactive Selection Sheet'!Q6, export_format_csv_gid_0[Scan Code]), 14)</f>
        <v>Golden Crème Cake, 2ct</v>
      </c>
      <c r="S6" s="10"/>
    </row>
    <row r="7" spans="1:20" s="12" customFormat="1" ht="12.75" customHeight="1" x14ac:dyDescent="0.25">
      <c r="A7" s="7"/>
      <c r="B7" s="13">
        <v>1023</v>
      </c>
      <c r="C7" s="14" t="s">
        <v>11</v>
      </c>
      <c r="D7" s="15">
        <v>8.6999999999999993</v>
      </c>
      <c r="E7" s="11"/>
      <c r="F7" s="7"/>
      <c r="G7" s="13">
        <v>1043</v>
      </c>
      <c r="H7" s="14" t="s">
        <v>12</v>
      </c>
      <c r="I7" s="15">
        <v>8.6999999999999993</v>
      </c>
      <c r="K7" s="7"/>
      <c r="L7" s="13">
        <v>1003</v>
      </c>
      <c r="M7" s="14" t="s">
        <v>13</v>
      </c>
      <c r="N7" s="15">
        <v>17.399999999999999</v>
      </c>
      <c r="P7" s="7"/>
      <c r="Q7" s="13">
        <v>7329</v>
      </c>
      <c r="R7" s="9" t="str">
        <f>INDEX(export_format_csv_gid_0[], MATCH('Interactive Selection Sheet'!Q7, export_format_csv_gid_0[Scan Code]), 14)</f>
        <v>Pink Snowballs</v>
      </c>
      <c r="S7" s="10"/>
    </row>
    <row r="8" spans="1:20" s="12" customFormat="1" ht="12.75" customHeight="1" x14ac:dyDescent="0.25">
      <c r="A8" s="7"/>
      <c r="B8" s="13">
        <v>1024</v>
      </c>
      <c r="C8" s="14" t="s">
        <v>14</v>
      </c>
      <c r="D8" s="15">
        <v>8.6999999999999993</v>
      </c>
      <c r="E8" s="11"/>
      <c r="F8" s="7"/>
      <c r="G8" s="13">
        <v>1044</v>
      </c>
      <c r="H8" s="14" t="s">
        <v>15</v>
      </c>
      <c r="I8" s="15">
        <v>8.6999999999999993</v>
      </c>
      <c r="K8" s="7"/>
      <c r="L8" s="13">
        <v>1004</v>
      </c>
      <c r="M8" s="14" t="s">
        <v>16</v>
      </c>
      <c r="N8" s="15">
        <v>17.399999999999999</v>
      </c>
      <c r="P8" s="7"/>
      <c r="Q8" s="13">
        <v>5542</v>
      </c>
      <c r="R8" s="9" t="str">
        <f>INDEX(export_format_csv_gid_0[], MATCH('Interactive Selection Sheet'!Q8, export_format_csv_gid_0[Scan Code]), 14)</f>
        <v>Hemorrhoid Ointment</v>
      </c>
      <c r="S8" s="10"/>
    </row>
    <row r="9" spans="1:20" s="12" customFormat="1" ht="12.75" customHeight="1" x14ac:dyDescent="0.25">
      <c r="A9" s="7"/>
      <c r="B9" s="13">
        <v>1025</v>
      </c>
      <c r="C9" s="14" t="s">
        <v>17</v>
      </c>
      <c r="D9" s="15">
        <v>10.199999999999999</v>
      </c>
      <c r="E9" s="11"/>
      <c r="F9" s="7"/>
      <c r="G9" s="13">
        <v>1045</v>
      </c>
      <c r="H9" s="14" t="s">
        <v>18</v>
      </c>
      <c r="I9" s="15">
        <v>10.199999999999999</v>
      </c>
      <c r="K9" s="7"/>
      <c r="L9" s="8">
        <v>1005</v>
      </c>
      <c r="M9" s="9" t="s">
        <v>19</v>
      </c>
      <c r="N9" s="10">
        <v>20.399999999999999</v>
      </c>
      <c r="P9" s="7"/>
      <c r="Q9" s="13">
        <v>8900</v>
      </c>
      <c r="R9" s="9" t="str">
        <f>INDEX(export_format_csv_gid_0[], MATCH('Interactive Selection Sheet'!Q9, export_format_csv_gid_0[Scan Code]), 14)</f>
        <v>Sugar Free Assorted Candy</v>
      </c>
      <c r="S9" s="10"/>
    </row>
    <row r="10" spans="1:20" s="12" customFormat="1" ht="12.75" customHeight="1" x14ac:dyDescent="0.25">
      <c r="A10" s="7"/>
      <c r="B10" s="13">
        <v>1026</v>
      </c>
      <c r="C10" s="14" t="s">
        <v>20</v>
      </c>
      <c r="D10" s="15">
        <v>10.9</v>
      </c>
      <c r="E10" s="11"/>
      <c r="F10" s="7"/>
      <c r="G10" s="13">
        <v>1046</v>
      </c>
      <c r="H10" s="14" t="s">
        <v>21</v>
      </c>
      <c r="I10" s="15">
        <v>10.9</v>
      </c>
      <c r="K10" s="7"/>
      <c r="L10" s="13">
        <v>1006</v>
      </c>
      <c r="M10" s="14" t="s">
        <v>22</v>
      </c>
      <c r="N10" s="15">
        <v>21.8</v>
      </c>
      <c r="P10" s="7"/>
      <c r="Q10" s="13"/>
      <c r="R10" s="9" t="e">
        <f>INDEX(export_format_csv_gid_0[], MATCH('Interactive Selection Sheet'!Q10, export_format_csv_gid_0[Scan Code]), 14)</f>
        <v>#N/A</v>
      </c>
      <c r="S10" s="10"/>
    </row>
    <row r="11" spans="1:20" s="12" customFormat="1" ht="12.75" customHeight="1" x14ac:dyDescent="0.25">
      <c r="A11" s="7"/>
      <c r="B11" s="13">
        <v>1027</v>
      </c>
      <c r="C11" s="14" t="s">
        <v>23</v>
      </c>
      <c r="D11" s="15">
        <v>11.6</v>
      </c>
      <c r="E11" s="11"/>
      <c r="F11" s="7"/>
      <c r="G11" s="13">
        <v>1047</v>
      </c>
      <c r="H11" s="14" t="s">
        <v>24</v>
      </c>
      <c r="I11" s="15">
        <v>11.6</v>
      </c>
      <c r="K11" s="7"/>
      <c r="L11" s="13">
        <v>1007</v>
      </c>
      <c r="M11" s="14" t="s">
        <v>25</v>
      </c>
      <c r="N11" s="15">
        <v>23.2</v>
      </c>
      <c r="P11" s="7"/>
      <c r="Q11" s="13"/>
      <c r="R11" s="9" t="e">
        <f>INDEX(export_format_csv_gid_0[], MATCH('Interactive Selection Sheet'!Q11, export_format_csv_gid_0[Scan Code]), 14)</f>
        <v>#N/A</v>
      </c>
      <c r="S11" s="10"/>
    </row>
    <row r="12" spans="1:20" s="12" customFormat="1" ht="12.75" customHeight="1" x14ac:dyDescent="0.25">
      <c r="A12" s="7"/>
      <c r="B12" s="13">
        <v>1028</v>
      </c>
      <c r="C12" s="14" t="s">
        <v>26</v>
      </c>
      <c r="D12" s="15">
        <v>12.6</v>
      </c>
      <c r="E12" s="11"/>
      <c r="F12" s="7"/>
      <c r="G12" s="13">
        <v>1048</v>
      </c>
      <c r="H12" s="14" t="s">
        <v>27</v>
      </c>
      <c r="I12" s="15">
        <v>12.6</v>
      </c>
      <c r="K12" s="7"/>
      <c r="L12" s="13">
        <v>1008</v>
      </c>
      <c r="M12" s="14" t="s">
        <v>28</v>
      </c>
      <c r="N12" s="15">
        <v>25.2</v>
      </c>
      <c r="P12" s="7"/>
      <c r="Q12" s="13"/>
      <c r="R12" s="9" t="e">
        <f>INDEX(export_format_csv_gid_0[], MATCH('Interactive Selection Sheet'!Q12, export_format_csv_gid_0[Scan Code]), 14)</f>
        <v>#N/A</v>
      </c>
      <c r="S12" s="10"/>
    </row>
    <row r="13" spans="1:20" ht="12.75" customHeight="1" x14ac:dyDescent="0.25">
      <c r="B13" s="17"/>
      <c r="F13" s="16"/>
      <c r="G13" s="17"/>
      <c r="P13" s="7"/>
      <c r="Q13" s="13"/>
      <c r="R13" s="9" t="e">
        <f>INDEX(export_format_csv_gid_0[], MATCH('Interactive Selection Sheet'!Q13, export_format_csv_gid_0[Scan Code]), 14)</f>
        <v>#N/A</v>
      </c>
    </row>
    <row r="14" spans="1:20" ht="12.75" customHeight="1" x14ac:dyDescent="0.25">
      <c r="A14" s="83" t="s">
        <v>29</v>
      </c>
      <c r="B14" s="83"/>
      <c r="C14" s="83"/>
      <c r="D14" s="83"/>
      <c r="E14" s="5"/>
      <c r="F14" s="83" t="s">
        <v>30</v>
      </c>
      <c r="G14" s="83"/>
      <c r="H14" s="83"/>
      <c r="I14" s="83"/>
      <c r="K14" s="83" t="s">
        <v>31</v>
      </c>
      <c r="L14" s="83"/>
      <c r="M14" s="83"/>
      <c r="N14" s="83"/>
      <c r="P14" s="7"/>
      <c r="Q14" s="13"/>
      <c r="R14" s="9" t="e">
        <f>INDEX(export_format_csv_gid_0[], MATCH('Interactive Selection Sheet'!Q14, export_format_csv_gid_0[Scan Code]), 14)</f>
        <v>#N/A</v>
      </c>
    </row>
    <row r="15" spans="1:20" s="12" customFormat="1" ht="12.75" customHeight="1" x14ac:dyDescent="0.25">
      <c r="A15" s="7"/>
      <c r="B15" s="8">
        <v>1061</v>
      </c>
      <c r="C15" s="20" t="s">
        <v>32</v>
      </c>
      <c r="D15" s="21">
        <v>21</v>
      </c>
      <c r="E15" s="11"/>
      <c r="F15" s="7"/>
      <c r="G15" s="8">
        <v>1071</v>
      </c>
      <c r="H15" s="20" t="s">
        <v>33</v>
      </c>
      <c r="I15" s="21">
        <v>25</v>
      </c>
      <c r="K15" s="7"/>
      <c r="L15" s="8">
        <v>1201</v>
      </c>
      <c r="M15" s="9" t="s">
        <v>34</v>
      </c>
      <c r="N15" s="10">
        <v>5.05</v>
      </c>
    </row>
    <row r="16" spans="1:20" s="12" customFormat="1" ht="12.75" customHeight="1" x14ac:dyDescent="0.25">
      <c r="A16" s="7"/>
      <c r="B16" s="13">
        <v>1062</v>
      </c>
      <c r="C16" s="22" t="s">
        <v>35</v>
      </c>
      <c r="D16" s="15">
        <v>21</v>
      </c>
      <c r="E16" s="11"/>
      <c r="F16" s="7"/>
      <c r="G16" s="13">
        <v>1072</v>
      </c>
      <c r="H16" s="22" t="s">
        <v>36</v>
      </c>
      <c r="I16" s="15">
        <v>25</v>
      </c>
      <c r="K16" s="7"/>
      <c r="L16" s="13">
        <v>1202</v>
      </c>
      <c r="M16" s="14" t="s">
        <v>37</v>
      </c>
      <c r="N16" s="15">
        <v>5.05</v>
      </c>
    </row>
    <row r="17" spans="1:14" s="12" customFormat="1" ht="12.75" customHeight="1" x14ac:dyDescent="0.25">
      <c r="A17" s="7"/>
      <c r="B17" s="13">
        <v>1063</v>
      </c>
      <c r="C17" s="22" t="s">
        <v>38</v>
      </c>
      <c r="D17" s="15">
        <v>21</v>
      </c>
      <c r="E17" s="11"/>
      <c r="F17" s="7"/>
      <c r="G17" s="13">
        <v>1073</v>
      </c>
      <c r="H17" s="22" t="s">
        <v>39</v>
      </c>
      <c r="I17" s="15">
        <v>25</v>
      </c>
      <c r="K17" s="7"/>
      <c r="L17" s="13">
        <v>1203</v>
      </c>
      <c r="M17" s="14" t="s">
        <v>40</v>
      </c>
      <c r="N17" s="15">
        <v>5.05</v>
      </c>
    </row>
    <row r="18" spans="1:14" s="12" customFormat="1" ht="12.75" customHeight="1" x14ac:dyDescent="0.25">
      <c r="A18" s="7"/>
      <c r="B18" s="13">
        <v>1064</v>
      </c>
      <c r="C18" s="22" t="s">
        <v>41</v>
      </c>
      <c r="D18" s="15">
        <v>24</v>
      </c>
      <c r="E18" s="11"/>
      <c r="F18" s="7"/>
      <c r="G18" s="13">
        <v>1074</v>
      </c>
      <c r="H18" s="22" t="s">
        <v>42</v>
      </c>
      <c r="I18" s="15">
        <v>28</v>
      </c>
      <c r="K18" s="7"/>
      <c r="L18" s="13">
        <v>1204</v>
      </c>
      <c r="M18" s="14" t="s">
        <v>43</v>
      </c>
      <c r="N18" s="15">
        <v>5.05</v>
      </c>
    </row>
    <row r="19" spans="1:14" s="12" customFormat="1" ht="12.75" customHeight="1" x14ac:dyDescent="0.25">
      <c r="A19" s="7"/>
      <c r="B19" s="13">
        <v>1065</v>
      </c>
      <c r="C19" s="22" t="s">
        <v>44</v>
      </c>
      <c r="D19" s="15">
        <v>28</v>
      </c>
      <c r="E19" s="11"/>
      <c r="F19" s="7"/>
      <c r="G19" s="13">
        <v>1075</v>
      </c>
      <c r="H19" s="22" t="s">
        <v>45</v>
      </c>
      <c r="I19" s="15">
        <v>32</v>
      </c>
      <c r="K19" s="7"/>
      <c r="L19" s="13">
        <v>1205</v>
      </c>
      <c r="M19" s="14" t="s">
        <v>46</v>
      </c>
      <c r="N19" s="15">
        <v>7.25</v>
      </c>
    </row>
    <row r="20" spans="1:14" s="12" customFormat="1" ht="12.75" customHeight="1" x14ac:dyDescent="0.25">
      <c r="A20" s="7"/>
      <c r="B20" s="13">
        <v>1066</v>
      </c>
      <c r="C20" s="22" t="s">
        <v>47</v>
      </c>
      <c r="D20" s="15">
        <v>32</v>
      </c>
      <c r="E20" s="11"/>
      <c r="F20" s="7"/>
      <c r="G20" s="13">
        <v>1076</v>
      </c>
      <c r="H20" s="22" t="s">
        <v>48</v>
      </c>
      <c r="I20" s="15">
        <v>34.5</v>
      </c>
      <c r="K20" s="7"/>
      <c r="L20" s="13">
        <v>1206</v>
      </c>
      <c r="M20" s="14" t="s">
        <v>49</v>
      </c>
      <c r="N20" s="15">
        <v>7.25</v>
      </c>
    </row>
    <row r="21" spans="1:14" s="12" customFormat="1" ht="12.75" customHeight="1" x14ac:dyDescent="0.25">
      <c r="A21" s="7"/>
      <c r="B21" s="8">
        <v>1067</v>
      </c>
      <c r="C21" s="20" t="s">
        <v>50</v>
      </c>
      <c r="D21" s="15">
        <v>33.5</v>
      </c>
      <c r="E21" s="11"/>
      <c r="F21" s="7"/>
      <c r="G21" s="8">
        <v>1077</v>
      </c>
      <c r="H21" s="20" t="s">
        <v>51</v>
      </c>
      <c r="I21" s="15">
        <v>35.5</v>
      </c>
      <c r="K21" s="7"/>
      <c r="L21" s="13">
        <v>1207</v>
      </c>
      <c r="M21" s="14" t="s">
        <v>52</v>
      </c>
      <c r="N21" s="15">
        <v>8.25</v>
      </c>
    </row>
    <row r="22" spans="1:14" s="12" customFormat="1" ht="12.75" customHeight="1" x14ac:dyDescent="0.25">
      <c r="A22" s="7"/>
      <c r="B22" s="8">
        <v>1068</v>
      </c>
      <c r="C22" s="20" t="s">
        <v>53</v>
      </c>
      <c r="D22" s="15">
        <v>36.5</v>
      </c>
      <c r="E22" s="11"/>
      <c r="F22" s="7"/>
      <c r="G22" s="8">
        <v>1078</v>
      </c>
      <c r="H22" s="20" t="s">
        <v>54</v>
      </c>
      <c r="I22" s="15">
        <v>38.5</v>
      </c>
      <c r="K22" s="7"/>
      <c r="L22" s="13">
        <v>1208</v>
      </c>
      <c r="M22" s="14" t="s">
        <v>55</v>
      </c>
      <c r="N22" s="15">
        <v>10.15</v>
      </c>
    </row>
    <row r="23" spans="1:14" s="12" customFormat="1" ht="12.75" customHeight="1" x14ac:dyDescent="0.25">
      <c r="E23" s="11"/>
      <c r="K23" s="7"/>
      <c r="L23" s="13">
        <v>1209</v>
      </c>
      <c r="M23" s="14" t="s">
        <v>56</v>
      </c>
      <c r="N23" s="15">
        <v>12.15</v>
      </c>
    </row>
    <row r="24" spans="1:14" ht="12.75" customHeight="1" x14ac:dyDescent="0.25">
      <c r="B24" s="16"/>
    </row>
    <row r="25" spans="1:14" ht="12.75" customHeight="1" x14ac:dyDescent="0.25">
      <c r="A25" s="89" t="s">
        <v>57</v>
      </c>
      <c r="B25" s="89"/>
      <c r="C25" s="89"/>
      <c r="D25" s="89"/>
      <c r="E25" s="24"/>
      <c r="F25" s="89" t="s">
        <v>58</v>
      </c>
      <c r="G25" s="89"/>
      <c r="H25" s="89"/>
      <c r="I25" s="89"/>
      <c r="J25" s="24"/>
      <c r="K25" s="89" t="s">
        <v>59</v>
      </c>
      <c r="L25" s="89"/>
      <c r="M25" s="89"/>
      <c r="N25" s="89"/>
    </row>
    <row r="26" spans="1:14" s="12" customFormat="1" ht="12.75" customHeight="1" x14ac:dyDescent="0.25">
      <c r="A26" s="7"/>
      <c r="B26" s="8">
        <v>1111</v>
      </c>
      <c r="C26" s="9" t="s">
        <v>60</v>
      </c>
      <c r="D26" s="21">
        <v>2.1</v>
      </c>
      <c r="E26" s="11"/>
      <c r="F26" s="7"/>
      <c r="G26" s="8">
        <v>1301</v>
      </c>
      <c r="H26" s="9" t="s">
        <v>61</v>
      </c>
      <c r="I26" s="21">
        <v>4.3</v>
      </c>
      <c r="J26" s="11"/>
      <c r="K26" s="7"/>
      <c r="L26" s="8">
        <v>1900</v>
      </c>
      <c r="M26" s="20" t="s">
        <v>62</v>
      </c>
      <c r="N26" s="10">
        <v>5.6</v>
      </c>
    </row>
    <row r="27" spans="1:14" s="12" customFormat="1" ht="12.75" customHeight="1" x14ac:dyDescent="0.25">
      <c r="E27" s="11"/>
      <c r="F27" s="7"/>
      <c r="G27" s="13">
        <v>1302</v>
      </c>
      <c r="H27" s="14" t="s">
        <v>63</v>
      </c>
      <c r="I27" s="15">
        <v>4.3</v>
      </c>
      <c r="J27" s="11"/>
      <c r="K27" s="7"/>
      <c r="L27" s="13">
        <v>1901</v>
      </c>
      <c r="M27" s="22" t="s">
        <v>64</v>
      </c>
      <c r="N27" s="15">
        <v>5.8</v>
      </c>
    </row>
    <row r="28" spans="1:14" s="12" customFormat="1" ht="12.75" customHeight="1" x14ac:dyDescent="0.25">
      <c r="A28" s="89" t="s">
        <v>65</v>
      </c>
      <c r="B28" s="89"/>
      <c r="C28" s="89"/>
      <c r="D28" s="89"/>
      <c r="E28" s="11"/>
      <c r="F28" s="7"/>
      <c r="G28" s="13">
        <v>1303</v>
      </c>
      <c r="H28" s="14" t="s">
        <v>66</v>
      </c>
      <c r="I28" s="15">
        <v>4.3</v>
      </c>
      <c r="J28" s="11"/>
      <c r="K28" s="7"/>
      <c r="L28" s="13">
        <v>1910</v>
      </c>
      <c r="M28" s="22" t="s">
        <v>67</v>
      </c>
      <c r="N28" s="15">
        <v>11</v>
      </c>
    </row>
    <row r="29" spans="1:14" s="12" customFormat="1" ht="12.75" customHeight="1" x14ac:dyDescent="0.25">
      <c r="A29" s="7" t="s">
        <v>1836</v>
      </c>
      <c r="B29" s="8">
        <v>1602</v>
      </c>
      <c r="C29" s="20" t="s">
        <v>68</v>
      </c>
      <c r="D29" s="10">
        <v>15.55</v>
      </c>
      <c r="E29" s="11"/>
      <c r="F29" s="7"/>
      <c r="G29" s="13">
        <v>1304</v>
      </c>
      <c r="H29" s="14" t="s">
        <v>69</v>
      </c>
      <c r="I29" s="15">
        <v>4.3</v>
      </c>
      <c r="J29" s="11"/>
      <c r="K29" s="7"/>
      <c r="L29" s="13">
        <v>1920</v>
      </c>
      <c r="M29" s="22" t="s">
        <v>70</v>
      </c>
      <c r="N29" s="15">
        <v>10.5</v>
      </c>
    </row>
    <row r="30" spans="1:14" s="12" customFormat="1" ht="12.75" customHeight="1" x14ac:dyDescent="0.25">
      <c r="A30" s="7" t="s">
        <v>1836</v>
      </c>
      <c r="B30" s="13">
        <v>1603</v>
      </c>
      <c r="C30" s="22" t="s">
        <v>71</v>
      </c>
      <c r="D30" s="15">
        <v>15.55</v>
      </c>
      <c r="E30" s="11"/>
      <c r="F30" s="7"/>
      <c r="G30" s="13">
        <v>1305</v>
      </c>
      <c r="H30" s="14" t="s">
        <v>72</v>
      </c>
      <c r="I30" s="15">
        <v>4.8</v>
      </c>
      <c r="J30" s="11"/>
      <c r="K30" s="7"/>
      <c r="L30" s="8">
        <v>1800</v>
      </c>
      <c r="M30" s="20" t="s">
        <v>73</v>
      </c>
      <c r="N30" s="10">
        <v>1</v>
      </c>
    </row>
    <row r="31" spans="1:14" s="12" customFormat="1" ht="12.75" customHeight="1" x14ac:dyDescent="0.25">
      <c r="A31" s="7" t="s">
        <v>1836</v>
      </c>
      <c r="B31" s="13">
        <v>1604</v>
      </c>
      <c r="C31" s="22" t="s">
        <v>74</v>
      </c>
      <c r="D31" s="15">
        <v>15.55</v>
      </c>
      <c r="E31" s="11"/>
      <c r="F31" s="7"/>
      <c r="G31" s="13">
        <v>1306</v>
      </c>
      <c r="H31" s="14" t="s">
        <v>75</v>
      </c>
      <c r="I31" s="15">
        <v>5.8</v>
      </c>
      <c r="J31" s="11"/>
      <c r="K31" s="7"/>
      <c r="L31" s="13">
        <v>1810</v>
      </c>
      <c r="M31" s="22" t="s">
        <v>76</v>
      </c>
      <c r="N31" s="15">
        <v>5</v>
      </c>
    </row>
    <row r="32" spans="1:14" s="12" customFormat="1" ht="12.75" customHeight="1" x14ac:dyDescent="0.25">
      <c r="A32" s="7" t="s">
        <v>1836</v>
      </c>
      <c r="B32" s="13">
        <v>1605</v>
      </c>
      <c r="C32" s="22" t="s">
        <v>77</v>
      </c>
      <c r="D32" s="15">
        <v>15.55</v>
      </c>
      <c r="E32" s="11"/>
      <c r="F32" s="7"/>
      <c r="G32" s="8">
        <v>1307</v>
      </c>
      <c r="H32" s="9" t="s">
        <v>78</v>
      </c>
      <c r="I32" s="15">
        <v>6.05</v>
      </c>
      <c r="J32" s="11"/>
      <c r="K32" s="7"/>
      <c r="L32" s="13">
        <v>1820</v>
      </c>
      <c r="M32" s="22" t="s">
        <v>79</v>
      </c>
      <c r="N32" s="15">
        <v>2.1</v>
      </c>
    </row>
    <row r="33" spans="1:14" s="12" customFormat="1" ht="12.75" customHeight="1" x14ac:dyDescent="0.25">
      <c r="A33" s="7" t="s">
        <v>1836</v>
      </c>
      <c r="B33" s="13">
        <v>1606</v>
      </c>
      <c r="C33" s="22" t="s">
        <v>80</v>
      </c>
      <c r="D33" s="15">
        <v>15.55</v>
      </c>
      <c r="E33" s="11"/>
      <c r="F33" s="7"/>
      <c r="G33" s="13">
        <v>1308</v>
      </c>
      <c r="H33" s="14" t="s">
        <v>81</v>
      </c>
      <c r="I33" s="15">
        <v>6.8</v>
      </c>
      <c r="J33" s="11"/>
      <c r="K33" s="7"/>
      <c r="L33" s="13">
        <v>2000</v>
      </c>
      <c r="M33" s="22" t="s">
        <v>82</v>
      </c>
      <c r="N33" s="15">
        <v>7.5</v>
      </c>
    </row>
    <row r="34" spans="1:14" s="12" customFormat="1" ht="12.75" customHeight="1" x14ac:dyDescent="0.25">
      <c r="A34" s="7" t="s">
        <v>1836</v>
      </c>
      <c r="B34" s="13">
        <v>1607</v>
      </c>
      <c r="C34" s="22" t="s">
        <v>83</v>
      </c>
      <c r="D34" s="15">
        <v>15.55</v>
      </c>
      <c r="E34" s="11"/>
      <c r="F34" s="7"/>
      <c r="G34" s="13">
        <v>1309</v>
      </c>
      <c r="H34" s="14" t="s">
        <v>84</v>
      </c>
      <c r="I34" s="15">
        <v>7.5</v>
      </c>
      <c r="J34" s="11"/>
    </row>
    <row r="35" spans="1:14" s="12" customFormat="1" ht="12.75" customHeight="1" x14ac:dyDescent="0.25">
      <c r="A35" s="7" t="s">
        <v>1836</v>
      </c>
      <c r="B35" s="13">
        <v>1608</v>
      </c>
      <c r="C35" s="22" t="s">
        <v>85</v>
      </c>
      <c r="D35" s="15">
        <v>15.55</v>
      </c>
      <c r="E35" s="11"/>
      <c r="J35" s="11"/>
    </row>
    <row r="36" spans="1:14" s="12" customFormat="1" ht="12.75" customHeight="1" x14ac:dyDescent="0.25">
      <c r="A36" s="7" t="s">
        <v>1836</v>
      </c>
      <c r="B36" s="13">
        <v>1609</v>
      </c>
      <c r="C36" s="22" t="s">
        <v>86</v>
      </c>
      <c r="D36" s="15">
        <v>15.55</v>
      </c>
      <c r="E36" s="11"/>
      <c r="J36" s="11"/>
    </row>
    <row r="37" spans="1:14" s="12" customFormat="1" ht="12.75" customHeight="1" x14ac:dyDescent="0.25">
      <c r="A37" s="7" t="s">
        <v>1836</v>
      </c>
      <c r="B37" s="13">
        <v>1610</v>
      </c>
      <c r="C37" s="22" t="s">
        <v>87</v>
      </c>
      <c r="D37" s="15">
        <v>15.55</v>
      </c>
      <c r="E37" s="11"/>
      <c r="F37" s="89" t="s">
        <v>88</v>
      </c>
      <c r="G37" s="89"/>
      <c r="H37" s="89"/>
      <c r="I37" s="89"/>
      <c r="J37" s="11"/>
    </row>
    <row r="38" spans="1:14" s="12" customFormat="1" ht="12.75" customHeight="1" x14ac:dyDescent="0.25">
      <c r="A38" s="77"/>
      <c r="B38" s="8">
        <v>1703</v>
      </c>
      <c r="C38" s="20" t="s">
        <v>89</v>
      </c>
      <c r="D38" s="15">
        <v>8</v>
      </c>
      <c r="E38" s="11"/>
      <c r="F38" s="7"/>
      <c r="G38" s="8">
        <v>1400</v>
      </c>
      <c r="H38" s="9" t="s">
        <v>90</v>
      </c>
      <c r="I38" s="10">
        <v>2.95</v>
      </c>
      <c r="J38" s="11"/>
    </row>
    <row r="39" spans="1:14" s="12" customFormat="1" ht="12.75" customHeight="1" x14ac:dyDescent="0.25">
      <c r="A39" s="7"/>
      <c r="B39" s="13">
        <v>1705</v>
      </c>
      <c r="C39" s="22" t="s">
        <v>91</v>
      </c>
      <c r="D39" s="15">
        <v>8</v>
      </c>
      <c r="E39" s="11"/>
      <c r="F39" s="7"/>
      <c r="G39" s="13">
        <v>1401</v>
      </c>
      <c r="H39" s="14" t="s">
        <v>92</v>
      </c>
      <c r="I39" s="15">
        <v>2.95</v>
      </c>
      <c r="J39" s="11"/>
    </row>
    <row r="40" spans="1:14" s="12" customFormat="1" ht="12.75" customHeight="1" x14ac:dyDescent="0.25">
      <c r="A40" s="7"/>
      <c r="B40" s="13">
        <v>1707</v>
      </c>
      <c r="C40" s="22" t="s">
        <v>93</v>
      </c>
      <c r="D40" s="15">
        <v>8</v>
      </c>
      <c r="E40" s="11"/>
      <c r="F40" s="7"/>
      <c r="G40" s="13">
        <v>1402</v>
      </c>
      <c r="H40" s="14" t="s">
        <v>94</v>
      </c>
      <c r="I40" s="15">
        <v>2.95</v>
      </c>
      <c r="J40" s="11"/>
    </row>
    <row r="41" spans="1:14" s="12" customFormat="1" ht="12.75" customHeight="1" x14ac:dyDescent="0.25">
      <c r="A41" s="7"/>
      <c r="B41" s="13">
        <v>1708</v>
      </c>
      <c r="C41" s="22" t="s">
        <v>95</v>
      </c>
      <c r="D41" s="15">
        <v>8</v>
      </c>
      <c r="E41" s="11"/>
      <c r="F41" s="7"/>
      <c r="G41" s="13">
        <v>1403</v>
      </c>
      <c r="H41" s="14" t="s">
        <v>96</v>
      </c>
      <c r="I41" s="15">
        <v>2.95</v>
      </c>
      <c r="J41" s="11"/>
    </row>
    <row r="42" spans="1:14" s="12" customFormat="1" ht="12.75" customHeight="1" x14ac:dyDescent="0.25">
      <c r="A42" s="7"/>
      <c r="B42" s="13">
        <v>1710</v>
      </c>
      <c r="C42" s="22" t="s">
        <v>97</v>
      </c>
      <c r="D42" s="15">
        <v>8</v>
      </c>
      <c r="E42" s="11"/>
      <c r="F42" s="7"/>
      <c r="G42" s="13">
        <v>1404</v>
      </c>
      <c r="H42" s="14" t="s">
        <v>98</v>
      </c>
      <c r="I42" s="15">
        <v>3.05</v>
      </c>
      <c r="J42" s="11"/>
    </row>
    <row r="43" spans="1:14" s="12" customFormat="1" ht="12.75" customHeight="1" x14ac:dyDescent="0.25">
      <c r="A43" s="7"/>
      <c r="B43" s="8">
        <v>1622</v>
      </c>
      <c r="C43" s="20" t="s">
        <v>99</v>
      </c>
      <c r="D43" s="10">
        <v>15.55</v>
      </c>
      <c r="E43" s="11"/>
      <c r="F43" s="7"/>
      <c r="G43" s="13">
        <v>1405</v>
      </c>
      <c r="H43" s="14" t="s">
        <v>100</v>
      </c>
      <c r="I43" s="15">
        <v>3.3</v>
      </c>
      <c r="J43" s="11"/>
    </row>
    <row r="44" spans="1:14" ht="12.75" customHeight="1" x14ac:dyDescent="0.25">
      <c r="A44" s="7"/>
      <c r="B44" s="13">
        <v>1623</v>
      </c>
      <c r="C44" s="22" t="s">
        <v>101</v>
      </c>
      <c r="D44" s="15">
        <v>15.55</v>
      </c>
      <c r="F44" s="7"/>
      <c r="G44" s="13">
        <v>1406</v>
      </c>
      <c r="H44" s="14" t="s">
        <v>102</v>
      </c>
      <c r="I44" s="15">
        <v>3.3</v>
      </c>
      <c r="J44" s="19"/>
    </row>
    <row r="45" spans="1:14" ht="12.75" customHeight="1" x14ac:dyDescent="0.25">
      <c r="A45" s="7"/>
      <c r="B45" s="13">
        <v>1624</v>
      </c>
      <c r="C45" s="22" t="s">
        <v>103</v>
      </c>
      <c r="D45" s="15">
        <v>15.55</v>
      </c>
      <c r="F45" s="7"/>
      <c r="G45" s="13">
        <v>1407</v>
      </c>
      <c r="H45" s="14" t="s">
        <v>104</v>
      </c>
      <c r="I45" s="15">
        <v>3.3</v>
      </c>
      <c r="J45" s="19"/>
    </row>
    <row r="46" spans="1:14" ht="12.75" customHeight="1" x14ac:dyDescent="0.25">
      <c r="A46" s="7"/>
      <c r="B46" s="13">
        <v>1625</v>
      </c>
      <c r="C46" s="22" t="s">
        <v>105</v>
      </c>
      <c r="D46" s="15">
        <v>15.55</v>
      </c>
      <c r="F46" s="7"/>
      <c r="G46" s="13">
        <v>1408</v>
      </c>
      <c r="H46" s="14" t="s">
        <v>106</v>
      </c>
      <c r="I46" s="15">
        <v>4.5</v>
      </c>
      <c r="J46" s="19"/>
    </row>
    <row r="47" spans="1:14" ht="12.75" customHeight="1" x14ac:dyDescent="0.25">
      <c r="A47" s="7"/>
      <c r="B47" s="13">
        <v>1626</v>
      </c>
      <c r="C47" s="22" t="s">
        <v>107</v>
      </c>
      <c r="D47" s="15">
        <v>15.55</v>
      </c>
      <c r="F47" s="7"/>
      <c r="G47" s="13">
        <v>1409</v>
      </c>
      <c r="H47" s="14" t="s">
        <v>108</v>
      </c>
      <c r="I47" s="15">
        <v>5.5</v>
      </c>
      <c r="J47" s="19"/>
    </row>
    <row r="48" spans="1:14" ht="12.75" customHeight="1" x14ac:dyDescent="0.25">
      <c r="A48" s="7"/>
      <c r="B48" s="13">
        <v>1627</v>
      </c>
      <c r="C48" s="22" t="s">
        <v>109</v>
      </c>
      <c r="D48" s="15">
        <v>15.55</v>
      </c>
      <c r="F48" s="7"/>
      <c r="G48" s="13">
        <v>1500</v>
      </c>
      <c r="H48" s="14" t="s">
        <v>110</v>
      </c>
      <c r="I48" s="15">
        <v>8.3000000000000007</v>
      </c>
      <c r="J48" s="19"/>
    </row>
    <row r="49" spans="1:14" ht="12.75" customHeight="1" x14ac:dyDescent="0.25">
      <c r="A49" s="7"/>
      <c r="B49" s="13">
        <v>1628</v>
      </c>
      <c r="C49" s="22" t="s">
        <v>111</v>
      </c>
      <c r="D49" s="15">
        <v>15.55</v>
      </c>
      <c r="F49" s="7"/>
      <c r="G49" s="13">
        <v>1501</v>
      </c>
      <c r="H49" s="14" t="s">
        <v>112</v>
      </c>
      <c r="I49" s="15">
        <v>8.3000000000000007</v>
      </c>
      <c r="J49" s="19"/>
    </row>
    <row r="50" spans="1:14" ht="12.75" customHeight="1" x14ac:dyDescent="0.25">
      <c r="A50" s="77" t="s">
        <v>1836</v>
      </c>
      <c r="B50" s="25">
        <v>1630</v>
      </c>
      <c r="C50" s="26" t="s">
        <v>113</v>
      </c>
      <c r="D50" s="15">
        <v>40</v>
      </c>
      <c r="F50" s="7"/>
      <c r="G50" s="13">
        <v>1502</v>
      </c>
      <c r="H50" s="14" t="s">
        <v>114</v>
      </c>
      <c r="I50" s="15">
        <v>8.3000000000000007</v>
      </c>
      <c r="J50" s="19"/>
    </row>
    <row r="51" spans="1:14" ht="12.75" customHeight="1" x14ac:dyDescent="0.25">
      <c r="A51" s="77" t="s">
        <v>1836</v>
      </c>
      <c r="B51" s="27">
        <v>1632</v>
      </c>
      <c r="C51" s="28" t="s">
        <v>115</v>
      </c>
      <c r="D51" s="15">
        <v>40</v>
      </c>
      <c r="F51" s="7"/>
      <c r="G51" s="13">
        <v>1503</v>
      </c>
      <c r="H51" s="14" t="s">
        <v>116</v>
      </c>
      <c r="I51" s="15">
        <v>8.3000000000000007</v>
      </c>
      <c r="J51" s="19"/>
    </row>
    <row r="52" spans="1:14" ht="12.75" customHeight="1" x14ac:dyDescent="0.25">
      <c r="A52" s="77" t="s">
        <v>1836</v>
      </c>
      <c r="B52" s="27">
        <v>1634</v>
      </c>
      <c r="C52" s="28" t="s">
        <v>117</v>
      </c>
      <c r="D52" s="15">
        <v>40</v>
      </c>
      <c r="F52" s="7"/>
      <c r="G52" s="13">
        <v>1504</v>
      </c>
      <c r="H52" s="14" t="s">
        <v>118</v>
      </c>
      <c r="I52" s="15">
        <v>9.4</v>
      </c>
      <c r="J52" s="19"/>
    </row>
    <row r="53" spans="1:14" ht="12.75" customHeight="1" x14ac:dyDescent="0.25">
      <c r="A53" s="77" t="s">
        <v>1836</v>
      </c>
      <c r="B53" s="27">
        <v>1636</v>
      </c>
      <c r="C53" s="28" t="s">
        <v>119</v>
      </c>
      <c r="D53" s="15">
        <v>40</v>
      </c>
      <c r="F53" s="7"/>
      <c r="G53" s="13">
        <v>1506</v>
      </c>
      <c r="H53" s="14" t="s">
        <v>120</v>
      </c>
      <c r="I53" s="15">
        <v>9.4</v>
      </c>
      <c r="J53" s="19"/>
    </row>
    <row r="54" spans="1:14" ht="12.75" customHeight="1" x14ac:dyDescent="0.25">
      <c r="A54" s="77" t="s">
        <v>1836</v>
      </c>
      <c r="B54" s="27">
        <v>1638</v>
      </c>
      <c r="C54" s="28" t="s">
        <v>121</v>
      </c>
      <c r="D54" s="15">
        <v>40</v>
      </c>
      <c r="F54" s="7"/>
      <c r="G54" s="13">
        <v>1509</v>
      </c>
      <c r="H54" s="14" t="s">
        <v>122</v>
      </c>
      <c r="I54" s="15">
        <v>10.5</v>
      </c>
      <c r="J54" s="19"/>
    </row>
    <row r="55" spans="1:14" ht="12.75" customHeight="1" x14ac:dyDescent="0.25">
      <c r="F55" s="1"/>
      <c r="G55" s="1"/>
      <c r="H55" s="1"/>
      <c r="I55" s="1"/>
      <c r="J55" s="19"/>
    </row>
    <row r="56" spans="1:14" ht="12.75" customHeight="1" x14ac:dyDescent="0.25">
      <c r="A56" s="84" t="s">
        <v>123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</row>
    <row r="57" spans="1:14" s="6" customFormat="1" ht="12.75" customHeight="1" x14ac:dyDescent="0.25">
      <c r="A57" s="83" t="s">
        <v>124</v>
      </c>
      <c r="B57" s="83"/>
      <c r="C57" s="83"/>
      <c r="D57" s="83"/>
      <c r="E57" s="5"/>
      <c r="F57" s="83" t="s">
        <v>125</v>
      </c>
      <c r="G57" s="83"/>
      <c r="H57" s="83"/>
      <c r="I57" s="83"/>
      <c r="K57" s="83" t="s">
        <v>126</v>
      </c>
      <c r="L57" s="83"/>
      <c r="M57" s="83"/>
      <c r="N57" s="83"/>
    </row>
    <row r="58" spans="1:14" ht="12.75" customHeight="1" x14ac:dyDescent="0.25">
      <c r="A58" s="7"/>
      <c r="B58" s="8">
        <v>5600</v>
      </c>
      <c r="C58" s="26" t="s">
        <v>127</v>
      </c>
      <c r="D58" s="21">
        <v>3.65</v>
      </c>
      <c r="F58" s="7"/>
      <c r="G58" s="8">
        <v>5700</v>
      </c>
      <c r="H58" s="20" t="s">
        <v>128</v>
      </c>
      <c r="I58" s="21">
        <v>1</v>
      </c>
      <c r="J58" s="19"/>
      <c r="K58" s="7"/>
      <c r="L58" s="8">
        <v>5720</v>
      </c>
      <c r="M58" s="20" t="s">
        <v>129</v>
      </c>
      <c r="N58" s="21">
        <v>2.0499999999999998</v>
      </c>
    </row>
    <row r="59" spans="1:14" ht="12.75" customHeight="1" x14ac:dyDescent="0.25">
      <c r="A59" s="7"/>
      <c r="B59" s="13">
        <v>5610</v>
      </c>
      <c r="C59" s="14" t="s">
        <v>130</v>
      </c>
      <c r="D59" s="15">
        <v>5.5</v>
      </c>
      <c r="F59" s="7"/>
      <c r="G59" s="13">
        <v>5701</v>
      </c>
      <c r="H59" s="22" t="s">
        <v>131</v>
      </c>
      <c r="I59" s="15">
        <v>0.70000000000000007</v>
      </c>
      <c r="J59" s="19"/>
      <c r="K59" s="7" t="s">
        <v>1836</v>
      </c>
      <c r="L59" s="13">
        <v>5730</v>
      </c>
      <c r="M59" s="22" t="s">
        <v>132</v>
      </c>
      <c r="N59" s="15">
        <v>2.25</v>
      </c>
    </row>
    <row r="60" spans="1:14" ht="12.75" customHeight="1" x14ac:dyDescent="0.25">
      <c r="A60" s="7"/>
      <c r="B60" s="13">
        <v>5620</v>
      </c>
      <c r="C60" s="14" t="s">
        <v>133</v>
      </c>
      <c r="D60" s="15">
        <v>3.2</v>
      </c>
      <c r="F60" s="7"/>
      <c r="G60" s="13">
        <v>5710</v>
      </c>
      <c r="H60" s="22" t="s">
        <v>134</v>
      </c>
      <c r="I60" s="15">
        <v>0.9</v>
      </c>
      <c r="J60" s="19"/>
      <c r="K60" s="7"/>
      <c r="L60" s="13">
        <v>5731</v>
      </c>
      <c r="M60" s="22" t="s">
        <v>135</v>
      </c>
      <c r="N60" s="15">
        <v>2.25</v>
      </c>
    </row>
    <row r="61" spans="1:14" ht="12.75" customHeight="1" x14ac:dyDescent="0.25">
      <c r="A61" s="7"/>
      <c r="B61" s="13">
        <v>5630</v>
      </c>
      <c r="C61" s="22" t="s">
        <v>136</v>
      </c>
      <c r="D61" s="15">
        <v>8.6999999999999993</v>
      </c>
      <c r="F61" s="7"/>
      <c r="G61" s="13">
        <v>5711</v>
      </c>
      <c r="H61" s="22" t="s">
        <v>137</v>
      </c>
      <c r="I61" s="15">
        <v>0.70000000000000007</v>
      </c>
      <c r="J61" s="19"/>
      <c r="K61" s="7"/>
      <c r="L61" s="13">
        <v>5800</v>
      </c>
      <c r="M61" s="22" t="s">
        <v>138</v>
      </c>
      <c r="N61" s="15">
        <v>6</v>
      </c>
    </row>
    <row r="62" spans="1:14" ht="12.75" customHeight="1" x14ac:dyDescent="0.25">
      <c r="A62" s="7"/>
      <c r="B62" s="13">
        <v>5631</v>
      </c>
      <c r="C62" s="22" t="s">
        <v>139</v>
      </c>
      <c r="D62" s="15">
        <v>8.6999999999999993</v>
      </c>
      <c r="F62" s="7"/>
      <c r="G62" s="13">
        <v>5712</v>
      </c>
      <c r="H62" s="22" t="s">
        <v>140</v>
      </c>
      <c r="I62" s="15">
        <v>0.7</v>
      </c>
      <c r="J62" s="19"/>
      <c r="K62" s="23"/>
      <c r="L62" s="16"/>
      <c r="M62" s="16"/>
      <c r="N62" s="18"/>
    </row>
    <row r="63" spans="1:14" ht="12.75" customHeight="1" x14ac:dyDescent="0.25">
      <c r="A63" s="7"/>
      <c r="B63" s="13">
        <v>5632</v>
      </c>
      <c r="C63" s="22" t="s">
        <v>141</v>
      </c>
      <c r="D63" s="15">
        <v>8.6999999999999993</v>
      </c>
      <c r="F63" s="19"/>
      <c r="G63" s="19"/>
      <c r="H63" s="19"/>
      <c r="I63" s="19"/>
      <c r="J63" s="19"/>
      <c r="K63" s="23"/>
      <c r="L63" s="16"/>
      <c r="M63" s="16"/>
      <c r="N63" s="18"/>
    </row>
    <row r="64" spans="1:14" ht="12.75" customHeight="1" x14ac:dyDescent="0.25">
      <c r="A64" s="7"/>
      <c r="B64" s="13">
        <v>5633</v>
      </c>
      <c r="C64" s="22" t="s">
        <v>142</v>
      </c>
      <c r="D64" s="15">
        <v>8.6999999999999993</v>
      </c>
      <c r="F64" s="19"/>
      <c r="G64" s="19"/>
      <c r="H64" s="19"/>
      <c r="I64" s="19"/>
      <c r="J64" s="19"/>
      <c r="K64" s="23"/>
      <c r="L64" s="16"/>
      <c r="M64" s="16"/>
      <c r="N64" s="18"/>
    </row>
    <row r="65" spans="1:14" ht="12.75" customHeight="1" x14ac:dyDescent="0.25">
      <c r="A65" s="7"/>
      <c r="B65" s="8">
        <v>5634</v>
      </c>
      <c r="C65" s="20" t="s">
        <v>143</v>
      </c>
      <c r="D65" s="10">
        <v>8.6999999999999993</v>
      </c>
      <c r="F65" s="19"/>
      <c r="G65" s="19"/>
      <c r="H65" s="19"/>
      <c r="I65" s="19"/>
      <c r="J65" s="19"/>
      <c r="K65" s="23"/>
      <c r="L65" s="16"/>
      <c r="M65" s="16"/>
      <c r="N65" s="18"/>
    </row>
    <row r="66" spans="1:14" ht="12.75" customHeight="1" x14ac:dyDescent="0.25">
      <c r="A66" s="7"/>
      <c r="B66" s="13">
        <v>5635</v>
      </c>
      <c r="C66" s="22" t="s">
        <v>144</v>
      </c>
      <c r="D66" s="15">
        <v>8.6999999999999993</v>
      </c>
      <c r="F66" s="19"/>
      <c r="G66" s="19"/>
      <c r="H66" s="19"/>
      <c r="I66" s="19"/>
      <c r="J66" s="19"/>
      <c r="K66" s="23"/>
      <c r="L66" s="16"/>
      <c r="M66" s="16"/>
      <c r="N66" s="18"/>
    </row>
    <row r="67" spans="1:14" ht="12.75" customHeight="1" x14ac:dyDescent="0.25">
      <c r="A67" s="7"/>
      <c r="B67" s="13">
        <v>5636</v>
      </c>
      <c r="C67" s="22" t="s">
        <v>145</v>
      </c>
      <c r="D67" s="15">
        <v>8.6999999999999993</v>
      </c>
      <c r="F67" s="19"/>
      <c r="G67" s="19"/>
      <c r="H67" s="19"/>
      <c r="I67" s="19"/>
      <c r="J67" s="19"/>
      <c r="K67" s="23"/>
      <c r="L67" s="16"/>
      <c r="M67" s="16"/>
      <c r="N67" s="18"/>
    </row>
    <row r="68" spans="1:14" ht="12.75" customHeight="1" x14ac:dyDescent="0.25">
      <c r="A68" s="7"/>
      <c r="B68" s="13">
        <v>5637</v>
      </c>
      <c r="C68" s="22" t="s">
        <v>146</v>
      </c>
      <c r="D68" s="15">
        <v>8.6999999999999993</v>
      </c>
      <c r="F68" s="19"/>
      <c r="G68" s="19"/>
      <c r="H68" s="19"/>
      <c r="I68" s="19"/>
      <c r="J68" s="19"/>
      <c r="K68" s="23"/>
      <c r="L68" s="16"/>
      <c r="M68" s="16"/>
      <c r="N68" s="18"/>
    </row>
    <row r="69" spans="1:14" ht="12.75" customHeight="1" x14ac:dyDescent="0.25">
      <c r="A69" s="7"/>
      <c r="B69" s="13">
        <v>5638</v>
      </c>
      <c r="C69" s="22" t="s">
        <v>147</v>
      </c>
      <c r="D69" s="15">
        <v>8.6999999999999993</v>
      </c>
      <c r="F69" s="19"/>
      <c r="G69" s="19"/>
      <c r="H69" s="19"/>
      <c r="I69" s="19"/>
      <c r="J69" s="19"/>
      <c r="K69" s="23"/>
      <c r="L69" s="16"/>
      <c r="M69" s="16"/>
      <c r="N69" s="18"/>
    </row>
    <row r="70" spans="1:14" ht="12.75" customHeight="1" x14ac:dyDescent="0.25">
      <c r="A70" s="7"/>
      <c r="B70" s="13">
        <v>5639</v>
      </c>
      <c r="C70" s="22" t="s">
        <v>148</v>
      </c>
      <c r="D70" s="15">
        <v>8.6999999999999993</v>
      </c>
      <c r="E70" s="11"/>
      <c r="F70" s="1"/>
      <c r="G70" s="1"/>
      <c r="H70" s="1"/>
      <c r="I70" s="1"/>
      <c r="J70" s="19"/>
      <c r="K70" s="23"/>
      <c r="L70" s="16"/>
      <c r="M70" s="16"/>
      <c r="N70" s="18"/>
    </row>
    <row r="71" spans="1:14" ht="12.75" customHeight="1" x14ac:dyDescent="0.25">
      <c r="A71" s="7"/>
      <c r="B71" s="13">
        <v>5640</v>
      </c>
      <c r="C71" s="22" t="s">
        <v>149</v>
      </c>
      <c r="D71" s="15">
        <v>8.6999999999999993</v>
      </c>
      <c r="E71" s="11"/>
      <c r="F71" s="1"/>
      <c r="G71" s="1"/>
      <c r="H71" s="1"/>
      <c r="I71" s="1"/>
      <c r="J71" s="19"/>
      <c r="K71" s="23"/>
      <c r="L71" s="16"/>
      <c r="M71" s="16"/>
      <c r="N71" s="18"/>
    </row>
    <row r="72" spans="1:14" ht="12.75" customHeight="1" x14ac:dyDescent="0.25">
      <c r="E72" s="11"/>
      <c r="F72" s="1"/>
      <c r="G72" s="1"/>
      <c r="H72" s="1"/>
      <c r="I72" s="1"/>
      <c r="J72" s="19"/>
      <c r="K72" s="23"/>
      <c r="L72" s="16"/>
      <c r="M72" s="16"/>
      <c r="N72" s="18"/>
    </row>
    <row r="73" spans="1:14" ht="12.75" customHeight="1" x14ac:dyDescent="0.25">
      <c r="E73" s="11"/>
      <c r="F73" s="1"/>
      <c r="G73" s="1"/>
      <c r="H73" s="1"/>
      <c r="I73" s="1"/>
      <c r="J73" s="19"/>
      <c r="K73" s="23"/>
      <c r="L73" s="16"/>
      <c r="M73" s="16"/>
      <c r="N73" s="18"/>
    </row>
    <row r="74" spans="1:14" ht="12.75" customHeight="1" x14ac:dyDescent="0.25">
      <c r="E74" s="11"/>
      <c r="F74" s="1"/>
      <c r="G74" s="1"/>
      <c r="H74" s="1"/>
      <c r="I74" s="1"/>
      <c r="J74" s="19"/>
      <c r="K74" s="23"/>
      <c r="L74" s="16"/>
      <c r="M74" s="16"/>
      <c r="N74" s="18"/>
    </row>
    <row r="75" spans="1:14" ht="12.75" customHeight="1" x14ac:dyDescent="0.25">
      <c r="E75" s="11"/>
      <c r="F75" s="1"/>
      <c r="G75" s="1"/>
      <c r="H75" s="1"/>
      <c r="I75" s="1"/>
      <c r="J75" s="19"/>
      <c r="K75" s="23"/>
      <c r="L75" s="16"/>
      <c r="M75" s="16"/>
      <c r="N75" s="18"/>
    </row>
    <row r="76" spans="1:14" ht="12.75" customHeight="1" x14ac:dyDescent="0.25">
      <c r="E76" s="11"/>
      <c r="F76" s="1"/>
      <c r="G76" s="1"/>
      <c r="H76" s="1"/>
      <c r="I76" s="1"/>
      <c r="J76" s="19"/>
      <c r="K76" s="23"/>
      <c r="L76" s="16"/>
      <c r="M76" s="16"/>
      <c r="N76" s="18"/>
    </row>
    <row r="77" spans="1:14" ht="12.75" customHeight="1" x14ac:dyDescent="0.25">
      <c r="E77" s="11"/>
      <c r="F77" s="1"/>
      <c r="G77" s="1"/>
      <c r="H77" s="1"/>
      <c r="I77" s="1"/>
      <c r="J77" s="19"/>
      <c r="K77" s="23"/>
      <c r="L77" s="16"/>
      <c r="M77" s="16"/>
      <c r="N77" s="18"/>
    </row>
    <row r="78" spans="1:14" ht="12.75" customHeight="1" x14ac:dyDescent="0.25">
      <c r="E78" s="11"/>
      <c r="F78" s="1"/>
      <c r="G78" s="1"/>
      <c r="H78" s="1"/>
      <c r="I78" s="1"/>
      <c r="J78" s="19"/>
      <c r="K78" s="23"/>
      <c r="L78" s="16"/>
      <c r="M78" s="16"/>
      <c r="N78" s="18"/>
    </row>
    <row r="79" spans="1:14" ht="12.75" customHeight="1" x14ac:dyDescent="0.25">
      <c r="A79" s="84" t="s">
        <v>150</v>
      </c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</row>
    <row r="80" spans="1:14" ht="12.75" customHeight="1" x14ac:dyDescent="0.25">
      <c r="A80" s="83" t="s">
        <v>151</v>
      </c>
      <c r="B80" s="83"/>
      <c r="C80" s="83"/>
      <c r="D80" s="83"/>
      <c r="E80" s="30"/>
      <c r="F80" s="83" t="s">
        <v>152</v>
      </c>
      <c r="G80" s="83"/>
      <c r="H80" s="83"/>
      <c r="I80" s="83"/>
      <c r="J80" s="12"/>
      <c r="K80" s="83" t="s">
        <v>153</v>
      </c>
      <c r="L80" s="83"/>
      <c r="M80" s="83"/>
      <c r="N80" s="83"/>
    </row>
    <row r="81" spans="1:14" ht="12.75" customHeight="1" x14ac:dyDescent="0.25">
      <c r="A81" s="7"/>
      <c r="B81" s="8">
        <v>4100</v>
      </c>
      <c r="C81" s="9" t="s">
        <v>154</v>
      </c>
      <c r="D81" s="10">
        <v>1.6500000000000001</v>
      </c>
      <c r="E81" s="11"/>
      <c r="F81" s="7"/>
      <c r="G81" s="8">
        <v>5100</v>
      </c>
      <c r="H81" s="20" t="s">
        <v>155</v>
      </c>
      <c r="I81" s="21">
        <v>0.25</v>
      </c>
      <c r="J81" s="12"/>
      <c r="K81" s="31"/>
      <c r="L81" s="8">
        <v>1850</v>
      </c>
      <c r="M81" s="9" t="s">
        <v>156</v>
      </c>
      <c r="N81" s="21">
        <v>2.75</v>
      </c>
    </row>
    <row r="82" spans="1:14" ht="12.75" customHeight="1" x14ac:dyDescent="0.25">
      <c r="A82" s="32"/>
      <c r="B82" s="13">
        <v>4101</v>
      </c>
      <c r="C82" s="14" t="s">
        <v>157</v>
      </c>
      <c r="D82" s="15">
        <v>1.8</v>
      </c>
      <c r="E82" s="11"/>
      <c r="F82" s="32"/>
      <c r="G82" s="13">
        <v>5101</v>
      </c>
      <c r="H82" s="22" t="s">
        <v>158</v>
      </c>
      <c r="I82" s="15">
        <v>0.5</v>
      </c>
      <c r="J82" s="12"/>
      <c r="K82" s="81" t="s">
        <v>1836</v>
      </c>
      <c r="L82" s="8">
        <v>4300</v>
      </c>
      <c r="M82" s="9" t="s">
        <v>159</v>
      </c>
      <c r="N82" s="21">
        <v>1.85</v>
      </c>
    </row>
    <row r="83" spans="1:14" ht="12.75" customHeight="1" x14ac:dyDescent="0.25">
      <c r="A83" s="32"/>
      <c r="B83" s="13">
        <v>4102</v>
      </c>
      <c r="C83" s="14" t="s">
        <v>160</v>
      </c>
      <c r="D83" s="15">
        <v>2</v>
      </c>
      <c r="E83" s="11"/>
      <c r="F83" s="32"/>
      <c r="G83" s="13">
        <v>5110</v>
      </c>
      <c r="H83" s="22" t="s">
        <v>161</v>
      </c>
      <c r="I83" s="15">
        <v>2.65</v>
      </c>
      <c r="J83" s="12"/>
      <c r="K83" s="81"/>
      <c r="L83" s="13">
        <v>4301</v>
      </c>
      <c r="M83" s="14" t="s">
        <v>162</v>
      </c>
      <c r="N83" s="15">
        <v>9</v>
      </c>
    </row>
    <row r="84" spans="1:14" ht="12.75" customHeight="1" x14ac:dyDescent="0.25">
      <c r="A84" s="32"/>
      <c r="B84" s="13">
        <v>4103</v>
      </c>
      <c r="C84" s="22" t="s">
        <v>163</v>
      </c>
      <c r="D84" s="15">
        <v>1.25</v>
      </c>
      <c r="E84" s="11"/>
      <c r="F84" s="32"/>
      <c r="G84" s="13">
        <v>5120</v>
      </c>
      <c r="H84" s="22" t="s">
        <v>164</v>
      </c>
      <c r="I84" s="15">
        <v>2.8</v>
      </c>
      <c r="J84" s="12"/>
      <c r="K84" s="81" t="s">
        <v>1836</v>
      </c>
      <c r="L84" s="13">
        <v>4310</v>
      </c>
      <c r="M84" s="14" t="s">
        <v>165</v>
      </c>
      <c r="N84" s="15">
        <v>1.85</v>
      </c>
    </row>
    <row r="85" spans="1:14" ht="12.75" customHeight="1" x14ac:dyDescent="0.25">
      <c r="A85" s="32"/>
      <c r="B85" s="13">
        <v>4104</v>
      </c>
      <c r="C85" s="22" t="s">
        <v>166</v>
      </c>
      <c r="D85" s="15">
        <v>2.4000000000000004</v>
      </c>
      <c r="E85" s="11"/>
      <c r="F85" s="32"/>
      <c r="G85" s="13">
        <v>5121</v>
      </c>
      <c r="H85" s="22" t="s">
        <v>167</v>
      </c>
      <c r="I85" s="15">
        <v>2.25</v>
      </c>
      <c r="J85" s="12"/>
      <c r="K85" s="81"/>
      <c r="L85" s="13">
        <v>5400</v>
      </c>
      <c r="M85" s="14" t="s">
        <v>168</v>
      </c>
      <c r="N85" s="15">
        <v>2.1</v>
      </c>
    </row>
    <row r="86" spans="1:14" ht="12.75" customHeight="1" x14ac:dyDescent="0.25">
      <c r="A86" s="32"/>
      <c r="B86" s="13">
        <v>4108</v>
      </c>
      <c r="C86" s="22" t="s">
        <v>169</v>
      </c>
      <c r="D86" s="15">
        <v>5.6</v>
      </c>
      <c r="E86" s="11"/>
      <c r="F86" s="32"/>
      <c r="G86" s="13">
        <v>5130</v>
      </c>
      <c r="H86" s="22" t="s">
        <v>170</v>
      </c>
      <c r="I86" s="15">
        <v>5</v>
      </c>
      <c r="J86" s="12"/>
      <c r="K86" s="81" t="s">
        <v>1836</v>
      </c>
      <c r="L86" s="13">
        <v>5410</v>
      </c>
      <c r="M86" s="14" t="s">
        <v>171</v>
      </c>
      <c r="N86" s="15">
        <v>1.9</v>
      </c>
    </row>
    <row r="87" spans="1:14" ht="12.75" customHeight="1" x14ac:dyDescent="0.25">
      <c r="A87" s="32"/>
      <c r="B87" s="13">
        <v>4150</v>
      </c>
      <c r="C87" s="14" t="s">
        <v>172</v>
      </c>
      <c r="D87" s="15">
        <v>0.75</v>
      </c>
      <c r="E87" s="11"/>
      <c r="F87" s="32"/>
      <c r="G87" s="13">
        <v>5200</v>
      </c>
      <c r="H87" s="22" t="s">
        <v>173</v>
      </c>
      <c r="I87" s="15">
        <v>6</v>
      </c>
      <c r="J87" s="12"/>
      <c r="K87" s="81"/>
      <c r="L87" s="13">
        <v>5420</v>
      </c>
      <c r="M87" s="14" t="s">
        <v>174</v>
      </c>
      <c r="N87" s="15">
        <v>3.05</v>
      </c>
    </row>
    <row r="88" spans="1:14" ht="12.75" customHeight="1" x14ac:dyDescent="0.25">
      <c r="A88" s="12"/>
      <c r="B88" s="34"/>
      <c r="C88" s="12"/>
      <c r="D88" s="35"/>
      <c r="E88" s="11"/>
      <c r="F88" s="32"/>
      <c r="G88" s="13">
        <v>5201</v>
      </c>
      <c r="H88" s="22" t="s">
        <v>175</v>
      </c>
      <c r="I88" s="15">
        <v>4.55</v>
      </c>
      <c r="J88" s="12"/>
      <c r="K88" s="81"/>
      <c r="L88" s="13">
        <v>5421</v>
      </c>
      <c r="M88" s="28" t="s">
        <v>176</v>
      </c>
      <c r="N88" s="15">
        <v>3.05</v>
      </c>
    </row>
    <row r="89" spans="1:14" ht="12.75" customHeight="1" x14ac:dyDescent="0.25">
      <c r="A89" s="83" t="s">
        <v>177</v>
      </c>
      <c r="B89" s="83"/>
      <c r="C89" s="83"/>
      <c r="D89" s="83"/>
      <c r="E89" s="11"/>
      <c r="F89" s="32"/>
      <c r="G89" s="13">
        <v>5202</v>
      </c>
      <c r="H89" s="22" t="s">
        <v>178</v>
      </c>
      <c r="I89" s="15">
        <v>2.5</v>
      </c>
      <c r="J89" s="12"/>
      <c r="K89" s="81"/>
      <c r="L89" s="13">
        <v>5422</v>
      </c>
      <c r="M89" s="28" t="s">
        <v>179</v>
      </c>
      <c r="N89" s="15">
        <v>3.05</v>
      </c>
    </row>
    <row r="90" spans="1:14" ht="12.75" customHeight="1" x14ac:dyDescent="0.25">
      <c r="A90" s="7"/>
      <c r="B90" s="8">
        <v>4200</v>
      </c>
      <c r="C90" s="9" t="s">
        <v>180</v>
      </c>
      <c r="D90" s="21">
        <v>2.8000000000000003</v>
      </c>
      <c r="E90" s="11"/>
      <c r="F90" s="32"/>
      <c r="G90" s="13">
        <v>5210</v>
      </c>
      <c r="H90" s="22" t="s">
        <v>181</v>
      </c>
      <c r="I90" s="15">
        <v>19</v>
      </c>
      <c r="J90" s="12"/>
      <c r="K90" s="81" t="s">
        <v>1836</v>
      </c>
      <c r="L90" s="13">
        <v>5423</v>
      </c>
      <c r="M90" s="28" t="s">
        <v>182</v>
      </c>
      <c r="N90" s="15">
        <v>8</v>
      </c>
    </row>
    <row r="91" spans="1:14" ht="12.75" customHeight="1" x14ac:dyDescent="0.25">
      <c r="A91" s="7"/>
      <c r="B91" s="8">
        <v>4201</v>
      </c>
      <c r="C91" s="9" t="s">
        <v>183</v>
      </c>
      <c r="D91" s="15">
        <v>1.1499999999999999</v>
      </c>
      <c r="E91" s="11"/>
      <c r="F91" s="32"/>
      <c r="G91" s="13">
        <v>5211</v>
      </c>
      <c r="H91" s="22" t="s">
        <v>184</v>
      </c>
      <c r="I91" s="15">
        <v>2.5</v>
      </c>
      <c r="J91" s="12"/>
      <c r="K91" s="81"/>
      <c r="L91" s="13">
        <v>5424</v>
      </c>
      <c r="M91" s="28" t="s">
        <v>185</v>
      </c>
      <c r="N91" s="15">
        <v>11</v>
      </c>
    </row>
    <row r="92" spans="1:14" ht="12.75" customHeight="1" x14ac:dyDescent="0.25">
      <c r="A92" s="32"/>
      <c r="B92" s="13">
        <v>4210</v>
      </c>
      <c r="C92" s="14" t="s">
        <v>186</v>
      </c>
      <c r="D92" s="15">
        <v>4.5</v>
      </c>
      <c r="E92" s="11"/>
      <c r="F92" s="32"/>
      <c r="G92" s="13">
        <v>5212</v>
      </c>
      <c r="H92" s="14" t="s">
        <v>187</v>
      </c>
      <c r="I92" s="15">
        <v>12</v>
      </c>
      <c r="J92" s="12"/>
      <c r="K92" s="81"/>
      <c r="L92" s="13">
        <v>5430</v>
      </c>
      <c r="M92" s="14" t="s">
        <v>188</v>
      </c>
      <c r="N92" s="15">
        <v>1.6</v>
      </c>
    </row>
    <row r="93" spans="1:14" ht="12.75" customHeight="1" x14ac:dyDescent="0.25">
      <c r="A93" s="32"/>
      <c r="B93" s="13">
        <v>4211</v>
      </c>
      <c r="C93" s="14" t="s">
        <v>189</v>
      </c>
      <c r="D93" s="15">
        <v>4.8500000000000005</v>
      </c>
      <c r="E93" s="11"/>
      <c r="F93" s="12"/>
      <c r="G93" s="34"/>
      <c r="H93" s="12"/>
      <c r="I93" s="35"/>
      <c r="J93" s="12"/>
      <c r="K93" s="81"/>
      <c r="L93" s="13">
        <v>5440</v>
      </c>
      <c r="M93" s="14" t="s">
        <v>190</v>
      </c>
      <c r="N93" s="15">
        <v>1.5</v>
      </c>
    </row>
    <row r="94" spans="1:14" ht="12.75" customHeight="1" x14ac:dyDescent="0.25">
      <c r="A94" s="32"/>
      <c r="B94" s="13">
        <v>4212</v>
      </c>
      <c r="C94" s="22" t="s">
        <v>191</v>
      </c>
      <c r="D94" s="15">
        <v>6</v>
      </c>
      <c r="E94" s="11"/>
      <c r="F94" s="83" t="s">
        <v>192</v>
      </c>
      <c r="G94" s="83"/>
      <c r="H94" s="83"/>
      <c r="I94" s="83"/>
      <c r="J94" s="12"/>
      <c r="K94" s="81"/>
      <c r="L94" s="13">
        <v>5500</v>
      </c>
      <c r="M94" s="14" t="s">
        <v>193</v>
      </c>
      <c r="N94" s="15">
        <v>4.2</v>
      </c>
    </row>
    <row r="95" spans="1:14" ht="12.75" customHeight="1" x14ac:dyDescent="0.25">
      <c r="A95" s="32"/>
      <c r="B95" s="13">
        <v>4213</v>
      </c>
      <c r="C95" s="22" t="s">
        <v>194</v>
      </c>
      <c r="D95" s="15">
        <v>4.5</v>
      </c>
      <c r="E95" s="11"/>
      <c r="F95" s="31"/>
      <c r="G95" s="8">
        <v>4400</v>
      </c>
      <c r="H95" s="9" t="s">
        <v>195</v>
      </c>
      <c r="I95" s="21">
        <v>3.1500000000000004</v>
      </c>
      <c r="J95" s="12"/>
      <c r="K95" s="33"/>
      <c r="L95" s="13">
        <v>5510</v>
      </c>
      <c r="M95" s="14" t="s">
        <v>196</v>
      </c>
      <c r="N95" s="15">
        <v>2.85</v>
      </c>
    </row>
    <row r="96" spans="1:14" ht="12.75" customHeight="1" x14ac:dyDescent="0.25">
      <c r="A96" s="12"/>
      <c r="B96" s="34"/>
      <c r="C96" s="12"/>
      <c r="D96" s="35"/>
      <c r="E96" s="11"/>
      <c r="F96" s="33"/>
      <c r="G96" s="13">
        <v>4401</v>
      </c>
      <c r="H96" s="14" t="s">
        <v>197</v>
      </c>
      <c r="I96" s="15">
        <v>3.95</v>
      </c>
      <c r="J96" s="12"/>
      <c r="K96" s="33"/>
      <c r="L96" s="13">
        <v>5520</v>
      </c>
      <c r="M96" s="14" t="s">
        <v>198</v>
      </c>
      <c r="N96" s="15">
        <v>3.95</v>
      </c>
    </row>
    <row r="97" spans="1:14" ht="12.75" customHeight="1" x14ac:dyDescent="0.25">
      <c r="A97" s="83" t="s">
        <v>199</v>
      </c>
      <c r="B97" s="83"/>
      <c r="C97" s="83"/>
      <c r="D97" s="83"/>
      <c r="E97" s="11"/>
      <c r="F97" s="33"/>
      <c r="G97" s="13">
        <v>4402</v>
      </c>
      <c r="H97" s="22" t="s">
        <v>200</v>
      </c>
      <c r="I97" s="15">
        <v>1</v>
      </c>
      <c r="J97" s="12"/>
      <c r="K97" s="33"/>
      <c r="L97" s="13">
        <v>5530</v>
      </c>
      <c r="M97" s="14" t="s">
        <v>201</v>
      </c>
      <c r="N97" s="15">
        <v>3.05</v>
      </c>
    </row>
    <row r="98" spans="1:14" ht="12.75" customHeight="1" x14ac:dyDescent="0.25">
      <c r="A98" s="7"/>
      <c r="B98" s="8">
        <v>5000</v>
      </c>
      <c r="C98" s="20" t="s">
        <v>202</v>
      </c>
      <c r="D98" s="21">
        <v>3.5</v>
      </c>
      <c r="E98" s="11"/>
      <c r="F98" s="31"/>
      <c r="G98" s="8">
        <v>4403</v>
      </c>
      <c r="H98" s="20" t="s">
        <v>203</v>
      </c>
      <c r="I98" s="10">
        <v>4.25</v>
      </c>
      <c r="J98" s="12"/>
      <c r="K98" s="33"/>
      <c r="L98" s="13">
        <v>5540</v>
      </c>
      <c r="M98" s="14" t="s">
        <v>204</v>
      </c>
      <c r="N98" s="15">
        <v>2.2999999999999998</v>
      </c>
    </row>
    <row r="99" spans="1:14" ht="12.75" customHeight="1" x14ac:dyDescent="0.25">
      <c r="A99" s="32"/>
      <c r="B99" s="13">
        <v>5001</v>
      </c>
      <c r="C99" s="22" t="s">
        <v>205</v>
      </c>
      <c r="D99" s="15">
        <v>3</v>
      </c>
      <c r="E99" s="11"/>
      <c r="F99" s="31"/>
      <c r="G99" s="8">
        <v>4420</v>
      </c>
      <c r="H99" s="9" t="s">
        <v>206</v>
      </c>
      <c r="I99" s="15">
        <v>12</v>
      </c>
      <c r="J99" s="12"/>
      <c r="K99" s="33"/>
      <c r="L99" s="13">
        <v>5541</v>
      </c>
      <c r="M99" s="14" t="s">
        <v>207</v>
      </c>
      <c r="N99" s="15">
        <v>3.5</v>
      </c>
    </row>
    <row r="100" spans="1:14" ht="12.75" customHeight="1" x14ac:dyDescent="0.25">
      <c r="A100" s="32"/>
      <c r="B100" s="13">
        <v>5002</v>
      </c>
      <c r="C100" s="22" t="s">
        <v>208</v>
      </c>
      <c r="D100" s="15">
        <v>3.5</v>
      </c>
      <c r="E100" s="11"/>
      <c r="F100" s="33"/>
      <c r="G100" s="13">
        <v>4500</v>
      </c>
      <c r="H100" s="14" t="s">
        <v>209</v>
      </c>
      <c r="I100" s="15">
        <v>1.25</v>
      </c>
      <c r="J100" s="12"/>
      <c r="K100" s="31"/>
      <c r="L100" s="8">
        <v>4800</v>
      </c>
      <c r="M100" s="20" t="s">
        <v>210</v>
      </c>
      <c r="N100" s="15">
        <v>2.2999999999999998</v>
      </c>
    </row>
    <row r="101" spans="1:14" ht="12.75" customHeight="1" x14ac:dyDescent="0.25">
      <c r="A101" s="32"/>
      <c r="B101" s="13">
        <v>5040</v>
      </c>
      <c r="C101" s="22" t="s">
        <v>211</v>
      </c>
      <c r="D101" s="15">
        <v>3</v>
      </c>
      <c r="E101" s="11"/>
      <c r="F101" s="33"/>
      <c r="G101" s="13">
        <v>4501</v>
      </c>
      <c r="H101" s="14" t="s">
        <v>212</v>
      </c>
      <c r="I101" s="15">
        <v>0.2</v>
      </c>
      <c r="J101" s="12"/>
      <c r="K101" s="33"/>
      <c r="L101" s="13">
        <v>4801</v>
      </c>
      <c r="M101" s="22" t="s">
        <v>213</v>
      </c>
      <c r="N101" s="15">
        <v>2.25</v>
      </c>
    </row>
    <row r="102" spans="1:14" ht="12.75" customHeight="1" x14ac:dyDescent="0.25">
      <c r="A102" s="32"/>
      <c r="B102" s="13">
        <v>5041</v>
      </c>
      <c r="C102" s="22" t="s">
        <v>214</v>
      </c>
      <c r="D102" s="15">
        <v>8.4</v>
      </c>
      <c r="E102" s="11"/>
      <c r="F102" s="33"/>
      <c r="G102" s="13">
        <v>4502</v>
      </c>
      <c r="H102" s="14" t="s">
        <v>215</v>
      </c>
      <c r="I102" s="15">
        <v>1</v>
      </c>
      <c r="J102" s="12"/>
      <c r="K102" s="33"/>
      <c r="L102" s="13">
        <v>4802</v>
      </c>
      <c r="M102" s="22" t="s">
        <v>216</v>
      </c>
      <c r="N102" s="15">
        <v>0.55000000000000004</v>
      </c>
    </row>
    <row r="103" spans="1:14" ht="12.75" customHeight="1" x14ac:dyDescent="0.25">
      <c r="A103" s="32"/>
      <c r="B103" s="13">
        <v>5042</v>
      </c>
      <c r="C103" s="22" t="s">
        <v>217</v>
      </c>
      <c r="D103" s="15">
        <v>9</v>
      </c>
      <c r="E103" s="11"/>
      <c r="F103" s="33"/>
      <c r="G103" s="13">
        <v>4503</v>
      </c>
      <c r="H103" s="14" t="s">
        <v>218</v>
      </c>
      <c r="I103" s="15">
        <v>2.6</v>
      </c>
      <c r="J103" s="12"/>
      <c r="K103" s="33"/>
      <c r="L103" s="13">
        <v>4830</v>
      </c>
      <c r="M103" s="22" t="s">
        <v>219</v>
      </c>
      <c r="N103" s="15">
        <v>1.3</v>
      </c>
    </row>
    <row r="104" spans="1:14" ht="12.75" customHeight="1" x14ac:dyDescent="0.25">
      <c r="A104" s="32"/>
      <c r="B104" s="13">
        <v>5050</v>
      </c>
      <c r="C104" s="22" t="s">
        <v>220</v>
      </c>
      <c r="D104" s="15">
        <v>3.5</v>
      </c>
      <c r="E104" s="11"/>
      <c r="F104" s="33"/>
      <c r="G104" s="13">
        <v>4520</v>
      </c>
      <c r="H104" s="14" t="s">
        <v>221</v>
      </c>
      <c r="I104" s="15">
        <v>0.55000000000000004</v>
      </c>
      <c r="J104" s="12"/>
      <c r="K104" s="80"/>
      <c r="L104" s="13">
        <v>4840</v>
      </c>
      <c r="M104" s="22" t="s">
        <v>222</v>
      </c>
      <c r="N104" s="15">
        <v>1</v>
      </c>
    </row>
    <row r="105" spans="1:14" ht="12.75" customHeight="1" x14ac:dyDescent="0.25">
      <c r="A105" s="32"/>
      <c r="B105" s="13">
        <v>5051</v>
      </c>
      <c r="C105" s="22" t="s">
        <v>223</v>
      </c>
      <c r="D105" s="15">
        <v>3</v>
      </c>
      <c r="E105" s="11"/>
      <c r="F105" s="33"/>
      <c r="G105" s="13">
        <v>4530</v>
      </c>
      <c r="H105" s="14" t="s">
        <v>224</v>
      </c>
      <c r="I105" s="15">
        <v>7</v>
      </c>
      <c r="J105" s="12"/>
      <c r="K105" s="80"/>
      <c r="L105" s="13">
        <v>4841</v>
      </c>
      <c r="M105" s="22" t="s">
        <v>225</v>
      </c>
      <c r="N105" s="15">
        <v>0.1</v>
      </c>
    </row>
    <row r="106" spans="1:14" ht="12.75" customHeight="1" x14ac:dyDescent="0.25">
      <c r="A106" s="32"/>
      <c r="B106" s="13">
        <v>5052</v>
      </c>
      <c r="C106" s="22" t="s">
        <v>226</v>
      </c>
      <c r="D106" s="15">
        <v>3.5</v>
      </c>
      <c r="E106" s="11"/>
      <c r="F106" s="33"/>
      <c r="G106" s="13">
        <v>4600</v>
      </c>
      <c r="H106" s="14" t="s">
        <v>227</v>
      </c>
      <c r="I106" s="15">
        <v>1.5</v>
      </c>
      <c r="J106" s="12"/>
      <c r="K106" s="80" t="s">
        <v>1836</v>
      </c>
      <c r="L106" s="13">
        <v>4842</v>
      </c>
      <c r="M106" s="22" t="s">
        <v>228</v>
      </c>
      <c r="N106" s="15">
        <v>2.1</v>
      </c>
    </row>
    <row r="107" spans="1:14" ht="12.75" customHeight="1" x14ac:dyDescent="0.25">
      <c r="A107" s="32"/>
      <c r="B107" s="13">
        <v>5060</v>
      </c>
      <c r="C107" s="22" t="s">
        <v>229</v>
      </c>
      <c r="D107" s="15">
        <v>1.5</v>
      </c>
      <c r="E107" s="11"/>
      <c r="F107" s="33"/>
      <c r="G107" s="13">
        <v>4700</v>
      </c>
      <c r="H107" s="14" t="s">
        <v>230</v>
      </c>
      <c r="I107" s="15">
        <v>5.95</v>
      </c>
      <c r="J107" s="12"/>
      <c r="K107" s="33"/>
      <c r="L107" s="13">
        <v>4900</v>
      </c>
      <c r="M107" s="22" t="s">
        <v>231</v>
      </c>
      <c r="N107" s="15">
        <v>3.75</v>
      </c>
    </row>
    <row r="108" spans="1:14" ht="12.75" customHeight="1" x14ac:dyDescent="0.25">
      <c r="A108" s="32"/>
      <c r="B108" s="13">
        <v>5070</v>
      </c>
      <c r="C108" s="22" t="s">
        <v>232</v>
      </c>
      <c r="D108" s="15">
        <v>4</v>
      </c>
      <c r="E108" s="11"/>
      <c r="F108" s="33"/>
      <c r="G108" s="13">
        <v>4701</v>
      </c>
      <c r="H108" s="14" t="s">
        <v>233</v>
      </c>
      <c r="I108" s="15">
        <v>0.25</v>
      </c>
      <c r="J108" s="12"/>
      <c r="K108" s="33"/>
      <c r="L108" s="13">
        <v>4910</v>
      </c>
      <c r="M108" s="22" t="s">
        <v>234</v>
      </c>
      <c r="N108" s="15">
        <v>2.65</v>
      </c>
    </row>
    <row r="109" spans="1:14" ht="12.75" customHeight="1" x14ac:dyDescent="0.25">
      <c r="A109" s="7"/>
      <c r="B109" s="8">
        <v>5082</v>
      </c>
      <c r="C109" s="9" t="s">
        <v>235</v>
      </c>
      <c r="D109" s="15">
        <v>7.7</v>
      </c>
      <c r="E109" s="11"/>
      <c r="F109" s="33"/>
      <c r="G109" s="13">
        <v>4710</v>
      </c>
      <c r="H109" s="14" t="s">
        <v>236</v>
      </c>
      <c r="I109" s="15">
        <v>3.5</v>
      </c>
      <c r="J109" s="12"/>
      <c r="K109" s="33"/>
      <c r="L109" s="13">
        <v>4920</v>
      </c>
      <c r="M109" s="22" t="s">
        <v>237</v>
      </c>
      <c r="N109" s="15">
        <v>3.3</v>
      </c>
    </row>
    <row r="110" spans="1:14" ht="12.75" customHeight="1" x14ac:dyDescent="0.25">
      <c r="A110" s="12"/>
      <c r="B110" s="12"/>
      <c r="C110" s="12"/>
      <c r="D110" s="12"/>
      <c r="E110" s="11"/>
      <c r="F110" s="36"/>
      <c r="G110" s="34"/>
      <c r="H110" s="12"/>
      <c r="I110" s="10"/>
      <c r="J110" s="12"/>
      <c r="K110" s="12"/>
      <c r="L110" s="12"/>
      <c r="M110" s="12"/>
      <c r="N110" s="12"/>
    </row>
    <row r="111" spans="1:14" ht="12.75" customHeight="1" x14ac:dyDescent="0.25">
      <c r="A111" s="84" t="s">
        <v>238</v>
      </c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</row>
    <row r="112" spans="1:14" ht="12.75" customHeight="1" x14ac:dyDescent="0.25">
      <c r="A112" s="83" t="s">
        <v>239</v>
      </c>
      <c r="B112" s="83"/>
      <c r="C112" s="83"/>
      <c r="D112" s="83"/>
      <c r="E112" s="30"/>
      <c r="F112" s="83" t="s">
        <v>240</v>
      </c>
      <c r="G112" s="83"/>
      <c r="H112" s="83"/>
      <c r="I112" s="83"/>
      <c r="J112" s="12"/>
      <c r="K112" s="83" t="s">
        <v>241</v>
      </c>
      <c r="L112" s="83"/>
      <c r="M112" s="83"/>
      <c r="N112" s="83"/>
    </row>
    <row r="113" spans="1:14" ht="12.75" customHeight="1" x14ac:dyDescent="0.25">
      <c r="A113" s="7"/>
      <c r="B113" s="25">
        <v>2200</v>
      </c>
      <c r="C113" s="20" t="s">
        <v>242</v>
      </c>
      <c r="D113" s="10">
        <v>3.1500000000000004</v>
      </c>
      <c r="E113" s="11"/>
      <c r="F113" s="7"/>
      <c r="G113" s="8">
        <v>3600</v>
      </c>
      <c r="H113" s="20" t="s">
        <v>243</v>
      </c>
      <c r="I113" s="10">
        <v>2.5</v>
      </c>
      <c r="J113" s="12"/>
      <c r="K113" s="37"/>
      <c r="L113" s="38">
        <v>2650</v>
      </c>
      <c r="M113" s="39" t="s">
        <v>244</v>
      </c>
      <c r="N113" s="10">
        <v>3.5</v>
      </c>
    </row>
    <row r="114" spans="1:14" ht="12.75" customHeight="1" x14ac:dyDescent="0.25">
      <c r="A114" s="32"/>
      <c r="B114" s="27">
        <v>2201</v>
      </c>
      <c r="C114" s="22" t="s">
        <v>245</v>
      </c>
      <c r="D114" s="15">
        <v>0.9</v>
      </c>
      <c r="E114" s="11"/>
      <c r="F114" s="32"/>
      <c r="G114" s="13">
        <v>3601</v>
      </c>
      <c r="H114" s="22" t="s">
        <v>246</v>
      </c>
      <c r="I114" s="15">
        <v>3.5</v>
      </c>
      <c r="J114" s="12"/>
      <c r="K114" s="31"/>
      <c r="L114" s="27">
        <v>3000</v>
      </c>
      <c r="M114" s="22" t="s">
        <v>247</v>
      </c>
      <c r="N114" s="15">
        <v>2.1</v>
      </c>
    </row>
    <row r="115" spans="1:14" ht="12.75" customHeight="1" x14ac:dyDescent="0.25">
      <c r="A115" s="32"/>
      <c r="B115" s="27">
        <v>2202</v>
      </c>
      <c r="C115" s="22" t="s">
        <v>248</v>
      </c>
      <c r="D115" s="15">
        <v>1.5</v>
      </c>
      <c r="E115" s="11"/>
      <c r="F115" s="32"/>
      <c r="G115" s="13">
        <v>3602</v>
      </c>
      <c r="H115" s="22" t="s">
        <v>249</v>
      </c>
      <c r="I115" s="15">
        <v>13.5</v>
      </c>
      <c r="J115" s="12"/>
      <c r="K115" s="33"/>
      <c r="L115" s="27">
        <v>3001</v>
      </c>
      <c r="M115" s="22" t="s">
        <v>250</v>
      </c>
      <c r="N115" s="15">
        <v>2.5</v>
      </c>
    </row>
    <row r="116" spans="1:14" ht="12.75" customHeight="1" x14ac:dyDescent="0.25">
      <c r="A116" s="32"/>
      <c r="B116" s="27">
        <v>2230</v>
      </c>
      <c r="C116" s="22" t="s">
        <v>251</v>
      </c>
      <c r="D116" s="15">
        <v>0.35</v>
      </c>
      <c r="E116" s="11"/>
      <c r="F116" s="32"/>
      <c r="G116" s="13">
        <v>3610</v>
      </c>
      <c r="H116" s="22" t="s">
        <v>252</v>
      </c>
      <c r="I116" s="15">
        <v>4.5</v>
      </c>
      <c r="J116" s="12"/>
      <c r="K116" s="33"/>
      <c r="L116" s="27">
        <v>3020</v>
      </c>
      <c r="M116" s="22" t="s">
        <v>253</v>
      </c>
      <c r="N116" s="15">
        <v>2.8</v>
      </c>
    </row>
    <row r="117" spans="1:14" ht="12.75" customHeight="1" x14ac:dyDescent="0.25">
      <c r="A117" s="32"/>
      <c r="B117" s="27">
        <v>2231</v>
      </c>
      <c r="C117" s="22" t="s">
        <v>254</v>
      </c>
      <c r="D117" s="15">
        <v>0.15</v>
      </c>
      <c r="E117" s="11"/>
      <c r="F117" s="32"/>
      <c r="G117" s="13">
        <v>3650</v>
      </c>
      <c r="H117" s="22" t="s">
        <v>255</v>
      </c>
      <c r="I117" s="15">
        <v>6.5</v>
      </c>
      <c r="J117" s="12"/>
      <c r="K117" s="31"/>
      <c r="L117" s="25">
        <v>3030</v>
      </c>
      <c r="M117" s="22" t="s">
        <v>256</v>
      </c>
      <c r="N117" s="15">
        <v>0.25</v>
      </c>
    </row>
    <row r="118" spans="1:14" ht="12.75" customHeight="1" x14ac:dyDescent="0.25">
      <c r="A118" s="12"/>
      <c r="B118" s="12"/>
      <c r="C118" s="12"/>
      <c r="D118" s="12"/>
      <c r="E118" s="11"/>
      <c r="F118" s="32"/>
      <c r="G118" s="13">
        <v>3651</v>
      </c>
      <c r="H118" s="22" t="s">
        <v>257</v>
      </c>
      <c r="I118" s="15">
        <v>13</v>
      </c>
      <c r="J118" s="12"/>
      <c r="K118" s="36"/>
      <c r="L118" s="25">
        <v>3031</v>
      </c>
      <c r="M118" s="22" t="s">
        <v>258</v>
      </c>
      <c r="N118" s="15">
        <v>0.5</v>
      </c>
    </row>
    <row r="119" spans="1:14" ht="12.75" customHeight="1" x14ac:dyDescent="0.25">
      <c r="A119" s="83" t="s">
        <v>259</v>
      </c>
      <c r="B119" s="83"/>
      <c r="C119" s="83"/>
      <c r="D119" s="83"/>
      <c r="E119" s="11"/>
      <c r="F119" s="32"/>
      <c r="G119" s="13">
        <v>3660</v>
      </c>
      <c r="H119" s="22" t="s">
        <v>260</v>
      </c>
      <c r="I119" s="15">
        <v>17</v>
      </c>
      <c r="J119" s="12"/>
      <c r="K119" s="33"/>
      <c r="L119" s="27">
        <v>3035</v>
      </c>
      <c r="M119" s="22" t="s">
        <v>261</v>
      </c>
      <c r="N119" s="15">
        <v>5</v>
      </c>
    </row>
    <row r="120" spans="1:14" ht="12.75" customHeight="1" x14ac:dyDescent="0.25">
      <c r="A120" s="7"/>
      <c r="B120" s="25">
        <v>2300</v>
      </c>
      <c r="C120" s="20" t="s">
        <v>262</v>
      </c>
      <c r="D120" s="10">
        <v>2.8</v>
      </c>
      <c r="E120" s="11"/>
      <c r="F120" s="12"/>
      <c r="G120" s="40" t="s">
        <v>263</v>
      </c>
      <c r="H120" s="12"/>
      <c r="I120" s="10"/>
      <c r="J120" s="12"/>
      <c r="K120" s="33"/>
      <c r="L120" s="27">
        <v>3040</v>
      </c>
      <c r="M120" s="22" t="s">
        <v>264</v>
      </c>
      <c r="N120" s="15">
        <v>0.15</v>
      </c>
    </row>
    <row r="121" spans="1:14" ht="12.75" customHeight="1" x14ac:dyDescent="0.25">
      <c r="A121" s="32"/>
      <c r="B121" s="27">
        <v>2301</v>
      </c>
      <c r="C121" s="22" t="s">
        <v>265</v>
      </c>
      <c r="D121" s="15">
        <v>3.75</v>
      </c>
      <c r="E121" s="11"/>
      <c r="F121" s="12"/>
      <c r="G121" s="12"/>
      <c r="H121" s="12"/>
      <c r="I121" s="12"/>
      <c r="J121" s="12"/>
      <c r="K121" s="33"/>
      <c r="L121" s="27">
        <v>3050</v>
      </c>
      <c r="M121" s="22" t="s">
        <v>266</v>
      </c>
      <c r="N121" s="15">
        <v>0.55000000000000004</v>
      </c>
    </row>
    <row r="122" spans="1:14" ht="12.75" customHeight="1" x14ac:dyDescent="0.25">
      <c r="A122" s="32"/>
      <c r="B122" s="27">
        <v>2310</v>
      </c>
      <c r="C122" s="22" t="s">
        <v>267</v>
      </c>
      <c r="D122" s="15">
        <v>2.8</v>
      </c>
      <c r="E122" s="11"/>
      <c r="F122" s="83" t="s">
        <v>268</v>
      </c>
      <c r="G122" s="83"/>
      <c r="H122" s="83"/>
      <c r="I122" s="83"/>
      <c r="J122" s="12"/>
      <c r="K122" s="80" t="s">
        <v>1836</v>
      </c>
      <c r="L122" s="27">
        <v>3051</v>
      </c>
      <c r="M122" s="22" t="s">
        <v>269</v>
      </c>
      <c r="N122" s="15">
        <v>1</v>
      </c>
    </row>
    <row r="123" spans="1:14" ht="12.75" customHeight="1" x14ac:dyDescent="0.25">
      <c r="A123" s="32"/>
      <c r="B123" s="27">
        <v>2400</v>
      </c>
      <c r="C123" s="22" t="s">
        <v>270</v>
      </c>
      <c r="D123" s="15">
        <v>40.5</v>
      </c>
      <c r="E123" s="11"/>
      <c r="F123" s="7"/>
      <c r="G123" s="8">
        <v>3900</v>
      </c>
      <c r="H123" s="20" t="s">
        <v>271</v>
      </c>
      <c r="I123" s="10">
        <v>13</v>
      </c>
      <c r="J123" s="12"/>
      <c r="K123" s="80" t="s">
        <v>1836</v>
      </c>
      <c r="L123" s="27">
        <v>3052</v>
      </c>
      <c r="M123" s="22" t="s">
        <v>272</v>
      </c>
      <c r="N123" s="15">
        <v>1</v>
      </c>
    </row>
    <row r="124" spans="1:14" ht="12.75" customHeight="1" x14ac:dyDescent="0.25">
      <c r="A124" s="32"/>
      <c r="B124" s="27">
        <v>2500</v>
      </c>
      <c r="C124" s="22" t="s">
        <v>273</v>
      </c>
      <c r="D124" s="15">
        <v>4.3</v>
      </c>
      <c r="E124" s="12"/>
      <c r="F124" s="77"/>
      <c r="G124" s="13">
        <v>3901</v>
      </c>
      <c r="H124" s="22" t="s">
        <v>274</v>
      </c>
      <c r="I124" s="15">
        <v>13</v>
      </c>
      <c r="J124" s="12"/>
      <c r="K124" s="80" t="s">
        <v>1836</v>
      </c>
      <c r="L124" s="27">
        <v>3060</v>
      </c>
      <c r="M124" s="22" t="s">
        <v>275</v>
      </c>
      <c r="N124" s="15">
        <v>0.5</v>
      </c>
    </row>
    <row r="125" spans="1:14" ht="12.75" customHeight="1" x14ac:dyDescent="0.25">
      <c r="A125" s="32"/>
      <c r="B125" s="27">
        <v>2501</v>
      </c>
      <c r="C125" s="22" t="s">
        <v>276</v>
      </c>
      <c r="D125" s="15">
        <v>8.6</v>
      </c>
      <c r="E125" s="12"/>
      <c r="F125" s="12"/>
      <c r="G125" s="12"/>
      <c r="H125" s="12"/>
      <c r="I125" s="12"/>
      <c r="J125" s="12"/>
      <c r="K125" s="33"/>
      <c r="L125" s="27">
        <v>3150</v>
      </c>
      <c r="M125" s="14" t="s">
        <v>277</v>
      </c>
      <c r="N125" s="15">
        <v>5.25</v>
      </c>
    </row>
    <row r="126" spans="1:14" ht="12.75" customHeight="1" x14ac:dyDescent="0.25">
      <c r="A126" s="32"/>
      <c r="B126" s="27">
        <v>2510</v>
      </c>
      <c r="C126" s="22" t="s">
        <v>278</v>
      </c>
      <c r="D126" s="15">
        <v>5</v>
      </c>
      <c r="E126" s="12"/>
      <c r="F126" s="83" t="s">
        <v>279</v>
      </c>
      <c r="G126" s="83"/>
      <c r="H126" s="83"/>
      <c r="I126" s="83"/>
      <c r="J126" s="12"/>
      <c r="K126" s="31"/>
      <c r="L126" s="25">
        <v>3100</v>
      </c>
      <c r="M126" s="9" t="s">
        <v>280</v>
      </c>
      <c r="N126" s="15">
        <v>1.05</v>
      </c>
    </row>
    <row r="127" spans="1:14" ht="12.75" customHeight="1" x14ac:dyDescent="0.25">
      <c r="A127" s="32" t="s">
        <v>1836</v>
      </c>
      <c r="B127" s="27">
        <v>2520</v>
      </c>
      <c r="C127" s="22" t="s">
        <v>281</v>
      </c>
      <c r="D127" s="15">
        <v>20</v>
      </c>
      <c r="E127" s="12"/>
      <c r="F127" s="7" t="s">
        <v>1836</v>
      </c>
      <c r="G127" s="8">
        <v>3930</v>
      </c>
      <c r="H127" s="20" t="s">
        <v>282</v>
      </c>
      <c r="I127" s="10">
        <v>13</v>
      </c>
      <c r="J127" s="12"/>
      <c r="K127" s="33"/>
      <c r="L127" s="27">
        <v>3101</v>
      </c>
      <c r="M127" s="14" t="s">
        <v>283</v>
      </c>
      <c r="N127" s="15">
        <v>1.05</v>
      </c>
    </row>
    <row r="128" spans="1:14" ht="12.75" customHeight="1" x14ac:dyDescent="0.25">
      <c r="A128" s="12"/>
      <c r="B128" s="12"/>
      <c r="C128" s="12"/>
      <c r="D128" s="12"/>
      <c r="E128" s="12"/>
      <c r="F128" s="7" t="s">
        <v>1836</v>
      </c>
      <c r="G128" s="13">
        <v>3931</v>
      </c>
      <c r="H128" s="20" t="s">
        <v>284</v>
      </c>
      <c r="I128" s="15">
        <v>13</v>
      </c>
      <c r="J128" s="12"/>
      <c r="K128" s="33"/>
      <c r="L128" s="27">
        <v>3102</v>
      </c>
      <c r="M128" s="14" t="s">
        <v>285</v>
      </c>
      <c r="N128" s="15">
        <v>1.05</v>
      </c>
    </row>
    <row r="129" spans="1:14" ht="12.75" customHeight="1" x14ac:dyDescent="0.25">
      <c r="A129" s="83" t="s">
        <v>286</v>
      </c>
      <c r="B129" s="83"/>
      <c r="C129" s="83"/>
      <c r="D129" s="83"/>
      <c r="E129" s="12"/>
      <c r="F129" s="7" t="s">
        <v>1836</v>
      </c>
      <c r="G129" s="13">
        <v>3932</v>
      </c>
      <c r="H129" s="20" t="s">
        <v>287</v>
      </c>
      <c r="I129" s="15">
        <v>13</v>
      </c>
      <c r="J129" s="12"/>
      <c r="K129" s="33"/>
      <c r="L129" s="27">
        <v>3103</v>
      </c>
      <c r="M129" s="14" t="s">
        <v>288</v>
      </c>
      <c r="N129" s="15">
        <v>1.05</v>
      </c>
    </row>
    <row r="130" spans="1:14" ht="12.75" customHeight="1" x14ac:dyDescent="0.25">
      <c r="A130" s="7"/>
      <c r="B130" s="25">
        <v>2600</v>
      </c>
      <c r="C130" s="9" t="s">
        <v>289</v>
      </c>
      <c r="D130" s="10">
        <v>1.85</v>
      </c>
      <c r="E130" s="12"/>
      <c r="F130" s="7" t="s">
        <v>1836</v>
      </c>
      <c r="G130" s="13">
        <v>3933</v>
      </c>
      <c r="H130" s="20" t="s">
        <v>290</v>
      </c>
      <c r="I130" s="15">
        <v>13</v>
      </c>
      <c r="J130" s="12"/>
      <c r="K130" s="33"/>
      <c r="L130" s="27">
        <v>3104</v>
      </c>
      <c r="M130" s="28" t="s">
        <v>291</v>
      </c>
      <c r="N130" s="15">
        <v>1.05</v>
      </c>
    </row>
    <row r="131" spans="1:14" ht="12.75" customHeight="1" x14ac:dyDescent="0.25">
      <c r="A131" s="32"/>
      <c r="B131" s="27">
        <v>2601</v>
      </c>
      <c r="C131" s="14" t="s">
        <v>292</v>
      </c>
      <c r="D131" s="15">
        <v>5.25</v>
      </c>
      <c r="E131" s="12"/>
      <c r="F131" s="7" t="s">
        <v>1836</v>
      </c>
      <c r="G131" s="13">
        <v>3934</v>
      </c>
      <c r="H131" s="20" t="s">
        <v>293</v>
      </c>
      <c r="I131" s="15">
        <v>13</v>
      </c>
      <c r="J131" s="12"/>
      <c r="K131" s="33"/>
      <c r="L131" s="27">
        <v>3105</v>
      </c>
      <c r="M131" s="14" t="s">
        <v>294</v>
      </c>
      <c r="N131" s="15">
        <v>1.05</v>
      </c>
    </row>
    <row r="132" spans="1:14" ht="12.75" customHeight="1" x14ac:dyDescent="0.25">
      <c r="A132" s="32"/>
      <c r="B132" s="27">
        <v>2610</v>
      </c>
      <c r="C132" s="14" t="s">
        <v>295</v>
      </c>
      <c r="D132" s="15">
        <v>8.75</v>
      </c>
      <c r="E132" s="12"/>
      <c r="F132" s="7" t="s">
        <v>1836</v>
      </c>
      <c r="G132" s="8">
        <v>3935</v>
      </c>
      <c r="H132" s="20" t="s">
        <v>296</v>
      </c>
      <c r="I132" s="15">
        <v>13</v>
      </c>
      <c r="J132" s="12"/>
      <c r="K132" s="33"/>
      <c r="L132" s="27">
        <v>3106</v>
      </c>
      <c r="M132" s="41" t="s">
        <v>297</v>
      </c>
      <c r="N132" s="15">
        <v>1.05</v>
      </c>
    </row>
    <row r="133" spans="1:14" ht="12.75" customHeight="1" x14ac:dyDescent="0.25">
      <c r="A133" s="32"/>
      <c r="B133" s="27">
        <v>2611</v>
      </c>
      <c r="C133" s="14" t="s">
        <v>298</v>
      </c>
      <c r="D133" s="15">
        <v>10.5</v>
      </c>
      <c r="E133" s="12"/>
      <c r="F133" s="7" t="s">
        <v>1836</v>
      </c>
      <c r="G133" s="8">
        <v>3936</v>
      </c>
      <c r="H133" s="20" t="s">
        <v>299</v>
      </c>
      <c r="I133" s="15">
        <v>13</v>
      </c>
      <c r="J133" s="12"/>
      <c r="K133" s="33"/>
      <c r="L133" s="13">
        <v>3107</v>
      </c>
      <c r="M133" s="22" t="s">
        <v>300</v>
      </c>
      <c r="N133" s="15">
        <v>1.05</v>
      </c>
    </row>
    <row r="134" spans="1:14" ht="12.75" customHeight="1" x14ac:dyDescent="0.25">
      <c r="A134" s="32"/>
      <c r="B134" s="27">
        <v>2620</v>
      </c>
      <c r="C134" s="14" t="s">
        <v>301</v>
      </c>
      <c r="D134" s="15">
        <v>2.85</v>
      </c>
      <c r="E134" s="12"/>
      <c r="F134" s="7" t="s">
        <v>1836</v>
      </c>
      <c r="G134" s="13">
        <v>3940</v>
      </c>
      <c r="H134" s="22" t="s">
        <v>302</v>
      </c>
      <c r="I134" s="15">
        <v>13</v>
      </c>
      <c r="J134" s="12"/>
      <c r="K134" s="33"/>
      <c r="L134" s="13">
        <v>3108</v>
      </c>
      <c r="M134" s="22" t="s">
        <v>303</v>
      </c>
      <c r="N134" s="15">
        <v>1.05</v>
      </c>
    </row>
    <row r="135" spans="1:14" ht="12.75" customHeight="1" x14ac:dyDescent="0.25">
      <c r="A135" s="32"/>
      <c r="B135" s="27">
        <v>2621</v>
      </c>
      <c r="C135" s="14" t="s">
        <v>304</v>
      </c>
      <c r="D135" s="15">
        <v>2.85</v>
      </c>
      <c r="E135" s="12"/>
      <c r="F135" s="7" t="s">
        <v>1836</v>
      </c>
      <c r="G135" s="13">
        <v>3941</v>
      </c>
      <c r="H135" s="22" t="s">
        <v>305</v>
      </c>
      <c r="I135" s="15">
        <v>13</v>
      </c>
      <c r="J135" s="12"/>
      <c r="K135" s="33"/>
      <c r="L135" s="13">
        <v>3110</v>
      </c>
      <c r="M135" s="22" t="s">
        <v>306</v>
      </c>
      <c r="N135" s="15">
        <v>1.05</v>
      </c>
    </row>
    <row r="136" spans="1:14" ht="12.75" customHeight="1" x14ac:dyDescent="0.25">
      <c r="A136" s="32"/>
      <c r="B136" s="27">
        <v>2602</v>
      </c>
      <c r="C136" s="28" t="s">
        <v>307</v>
      </c>
      <c r="D136" s="15">
        <v>22</v>
      </c>
      <c r="E136" s="12"/>
      <c r="F136" s="7" t="s">
        <v>1836</v>
      </c>
      <c r="G136" s="8">
        <v>3942</v>
      </c>
      <c r="H136" s="22" t="s">
        <v>308</v>
      </c>
      <c r="I136" s="15">
        <v>13</v>
      </c>
      <c r="J136" s="12"/>
      <c r="K136" s="33"/>
      <c r="L136" s="13">
        <v>3111</v>
      </c>
      <c r="M136" s="22" t="s">
        <v>309</v>
      </c>
      <c r="N136" s="15">
        <v>1.05</v>
      </c>
    </row>
    <row r="137" spans="1:14" ht="12.75" customHeight="1" x14ac:dyDescent="0.25">
      <c r="A137" s="32"/>
      <c r="B137" s="27">
        <v>2603</v>
      </c>
      <c r="C137" s="28" t="s">
        <v>310</v>
      </c>
      <c r="D137" s="15">
        <v>13</v>
      </c>
      <c r="E137" s="12"/>
      <c r="F137" s="7" t="s">
        <v>1836</v>
      </c>
      <c r="G137" s="13">
        <v>3943</v>
      </c>
      <c r="H137" s="22" t="s">
        <v>311</v>
      </c>
      <c r="I137" s="15">
        <v>13</v>
      </c>
      <c r="J137" s="12"/>
      <c r="K137" s="33"/>
      <c r="L137" s="13">
        <v>3112</v>
      </c>
      <c r="M137" s="22" t="s">
        <v>312</v>
      </c>
      <c r="N137" s="15">
        <v>1.05</v>
      </c>
    </row>
    <row r="138" spans="1:14" ht="12.75" customHeight="1" x14ac:dyDescent="0.25">
      <c r="A138" s="32"/>
      <c r="B138" s="27">
        <v>2604</v>
      </c>
      <c r="C138" s="28" t="s">
        <v>313</v>
      </c>
      <c r="D138" s="15">
        <v>15</v>
      </c>
      <c r="E138" s="12"/>
      <c r="F138" s="42"/>
      <c r="G138" s="43"/>
      <c r="H138" s="44"/>
      <c r="I138" s="35"/>
      <c r="J138" s="12"/>
      <c r="K138" s="33"/>
      <c r="L138" s="13">
        <v>3113</v>
      </c>
      <c r="M138" s="22" t="s">
        <v>314</v>
      </c>
      <c r="N138" s="15">
        <v>1.05</v>
      </c>
    </row>
    <row r="139" spans="1:14" ht="12.75" customHeight="1" x14ac:dyDescent="0.25">
      <c r="A139" s="32"/>
      <c r="B139" s="27">
        <v>2605</v>
      </c>
      <c r="C139" s="28" t="s">
        <v>315</v>
      </c>
      <c r="D139" s="15">
        <v>21</v>
      </c>
      <c r="E139" s="12"/>
      <c r="F139" s="83" t="s">
        <v>316</v>
      </c>
      <c r="G139" s="83"/>
      <c r="H139" s="83"/>
      <c r="I139" s="83"/>
      <c r="J139" s="12"/>
      <c r="K139" s="31"/>
      <c r="L139" s="25">
        <v>3200</v>
      </c>
      <c r="M139" s="9" t="s">
        <v>317</v>
      </c>
      <c r="N139" s="15">
        <v>3.1</v>
      </c>
    </row>
    <row r="140" spans="1:14" ht="12.75" customHeight="1" x14ac:dyDescent="0.25">
      <c r="A140" s="32"/>
      <c r="B140" s="27">
        <v>2606</v>
      </c>
      <c r="C140" s="28" t="s">
        <v>318</v>
      </c>
      <c r="D140" s="15">
        <v>20</v>
      </c>
      <c r="E140" s="12"/>
      <c r="F140" s="7" t="s">
        <v>1836</v>
      </c>
      <c r="G140" s="8" t="s">
        <v>319</v>
      </c>
      <c r="H140" s="20" t="s">
        <v>320</v>
      </c>
      <c r="I140" s="45" t="s">
        <v>321</v>
      </c>
      <c r="J140" s="12"/>
      <c r="K140" s="33"/>
      <c r="L140" s="27">
        <v>3201</v>
      </c>
      <c r="M140" s="14" t="s">
        <v>322</v>
      </c>
      <c r="N140" s="15">
        <v>0.1</v>
      </c>
    </row>
    <row r="141" spans="1:14" ht="12.75" customHeight="1" x14ac:dyDescent="0.25">
      <c r="A141" s="32"/>
      <c r="B141" s="27">
        <v>2622</v>
      </c>
      <c r="C141" s="28" t="s">
        <v>323</v>
      </c>
      <c r="D141" s="15">
        <v>3.5</v>
      </c>
      <c r="E141" s="11"/>
      <c r="F141" s="7" t="s">
        <v>1836</v>
      </c>
      <c r="G141" s="8" t="s">
        <v>324</v>
      </c>
      <c r="H141" s="20" t="s">
        <v>325</v>
      </c>
      <c r="I141" s="45" t="s">
        <v>321</v>
      </c>
      <c r="J141" s="12"/>
      <c r="K141" s="33"/>
      <c r="L141" s="27">
        <v>3210</v>
      </c>
      <c r="M141" s="14" t="s">
        <v>326</v>
      </c>
      <c r="N141" s="15">
        <v>0.55000000000000004</v>
      </c>
    </row>
    <row r="142" spans="1:14" ht="12.75" customHeight="1" x14ac:dyDescent="0.25">
      <c r="A142" s="12"/>
      <c r="B142" s="12"/>
      <c r="C142" s="12"/>
      <c r="D142" s="12"/>
      <c r="E142" s="11"/>
      <c r="F142" s="7" t="s">
        <v>1836</v>
      </c>
      <c r="G142" s="8" t="s">
        <v>327</v>
      </c>
      <c r="H142" s="20" t="s">
        <v>328</v>
      </c>
      <c r="I142" s="45" t="s">
        <v>321</v>
      </c>
      <c r="J142" s="12"/>
      <c r="K142" s="33"/>
      <c r="L142" s="27">
        <v>3300</v>
      </c>
      <c r="M142" s="14" t="s">
        <v>329</v>
      </c>
      <c r="N142" s="15">
        <v>0.85000000000000009</v>
      </c>
    </row>
    <row r="143" spans="1:14" ht="12.75" customHeight="1" x14ac:dyDescent="0.25">
      <c r="A143" s="83" t="s">
        <v>330</v>
      </c>
      <c r="B143" s="83"/>
      <c r="C143" s="83"/>
      <c r="D143" s="83"/>
      <c r="E143" s="11"/>
      <c r="F143" s="7" t="s">
        <v>1836</v>
      </c>
      <c r="G143" s="8">
        <v>3990</v>
      </c>
      <c r="H143" s="20" t="s">
        <v>331</v>
      </c>
      <c r="I143" s="21">
        <v>1</v>
      </c>
      <c r="J143" s="12"/>
      <c r="K143" s="33"/>
      <c r="L143" s="27">
        <v>3310</v>
      </c>
      <c r="M143" s="41" t="s">
        <v>332</v>
      </c>
      <c r="N143" s="15">
        <v>0.60000000000000009</v>
      </c>
    </row>
    <row r="144" spans="1:14" ht="12.75" customHeight="1" x14ac:dyDescent="0.25">
      <c r="A144" s="79" t="s">
        <v>1836</v>
      </c>
      <c r="B144" s="8">
        <v>2100</v>
      </c>
      <c r="C144" s="9" t="s">
        <v>333</v>
      </c>
      <c r="D144" s="10">
        <v>20</v>
      </c>
      <c r="E144" s="11"/>
      <c r="F144" s="12"/>
      <c r="G144" s="12"/>
      <c r="H144" s="12"/>
      <c r="I144" s="12"/>
      <c r="J144" s="12"/>
      <c r="K144" s="33"/>
      <c r="L144" s="27">
        <v>3400</v>
      </c>
      <c r="M144" s="14" t="s">
        <v>334</v>
      </c>
      <c r="N144" s="15">
        <v>5.5</v>
      </c>
    </row>
    <row r="145" spans="1:14" ht="12.75" customHeight="1" x14ac:dyDescent="0.25">
      <c r="A145" s="32"/>
      <c r="B145" s="13">
        <v>2240</v>
      </c>
      <c r="C145" s="14" t="s">
        <v>335</v>
      </c>
      <c r="D145" s="15">
        <v>20</v>
      </c>
      <c r="E145" s="11"/>
      <c r="F145" s="83" t="s">
        <v>336</v>
      </c>
      <c r="G145" s="83"/>
      <c r="H145" s="83"/>
      <c r="I145" s="83"/>
      <c r="J145" s="12"/>
      <c r="K145" s="12"/>
      <c r="L145" s="40" t="s">
        <v>263</v>
      </c>
      <c r="M145" s="12"/>
      <c r="N145" s="10"/>
    </row>
    <row r="146" spans="1:14" ht="12.75" customHeight="1" x14ac:dyDescent="0.25">
      <c r="A146" s="79"/>
      <c r="B146" s="13">
        <v>3800</v>
      </c>
      <c r="C146" s="14" t="s">
        <v>337</v>
      </c>
      <c r="D146" s="15">
        <v>11</v>
      </c>
      <c r="E146" s="11"/>
      <c r="F146" s="7" t="s">
        <v>1836</v>
      </c>
      <c r="G146" s="8">
        <v>3970</v>
      </c>
      <c r="H146" s="20" t="s">
        <v>338</v>
      </c>
      <c r="I146" s="45" t="s">
        <v>321</v>
      </c>
      <c r="J146" s="12"/>
      <c r="K146" s="36"/>
      <c r="L146" s="12"/>
      <c r="M146" s="12"/>
      <c r="N146" s="10"/>
    </row>
    <row r="147" spans="1:14" ht="12.75" customHeight="1" x14ac:dyDescent="0.25">
      <c r="A147" s="79" t="s">
        <v>1836</v>
      </c>
      <c r="B147" s="13">
        <v>4863</v>
      </c>
      <c r="C147" s="14" t="s">
        <v>339</v>
      </c>
      <c r="D147" s="15">
        <v>1.05</v>
      </c>
      <c r="E147" s="11"/>
      <c r="F147" s="7" t="s">
        <v>1836</v>
      </c>
      <c r="G147" s="8">
        <v>3971</v>
      </c>
      <c r="H147" s="20" t="s">
        <v>340</v>
      </c>
      <c r="I147" s="45" t="s">
        <v>321</v>
      </c>
      <c r="J147" s="12"/>
      <c r="K147" s="36"/>
      <c r="L147" s="12"/>
      <c r="M147" s="12"/>
      <c r="N147" s="10"/>
    </row>
    <row r="148" spans="1:14" ht="12.75" customHeight="1" x14ac:dyDescent="0.25">
      <c r="A148" s="79" t="s">
        <v>1836</v>
      </c>
      <c r="B148" s="13">
        <v>5300</v>
      </c>
      <c r="C148" s="14" t="s">
        <v>341</v>
      </c>
      <c r="D148" s="15">
        <v>38</v>
      </c>
      <c r="E148" s="11"/>
      <c r="F148" s="36"/>
      <c r="G148" s="40" t="s">
        <v>342</v>
      </c>
      <c r="H148" s="12"/>
      <c r="I148" s="10"/>
      <c r="J148" s="12"/>
      <c r="K148" s="36"/>
      <c r="L148" s="12"/>
      <c r="M148" s="12"/>
      <c r="N148" s="10"/>
    </row>
    <row r="149" spans="1:14" ht="12.75" customHeight="1" x14ac:dyDescent="0.25">
      <c r="A149" s="12"/>
      <c r="B149" s="40" t="s">
        <v>263</v>
      </c>
      <c r="C149" s="12"/>
      <c r="D149" s="10"/>
      <c r="E149" s="11"/>
      <c r="F149" s="36"/>
      <c r="G149" s="40" t="s">
        <v>343</v>
      </c>
      <c r="H149" s="12"/>
      <c r="I149" s="10"/>
      <c r="J149" s="12"/>
      <c r="K149" s="36"/>
      <c r="L149" s="12"/>
      <c r="M149" s="12"/>
      <c r="N149" s="10"/>
    </row>
    <row r="156" spans="1:14" ht="12.75" customHeight="1" x14ac:dyDescent="0.25">
      <c r="A156" s="84" t="s">
        <v>344</v>
      </c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</row>
    <row r="157" spans="1:14" ht="12.75" customHeight="1" x14ac:dyDescent="0.25">
      <c r="A157" s="83" t="s">
        <v>345</v>
      </c>
      <c r="B157" s="83"/>
      <c r="C157" s="83"/>
      <c r="D157" s="83"/>
      <c r="E157" s="46"/>
      <c r="F157" s="83" t="s">
        <v>346</v>
      </c>
      <c r="G157" s="83"/>
      <c r="H157" s="83"/>
      <c r="I157" s="83"/>
      <c r="J157" s="46"/>
      <c r="K157" s="83" t="s">
        <v>347</v>
      </c>
      <c r="L157" s="83"/>
      <c r="M157" s="83"/>
      <c r="N157" s="83"/>
    </row>
    <row r="158" spans="1:14" ht="12.75" customHeight="1" x14ac:dyDescent="0.25">
      <c r="A158" s="7"/>
      <c r="B158" s="8">
        <v>6000</v>
      </c>
      <c r="C158" s="20" t="s">
        <v>348</v>
      </c>
      <c r="D158" s="10">
        <v>1.1000000000000001</v>
      </c>
      <c r="E158" s="47"/>
      <c r="F158" s="7"/>
      <c r="G158" s="8">
        <v>6301</v>
      </c>
      <c r="H158" s="20" t="s">
        <v>349</v>
      </c>
      <c r="I158" s="10">
        <v>3.5</v>
      </c>
      <c r="J158" s="47"/>
      <c r="K158" s="7"/>
      <c r="L158" s="8">
        <v>6400</v>
      </c>
      <c r="M158" s="20" t="s">
        <v>350</v>
      </c>
      <c r="N158" s="10">
        <v>16.25</v>
      </c>
    </row>
    <row r="159" spans="1:14" ht="12.75" customHeight="1" x14ac:dyDescent="0.25">
      <c r="A159" s="32"/>
      <c r="B159" s="13">
        <v>6100</v>
      </c>
      <c r="C159" s="22" t="s">
        <v>351</v>
      </c>
      <c r="D159" s="15">
        <v>3.25</v>
      </c>
      <c r="E159" s="47"/>
      <c r="F159" s="32"/>
      <c r="G159" s="13">
        <v>6302</v>
      </c>
      <c r="H159" s="22" t="s">
        <v>352</v>
      </c>
      <c r="I159" s="15">
        <v>3.5</v>
      </c>
      <c r="J159" s="47"/>
      <c r="K159" s="32"/>
      <c r="L159" s="13">
        <v>6401</v>
      </c>
      <c r="M159" s="22" t="s">
        <v>353</v>
      </c>
      <c r="N159" s="15">
        <v>9.5</v>
      </c>
    </row>
    <row r="160" spans="1:14" ht="12.75" customHeight="1" x14ac:dyDescent="0.25">
      <c r="A160" s="32"/>
      <c r="B160" s="13">
        <v>6101</v>
      </c>
      <c r="C160" s="22" t="s">
        <v>354</v>
      </c>
      <c r="D160" s="15">
        <v>3.25</v>
      </c>
      <c r="E160" s="47"/>
      <c r="F160" s="7"/>
      <c r="G160" s="8">
        <v>6303</v>
      </c>
      <c r="H160" s="20" t="s">
        <v>355</v>
      </c>
      <c r="I160" s="15">
        <v>3.5</v>
      </c>
      <c r="J160" s="47"/>
      <c r="K160" s="32"/>
      <c r="L160" s="13">
        <v>6410</v>
      </c>
      <c r="M160" s="22" t="s">
        <v>356</v>
      </c>
      <c r="N160" s="15">
        <v>8.5500000000000007</v>
      </c>
    </row>
    <row r="161" spans="1:14" ht="12.75" customHeight="1" x14ac:dyDescent="0.25">
      <c r="A161" s="32"/>
      <c r="B161" s="13">
        <v>6102</v>
      </c>
      <c r="C161" s="22" t="s">
        <v>357</v>
      </c>
      <c r="D161" s="15">
        <v>3.25</v>
      </c>
      <c r="E161" s="47"/>
      <c r="F161" s="7"/>
      <c r="G161" s="8">
        <v>6311</v>
      </c>
      <c r="H161" s="20" t="s">
        <v>358</v>
      </c>
      <c r="I161" s="10">
        <v>3.5</v>
      </c>
      <c r="J161" s="47"/>
      <c r="K161" s="32"/>
      <c r="L161" s="13">
        <v>6411</v>
      </c>
      <c r="M161" s="41" t="s">
        <v>359</v>
      </c>
      <c r="N161" s="15">
        <v>5.25</v>
      </c>
    </row>
    <row r="162" spans="1:14" ht="12.75" customHeight="1" x14ac:dyDescent="0.25">
      <c r="A162" s="32"/>
      <c r="B162" s="13">
        <v>6103</v>
      </c>
      <c r="C162" s="22" t="s">
        <v>360</v>
      </c>
      <c r="D162" s="15">
        <v>3.25</v>
      </c>
      <c r="E162" s="47"/>
      <c r="F162" s="32"/>
      <c r="G162" s="13">
        <v>6312</v>
      </c>
      <c r="H162" s="22" t="s">
        <v>361</v>
      </c>
      <c r="I162" s="15">
        <v>3.5</v>
      </c>
      <c r="J162" s="47"/>
      <c r="K162" s="32"/>
      <c r="L162" s="13">
        <v>6420</v>
      </c>
      <c r="M162" s="22" t="s">
        <v>362</v>
      </c>
      <c r="N162" s="15">
        <v>3.6</v>
      </c>
    </row>
    <row r="163" spans="1:14" ht="12.75" customHeight="1" x14ac:dyDescent="0.25">
      <c r="A163" s="32"/>
      <c r="B163" s="13">
        <v>6104</v>
      </c>
      <c r="C163" s="22" t="s">
        <v>363</v>
      </c>
      <c r="D163" s="15">
        <v>3</v>
      </c>
      <c r="E163" s="11"/>
      <c r="F163" s="32"/>
      <c r="G163" s="13">
        <v>6320</v>
      </c>
      <c r="H163" s="22" t="s">
        <v>364</v>
      </c>
      <c r="I163" s="15">
        <v>1</v>
      </c>
      <c r="J163" s="11"/>
      <c r="K163" s="32"/>
      <c r="L163" s="13">
        <v>6421</v>
      </c>
      <c r="M163" s="22" t="s">
        <v>365</v>
      </c>
      <c r="N163" s="15">
        <v>6.0500000000000007</v>
      </c>
    </row>
    <row r="164" spans="1:14" ht="12.75" customHeight="1" x14ac:dyDescent="0.25">
      <c r="A164" s="32"/>
      <c r="B164" s="13">
        <v>6106</v>
      </c>
      <c r="C164" s="22" t="s">
        <v>366</v>
      </c>
      <c r="D164" s="15">
        <v>1.8</v>
      </c>
      <c r="E164" s="11"/>
      <c r="F164" s="32"/>
      <c r="G164" s="13">
        <v>6321</v>
      </c>
      <c r="H164" s="22" t="s">
        <v>367</v>
      </c>
      <c r="I164" s="15">
        <v>1</v>
      </c>
      <c r="J164" s="11"/>
      <c r="K164" s="32"/>
      <c r="L164" s="13">
        <v>6460</v>
      </c>
      <c r="M164" s="22" t="s">
        <v>368</v>
      </c>
      <c r="N164" s="15">
        <v>3.5</v>
      </c>
    </row>
    <row r="165" spans="1:14" ht="12.75" customHeight="1" x14ac:dyDescent="0.25">
      <c r="A165" s="32"/>
      <c r="B165" s="13">
        <v>6107</v>
      </c>
      <c r="C165" s="48" t="s">
        <v>369</v>
      </c>
      <c r="D165" s="15">
        <v>1.8</v>
      </c>
      <c r="E165" s="11"/>
      <c r="F165" s="32"/>
      <c r="G165" s="13">
        <v>6322</v>
      </c>
      <c r="H165" s="22" t="s">
        <v>370</v>
      </c>
      <c r="I165" s="15">
        <v>1</v>
      </c>
      <c r="J165" s="11"/>
      <c r="K165" s="32"/>
      <c r="L165" s="13">
        <v>6461</v>
      </c>
      <c r="M165" s="22" t="s">
        <v>371</v>
      </c>
      <c r="N165" s="15">
        <v>1</v>
      </c>
    </row>
    <row r="166" spans="1:14" ht="12.75" customHeight="1" x14ac:dyDescent="0.25">
      <c r="A166" s="32"/>
      <c r="B166" s="13">
        <v>6108</v>
      </c>
      <c r="C166" s="22" t="s">
        <v>372</v>
      </c>
      <c r="D166" s="15">
        <v>1.8</v>
      </c>
      <c r="E166" s="11"/>
      <c r="F166" s="32"/>
      <c r="G166" s="13">
        <v>6343</v>
      </c>
      <c r="H166" s="22" t="s">
        <v>373</v>
      </c>
      <c r="I166" s="15">
        <v>3.5</v>
      </c>
      <c r="J166" s="11"/>
      <c r="K166" s="42"/>
      <c r="L166" s="43"/>
      <c r="M166" s="44"/>
      <c r="N166" s="35"/>
    </row>
    <row r="167" spans="1:14" ht="12.75" customHeight="1" x14ac:dyDescent="0.25">
      <c r="A167" s="32"/>
      <c r="B167" s="13">
        <v>6109</v>
      </c>
      <c r="C167" s="22" t="s">
        <v>374</v>
      </c>
      <c r="D167" s="15">
        <v>1.8</v>
      </c>
      <c r="E167" s="11"/>
      <c r="F167" s="32"/>
      <c r="G167" s="13">
        <v>6350</v>
      </c>
      <c r="H167" s="22" t="s">
        <v>375</v>
      </c>
      <c r="I167" s="15">
        <v>8</v>
      </c>
      <c r="J167" s="11"/>
      <c r="K167" s="83" t="s">
        <v>376</v>
      </c>
      <c r="L167" s="83"/>
      <c r="M167" s="83"/>
      <c r="N167" s="83"/>
    </row>
    <row r="168" spans="1:14" ht="12.75" customHeight="1" x14ac:dyDescent="0.25">
      <c r="A168" s="32"/>
      <c r="B168" s="13">
        <v>6110</v>
      </c>
      <c r="C168" s="22" t="s">
        <v>377</v>
      </c>
      <c r="D168" s="15">
        <v>1.8</v>
      </c>
      <c r="E168" s="11"/>
      <c r="F168" s="32"/>
      <c r="G168" s="13">
        <v>6440</v>
      </c>
      <c r="H168" s="22" t="s">
        <v>378</v>
      </c>
      <c r="I168" s="15">
        <v>0.55000000000000004</v>
      </c>
      <c r="J168" s="11"/>
      <c r="K168" s="7" t="s">
        <v>1836</v>
      </c>
      <c r="L168" s="8">
        <v>6500</v>
      </c>
      <c r="M168" s="20" t="s">
        <v>379</v>
      </c>
      <c r="N168" s="10">
        <v>5</v>
      </c>
    </row>
    <row r="169" spans="1:14" ht="12.75" customHeight="1" x14ac:dyDescent="0.25">
      <c r="A169" s="32"/>
      <c r="B169" s="13">
        <v>6200</v>
      </c>
      <c r="C169" s="22" t="s">
        <v>380</v>
      </c>
      <c r="D169" s="15">
        <v>3</v>
      </c>
      <c r="E169" s="11"/>
      <c r="F169" s="32"/>
      <c r="G169" s="13">
        <v>6441</v>
      </c>
      <c r="H169" s="22" t="s">
        <v>381</v>
      </c>
      <c r="I169" s="15">
        <v>0.75</v>
      </c>
      <c r="J169" s="11"/>
      <c r="K169" s="32" t="s">
        <v>1836</v>
      </c>
      <c r="L169" s="13">
        <v>6510</v>
      </c>
      <c r="M169" s="22" t="s">
        <v>382</v>
      </c>
      <c r="N169" s="15">
        <v>0.1</v>
      </c>
    </row>
    <row r="170" spans="1:14" ht="12.75" customHeight="1" x14ac:dyDescent="0.25">
      <c r="A170" s="32"/>
      <c r="B170" s="13">
        <v>6201</v>
      </c>
      <c r="C170" s="22" t="s">
        <v>383</v>
      </c>
      <c r="D170" s="15">
        <v>3</v>
      </c>
      <c r="E170" s="11"/>
      <c r="F170" s="32"/>
      <c r="G170" s="13">
        <v>6442</v>
      </c>
      <c r="H170" s="22" t="s">
        <v>384</v>
      </c>
      <c r="I170" s="15">
        <v>1.85</v>
      </c>
      <c r="J170" s="11"/>
      <c r="K170" s="32"/>
      <c r="L170" s="13">
        <v>6520</v>
      </c>
      <c r="M170" s="22" t="s">
        <v>385</v>
      </c>
      <c r="N170" s="15">
        <v>4.4000000000000004</v>
      </c>
    </row>
    <row r="171" spans="1:14" ht="12.75" customHeight="1" x14ac:dyDescent="0.25">
      <c r="A171" s="32"/>
      <c r="B171" s="13">
        <v>6202</v>
      </c>
      <c r="C171" s="22" t="s">
        <v>386</v>
      </c>
      <c r="D171" s="15">
        <v>3</v>
      </c>
      <c r="E171" s="11"/>
      <c r="F171" s="32"/>
      <c r="G171" s="13">
        <v>6443</v>
      </c>
      <c r="H171" s="22" t="s">
        <v>387</v>
      </c>
      <c r="I171" s="15">
        <v>1.85</v>
      </c>
      <c r="J171" s="11"/>
      <c r="K171" s="32" t="s">
        <v>1836</v>
      </c>
      <c r="L171" s="13">
        <v>6521</v>
      </c>
      <c r="M171" s="22" t="s">
        <v>388</v>
      </c>
      <c r="N171" s="15">
        <v>0.45</v>
      </c>
    </row>
    <row r="172" spans="1:14" ht="12.75" customHeight="1" x14ac:dyDescent="0.25">
      <c r="A172" s="32"/>
      <c r="B172" s="13">
        <v>6203</v>
      </c>
      <c r="C172" s="22" t="s">
        <v>389</v>
      </c>
      <c r="D172" s="15">
        <v>3</v>
      </c>
      <c r="E172" s="11"/>
      <c r="F172" s="32"/>
      <c r="G172" s="13">
        <v>6450</v>
      </c>
      <c r="H172" s="22" t="s">
        <v>390</v>
      </c>
      <c r="I172" s="15">
        <v>3.4000000000000004</v>
      </c>
      <c r="J172" s="11"/>
      <c r="K172" s="32"/>
      <c r="L172" s="13">
        <v>6530</v>
      </c>
      <c r="M172" s="22" t="s">
        <v>391</v>
      </c>
      <c r="N172" s="15">
        <v>0.1</v>
      </c>
    </row>
    <row r="173" spans="1:14" ht="12.75" customHeight="1" x14ac:dyDescent="0.25">
      <c r="A173" s="12"/>
      <c r="B173" s="49"/>
      <c r="C173" s="12"/>
      <c r="D173" s="10"/>
      <c r="E173" s="11"/>
      <c r="F173" s="12"/>
      <c r="G173" s="49"/>
      <c r="H173" s="12"/>
      <c r="I173" s="10"/>
      <c r="J173" s="11"/>
      <c r="K173" s="32"/>
      <c r="L173" s="13">
        <v>6531</v>
      </c>
      <c r="M173" s="22" t="s">
        <v>392</v>
      </c>
      <c r="N173" s="15">
        <v>5</v>
      </c>
    </row>
    <row r="174" spans="1:14" ht="12.75" customHeight="1" x14ac:dyDescent="0.25">
      <c r="A174" s="12"/>
      <c r="B174" s="49"/>
      <c r="C174" s="12"/>
      <c r="D174" s="10"/>
      <c r="E174" s="11"/>
      <c r="F174" s="12"/>
      <c r="G174" s="49"/>
      <c r="H174" s="12"/>
      <c r="I174" s="10"/>
      <c r="J174" s="11"/>
      <c r="K174" s="12"/>
      <c r="L174" s="49"/>
      <c r="M174" s="12"/>
      <c r="N174" s="10"/>
    </row>
    <row r="175" spans="1:14" ht="12.75" customHeight="1" x14ac:dyDescent="0.25">
      <c r="A175" s="84" t="s">
        <v>393</v>
      </c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</row>
    <row r="176" spans="1:14" ht="12.75" customHeight="1" x14ac:dyDescent="0.25">
      <c r="A176" s="83" t="s">
        <v>394</v>
      </c>
      <c r="B176" s="83"/>
      <c r="C176" s="83"/>
      <c r="D176" s="83"/>
      <c r="E176" s="46"/>
      <c r="F176" s="83" t="s">
        <v>395</v>
      </c>
      <c r="G176" s="83"/>
      <c r="H176" s="83"/>
      <c r="I176" s="83"/>
      <c r="J176" s="46"/>
      <c r="K176" s="87" t="s">
        <v>396</v>
      </c>
      <c r="L176" s="87"/>
      <c r="M176" s="87"/>
      <c r="N176" s="87"/>
    </row>
    <row r="177" spans="1:14" ht="12.75" customHeight="1" x14ac:dyDescent="0.25">
      <c r="A177" s="7"/>
      <c r="B177" s="8">
        <v>6600</v>
      </c>
      <c r="C177" s="50" t="s">
        <v>397</v>
      </c>
      <c r="D177" s="10">
        <v>0.1</v>
      </c>
      <c r="E177" s="11"/>
      <c r="F177" s="7"/>
      <c r="G177" s="8">
        <v>7000</v>
      </c>
      <c r="H177" s="20" t="s">
        <v>398</v>
      </c>
      <c r="I177" s="21">
        <v>4.2</v>
      </c>
      <c r="J177" s="11"/>
      <c r="K177" s="7"/>
      <c r="L177" s="8">
        <v>7740</v>
      </c>
      <c r="M177" s="20" t="s">
        <v>399</v>
      </c>
      <c r="N177" s="10">
        <v>0.65</v>
      </c>
    </row>
    <row r="178" spans="1:14" ht="12.75" customHeight="1" x14ac:dyDescent="0.25">
      <c r="A178" s="32"/>
      <c r="B178" s="13">
        <v>6601</v>
      </c>
      <c r="C178" s="48" t="s">
        <v>400</v>
      </c>
      <c r="D178" s="15">
        <v>0.15000000000000002</v>
      </c>
      <c r="E178" s="11"/>
      <c r="F178" s="32"/>
      <c r="G178" s="13">
        <v>7002</v>
      </c>
      <c r="H178" s="22" t="s">
        <v>401</v>
      </c>
      <c r="I178" s="15">
        <v>4.2</v>
      </c>
      <c r="J178" s="11"/>
      <c r="K178" s="32"/>
      <c r="L178" s="13">
        <v>7741</v>
      </c>
      <c r="M178" s="22" t="s">
        <v>402</v>
      </c>
      <c r="N178" s="15">
        <v>1.1500000000000001</v>
      </c>
    </row>
    <row r="179" spans="1:14" ht="12.75" customHeight="1" x14ac:dyDescent="0.25">
      <c r="A179" s="32"/>
      <c r="B179" s="13">
        <v>6602</v>
      </c>
      <c r="C179" s="22" t="s">
        <v>403</v>
      </c>
      <c r="D179" s="15">
        <v>0.2</v>
      </c>
      <c r="E179" s="11"/>
      <c r="F179" s="32"/>
      <c r="G179" s="13">
        <v>7003</v>
      </c>
      <c r="H179" s="22" t="s">
        <v>404</v>
      </c>
      <c r="I179" s="15">
        <v>4.2</v>
      </c>
      <c r="J179" s="11"/>
      <c r="K179" s="32"/>
      <c r="L179" s="13">
        <v>7742</v>
      </c>
      <c r="M179" s="22" t="s">
        <v>405</v>
      </c>
      <c r="N179" s="15">
        <v>4.2</v>
      </c>
    </row>
    <row r="180" spans="1:14" ht="12.75" customHeight="1" x14ac:dyDescent="0.25">
      <c r="A180" s="32"/>
      <c r="B180" s="13">
        <v>6603</v>
      </c>
      <c r="C180" s="22" t="s">
        <v>406</v>
      </c>
      <c r="D180" s="15">
        <v>0.1</v>
      </c>
      <c r="E180" s="11"/>
      <c r="F180" s="32"/>
      <c r="G180" s="13">
        <v>7004</v>
      </c>
      <c r="H180" s="22" t="s">
        <v>407</v>
      </c>
      <c r="I180" s="15">
        <v>4.2</v>
      </c>
      <c r="J180" s="11"/>
      <c r="K180" s="32"/>
      <c r="L180" s="13">
        <v>7760</v>
      </c>
      <c r="M180" s="22" t="s">
        <v>408</v>
      </c>
      <c r="N180" s="15">
        <v>1.25</v>
      </c>
    </row>
    <row r="181" spans="1:14" ht="12.75" customHeight="1" x14ac:dyDescent="0.25">
      <c r="A181" s="32"/>
      <c r="B181" s="13">
        <v>6610</v>
      </c>
      <c r="C181" s="22" t="s">
        <v>409</v>
      </c>
      <c r="D181" s="15">
        <v>0.2</v>
      </c>
      <c r="E181" s="11"/>
      <c r="F181" s="32"/>
      <c r="G181" s="13">
        <v>7005</v>
      </c>
      <c r="H181" s="22" t="s">
        <v>410</v>
      </c>
      <c r="I181" s="15">
        <v>2.2000000000000002</v>
      </c>
      <c r="J181" s="11"/>
      <c r="K181" s="32"/>
      <c r="L181" s="13">
        <v>7761</v>
      </c>
      <c r="M181" s="22" t="s">
        <v>411</v>
      </c>
      <c r="N181" s="15">
        <v>1.2000000000000002</v>
      </c>
    </row>
    <row r="182" spans="1:14" ht="12.75" customHeight="1" x14ac:dyDescent="0.25">
      <c r="A182" s="32"/>
      <c r="B182" s="13">
        <v>6611</v>
      </c>
      <c r="C182" s="22" t="s">
        <v>412</v>
      </c>
      <c r="D182" s="15">
        <v>0.30000000000000004</v>
      </c>
      <c r="E182" s="11"/>
      <c r="F182" s="32"/>
      <c r="G182" s="13">
        <v>7006</v>
      </c>
      <c r="H182" s="22" t="s">
        <v>413</v>
      </c>
      <c r="I182" s="15">
        <v>2.2000000000000002</v>
      </c>
      <c r="J182" s="11"/>
      <c r="K182" s="47"/>
      <c r="L182" s="47"/>
      <c r="M182" s="47"/>
      <c r="N182" s="47"/>
    </row>
    <row r="183" spans="1:14" ht="12.75" customHeight="1" x14ac:dyDescent="0.25">
      <c r="A183" s="32"/>
      <c r="B183" s="13">
        <v>6612</v>
      </c>
      <c r="C183" s="22" t="s">
        <v>414</v>
      </c>
      <c r="D183" s="15">
        <v>1.05</v>
      </c>
      <c r="E183" s="11"/>
      <c r="F183" s="32"/>
      <c r="G183" s="13">
        <v>7007</v>
      </c>
      <c r="H183" s="22" t="s">
        <v>415</v>
      </c>
      <c r="I183" s="15">
        <v>5.5</v>
      </c>
      <c r="J183" s="11"/>
      <c r="K183" s="83" t="s">
        <v>416</v>
      </c>
      <c r="L183" s="83"/>
      <c r="M183" s="83"/>
      <c r="N183" s="83"/>
    </row>
    <row r="184" spans="1:14" ht="12.75" customHeight="1" x14ac:dyDescent="0.25">
      <c r="A184" s="31"/>
      <c r="B184" s="8">
        <v>6650</v>
      </c>
      <c r="C184" s="20" t="s">
        <v>417</v>
      </c>
      <c r="D184" s="10">
        <v>6</v>
      </c>
      <c r="E184" s="46"/>
      <c r="F184" s="32"/>
      <c r="G184" s="13">
        <v>7009</v>
      </c>
      <c r="H184" s="22" t="s">
        <v>418</v>
      </c>
      <c r="I184" s="15">
        <v>4.4000000000000004</v>
      </c>
      <c r="J184" s="46"/>
      <c r="K184" s="7"/>
      <c r="L184" s="8">
        <v>7800</v>
      </c>
      <c r="M184" s="51" t="s">
        <v>419</v>
      </c>
      <c r="N184" s="10">
        <v>0.65</v>
      </c>
    </row>
    <row r="185" spans="1:14" ht="12.75" customHeight="1" x14ac:dyDescent="0.25">
      <c r="A185" s="33"/>
      <c r="B185" s="13">
        <v>6651</v>
      </c>
      <c r="C185" s="22" t="s">
        <v>420</v>
      </c>
      <c r="D185" s="15">
        <v>8.75</v>
      </c>
      <c r="E185" s="52"/>
      <c r="F185" s="32"/>
      <c r="G185" s="13">
        <v>7015</v>
      </c>
      <c r="H185" s="22" t="s">
        <v>421</v>
      </c>
      <c r="I185" s="15">
        <v>3</v>
      </c>
      <c r="J185" s="52"/>
      <c r="K185" s="32"/>
      <c r="L185" s="13">
        <v>7801</v>
      </c>
      <c r="M185" s="41" t="s">
        <v>422</v>
      </c>
      <c r="N185" s="15">
        <v>0.65</v>
      </c>
    </row>
    <row r="186" spans="1:14" ht="12.75" customHeight="1" x14ac:dyDescent="0.25">
      <c r="A186" s="31"/>
      <c r="B186" s="8">
        <v>6700</v>
      </c>
      <c r="C186" s="20" t="s">
        <v>423</v>
      </c>
      <c r="D186" s="15">
        <v>1.6500000000000001</v>
      </c>
      <c r="E186" s="11"/>
      <c r="F186" s="32"/>
      <c r="G186" s="13">
        <v>7018</v>
      </c>
      <c r="H186" s="22" t="s">
        <v>424</v>
      </c>
      <c r="I186" s="15">
        <v>3.6</v>
      </c>
      <c r="J186" s="11"/>
      <c r="K186" s="32"/>
      <c r="L186" s="13">
        <v>7802</v>
      </c>
      <c r="M186" s="41" t="s">
        <v>425</v>
      </c>
      <c r="N186" s="15">
        <v>0.65</v>
      </c>
    </row>
    <row r="187" spans="1:14" ht="12.75" customHeight="1" x14ac:dyDescent="0.25">
      <c r="A187" s="33"/>
      <c r="B187" s="13">
        <v>6701</v>
      </c>
      <c r="C187" s="22" t="s">
        <v>426</v>
      </c>
      <c r="D187" s="15">
        <v>1.9000000000000001</v>
      </c>
      <c r="E187" s="11"/>
      <c r="F187" s="47"/>
      <c r="G187" s="47"/>
      <c r="H187" s="47"/>
      <c r="I187" s="47"/>
      <c r="J187" s="11"/>
      <c r="K187" s="32"/>
      <c r="L187" s="13">
        <v>7803</v>
      </c>
      <c r="M187" s="41" t="s">
        <v>427</v>
      </c>
      <c r="N187" s="15">
        <v>0.65</v>
      </c>
    </row>
    <row r="188" spans="1:14" ht="12.75" customHeight="1" x14ac:dyDescent="0.25">
      <c r="A188" s="33"/>
      <c r="B188" s="13">
        <v>6702</v>
      </c>
      <c r="C188" s="22" t="s">
        <v>428</v>
      </c>
      <c r="D188" s="15">
        <v>3.7</v>
      </c>
      <c r="E188" s="11"/>
      <c r="F188" s="83" t="s">
        <v>429</v>
      </c>
      <c r="G188" s="83"/>
      <c r="H188" s="83"/>
      <c r="I188" s="83"/>
      <c r="J188" s="11"/>
      <c r="K188" s="32"/>
      <c r="L188" s="13">
        <v>7804</v>
      </c>
      <c r="M188" s="41" t="s">
        <v>430</v>
      </c>
      <c r="N188" s="15">
        <v>0.65</v>
      </c>
    </row>
    <row r="189" spans="1:14" ht="12.75" customHeight="1" x14ac:dyDescent="0.25">
      <c r="A189" s="33"/>
      <c r="B189" s="13">
        <v>6703</v>
      </c>
      <c r="C189" s="22" t="s">
        <v>431</v>
      </c>
      <c r="D189" s="15">
        <v>3.7</v>
      </c>
      <c r="E189" s="11"/>
      <c r="F189" s="7"/>
      <c r="G189" s="8">
        <v>7040</v>
      </c>
      <c r="H189" s="20" t="s">
        <v>432</v>
      </c>
      <c r="I189" s="21">
        <v>9.75</v>
      </c>
      <c r="J189" s="11"/>
      <c r="K189" s="32"/>
      <c r="L189" s="13">
        <v>7840</v>
      </c>
      <c r="M189" s="41" t="s">
        <v>433</v>
      </c>
      <c r="N189" s="15">
        <v>0.65</v>
      </c>
    </row>
    <row r="190" spans="1:14" ht="12.75" customHeight="1" x14ac:dyDescent="0.25">
      <c r="A190" s="33"/>
      <c r="B190" s="13">
        <v>6706</v>
      </c>
      <c r="C190" s="22" t="s">
        <v>434</v>
      </c>
      <c r="D190" s="15">
        <v>4.2</v>
      </c>
      <c r="E190" s="11"/>
      <c r="F190" s="32"/>
      <c r="G190" s="13">
        <v>7050</v>
      </c>
      <c r="H190" s="22" t="s">
        <v>435</v>
      </c>
      <c r="I190" s="15">
        <v>3.3</v>
      </c>
      <c r="J190" s="11"/>
      <c r="K190" s="32"/>
      <c r="L190" s="13">
        <v>7841</v>
      </c>
      <c r="M190" s="41" t="s">
        <v>436</v>
      </c>
      <c r="N190" s="15">
        <v>3</v>
      </c>
    </row>
    <row r="191" spans="1:14" ht="12.75" customHeight="1" x14ac:dyDescent="0.25">
      <c r="A191" s="33"/>
      <c r="B191" s="13">
        <v>6720</v>
      </c>
      <c r="C191" s="22" t="s">
        <v>437</v>
      </c>
      <c r="D191" s="15">
        <v>1.6500000000000001</v>
      </c>
      <c r="E191" s="11"/>
      <c r="F191" s="32"/>
      <c r="G191" s="13">
        <v>7051</v>
      </c>
      <c r="H191" s="22" t="s">
        <v>438</v>
      </c>
      <c r="I191" s="15">
        <v>3.6500000000000004</v>
      </c>
      <c r="J191" s="11"/>
      <c r="K191" s="42"/>
      <c r="L191" s="43"/>
      <c r="M191" s="53"/>
      <c r="N191" s="35"/>
    </row>
    <row r="192" spans="1:14" ht="12.75" customHeight="1" x14ac:dyDescent="0.25">
      <c r="A192" s="47"/>
      <c r="B192" s="47"/>
      <c r="C192" s="47"/>
      <c r="D192" s="47"/>
      <c r="E192" s="11"/>
      <c r="F192" s="32"/>
      <c r="G192" s="13">
        <v>7052</v>
      </c>
      <c r="H192" s="22" t="s">
        <v>439</v>
      </c>
      <c r="I192" s="15">
        <v>1.6500000000000001</v>
      </c>
      <c r="J192" s="11"/>
      <c r="K192" s="47"/>
      <c r="L192" s="47"/>
      <c r="M192" s="47"/>
      <c r="N192" s="47"/>
    </row>
    <row r="193" spans="1:14" ht="12.75" customHeight="1" x14ac:dyDescent="0.25">
      <c r="A193" s="83" t="s">
        <v>440</v>
      </c>
      <c r="B193" s="83"/>
      <c r="C193" s="83"/>
      <c r="D193" s="83"/>
      <c r="E193" s="11"/>
      <c r="F193" s="32"/>
      <c r="G193" s="13">
        <v>7053</v>
      </c>
      <c r="H193" s="22" t="s">
        <v>441</v>
      </c>
      <c r="I193" s="15">
        <v>2.5</v>
      </c>
      <c r="J193" s="11"/>
      <c r="K193" s="83" t="s">
        <v>442</v>
      </c>
      <c r="L193" s="83"/>
      <c r="M193" s="83"/>
      <c r="N193" s="83"/>
    </row>
    <row r="194" spans="1:14" ht="12.75" customHeight="1" x14ac:dyDescent="0.25">
      <c r="A194" s="31"/>
      <c r="B194" s="8">
        <v>6800</v>
      </c>
      <c r="C194" s="20" t="s">
        <v>443</v>
      </c>
      <c r="D194" s="10">
        <v>0.95000000000000007</v>
      </c>
      <c r="E194" s="11"/>
      <c r="F194" s="32"/>
      <c r="G194" s="13">
        <v>7054</v>
      </c>
      <c r="H194" s="22" t="s">
        <v>444</v>
      </c>
      <c r="I194" s="15">
        <v>4.2</v>
      </c>
      <c r="J194" s="11"/>
      <c r="K194" s="31"/>
      <c r="L194" s="8">
        <v>8000</v>
      </c>
      <c r="M194" s="20" t="s">
        <v>445</v>
      </c>
      <c r="N194" s="21">
        <v>0.95000000000000007</v>
      </c>
    </row>
    <row r="195" spans="1:14" ht="12.75" customHeight="1" x14ac:dyDescent="0.25">
      <c r="A195" s="33"/>
      <c r="B195" s="13">
        <v>6801</v>
      </c>
      <c r="C195" s="22" t="s">
        <v>446</v>
      </c>
      <c r="D195" s="15">
        <v>0.25</v>
      </c>
      <c r="E195" s="11"/>
      <c r="F195" s="32"/>
      <c r="G195" s="13">
        <v>7055</v>
      </c>
      <c r="H195" s="22" t="s">
        <v>447</v>
      </c>
      <c r="I195" s="15">
        <v>4.2</v>
      </c>
      <c r="J195" s="11"/>
      <c r="K195" s="33"/>
      <c r="L195" s="13">
        <v>8001</v>
      </c>
      <c r="M195" s="22" t="s">
        <v>448</v>
      </c>
      <c r="N195" s="15">
        <v>0.95000000000000007</v>
      </c>
    </row>
    <row r="196" spans="1:14" ht="12.75" customHeight="1" x14ac:dyDescent="0.25">
      <c r="A196" s="33"/>
      <c r="B196" s="13">
        <v>6802</v>
      </c>
      <c r="C196" s="22" t="s">
        <v>449</v>
      </c>
      <c r="D196" s="15">
        <v>0.25</v>
      </c>
      <c r="E196" s="11"/>
      <c r="F196" s="7"/>
      <c r="G196" s="8">
        <v>7058</v>
      </c>
      <c r="H196" s="51" t="s">
        <v>450</v>
      </c>
      <c r="I196" s="10">
        <v>3.15</v>
      </c>
      <c r="J196" s="11"/>
      <c r="K196" s="12"/>
      <c r="L196" s="13">
        <v>8002</v>
      </c>
      <c r="M196" s="22" t="s">
        <v>451</v>
      </c>
      <c r="N196" s="15">
        <v>0.95</v>
      </c>
    </row>
    <row r="197" spans="1:14" ht="12.75" customHeight="1" x14ac:dyDescent="0.25">
      <c r="A197" s="33"/>
      <c r="B197" s="13">
        <v>6810</v>
      </c>
      <c r="C197" s="22" t="s">
        <v>452</v>
      </c>
      <c r="D197" s="15">
        <v>2.75</v>
      </c>
      <c r="E197" s="11"/>
      <c r="F197" s="47"/>
      <c r="G197" s="47"/>
      <c r="H197" s="47"/>
      <c r="I197" s="47"/>
      <c r="J197" s="11"/>
      <c r="K197" s="33"/>
      <c r="L197" s="13">
        <v>8010</v>
      </c>
      <c r="M197" s="22" t="s">
        <v>453</v>
      </c>
      <c r="N197" s="15">
        <v>0.95</v>
      </c>
    </row>
    <row r="198" spans="1:14" ht="12.75" customHeight="1" x14ac:dyDescent="0.25">
      <c r="A198" s="33"/>
      <c r="B198" s="13">
        <v>6811</v>
      </c>
      <c r="C198" s="22" t="s">
        <v>454</v>
      </c>
      <c r="D198" s="15">
        <v>1.8</v>
      </c>
      <c r="E198" s="11"/>
      <c r="F198" s="83" t="s">
        <v>455</v>
      </c>
      <c r="G198" s="83"/>
      <c r="H198" s="83"/>
      <c r="I198" s="83"/>
      <c r="J198" s="11"/>
      <c r="K198" s="33"/>
      <c r="L198" s="13">
        <v>8011</v>
      </c>
      <c r="M198" s="22" t="s">
        <v>456</v>
      </c>
      <c r="N198" s="15">
        <v>0.95000000000000007</v>
      </c>
    </row>
    <row r="199" spans="1:14" ht="12.75" customHeight="1" x14ac:dyDescent="0.25">
      <c r="A199" s="33"/>
      <c r="B199" s="13">
        <v>6812</v>
      </c>
      <c r="C199" s="22" t="s">
        <v>457</v>
      </c>
      <c r="D199" s="15">
        <v>1.8</v>
      </c>
      <c r="E199" s="11"/>
      <c r="F199" s="7"/>
      <c r="G199" s="8">
        <v>7070</v>
      </c>
      <c r="H199" s="20" t="s">
        <v>458</v>
      </c>
      <c r="I199" s="21">
        <v>3.75</v>
      </c>
      <c r="J199" s="11"/>
      <c r="K199" s="33"/>
      <c r="L199" s="13">
        <v>8012</v>
      </c>
      <c r="M199" s="22" t="s">
        <v>459</v>
      </c>
      <c r="N199" s="15">
        <v>0.95000000000000007</v>
      </c>
    </row>
    <row r="200" spans="1:14" ht="12.75" customHeight="1" x14ac:dyDescent="0.25">
      <c r="A200" s="33"/>
      <c r="B200" s="13">
        <v>6820</v>
      </c>
      <c r="C200" s="22" t="s">
        <v>460</v>
      </c>
      <c r="D200" s="15">
        <v>3</v>
      </c>
      <c r="E200" s="11"/>
      <c r="F200" s="32"/>
      <c r="G200" s="13">
        <v>7080</v>
      </c>
      <c r="H200" s="22" t="s">
        <v>461</v>
      </c>
      <c r="I200" s="15">
        <v>4.75</v>
      </c>
      <c r="J200" s="11"/>
      <c r="K200" s="33"/>
      <c r="L200" s="13">
        <v>8013</v>
      </c>
      <c r="M200" s="22" t="s">
        <v>462</v>
      </c>
      <c r="N200" s="15">
        <v>0.95000000000000007</v>
      </c>
    </row>
    <row r="201" spans="1:14" ht="12.75" customHeight="1" x14ac:dyDescent="0.25">
      <c r="A201" s="54"/>
      <c r="B201" s="43"/>
      <c r="C201" s="44"/>
      <c r="D201" s="35"/>
      <c r="E201" s="11"/>
      <c r="F201" s="7"/>
      <c r="G201" s="13">
        <v>7081</v>
      </c>
      <c r="H201" s="22" t="s">
        <v>463</v>
      </c>
      <c r="I201" s="15">
        <v>5</v>
      </c>
      <c r="J201" s="11"/>
      <c r="K201" s="33"/>
      <c r="L201" s="13">
        <v>8016</v>
      </c>
      <c r="M201" s="22" t="s">
        <v>464</v>
      </c>
      <c r="N201" s="15">
        <v>0.95000000000000007</v>
      </c>
    </row>
    <row r="202" spans="1:14" ht="12.75" customHeight="1" x14ac:dyDescent="0.25">
      <c r="A202" s="83" t="s">
        <v>465</v>
      </c>
      <c r="B202" s="83"/>
      <c r="C202" s="83"/>
      <c r="D202" s="83"/>
      <c r="E202" s="11"/>
      <c r="F202" s="47"/>
      <c r="G202" s="47"/>
      <c r="H202" s="47"/>
      <c r="I202" s="47"/>
      <c r="J202" s="11"/>
      <c r="K202" s="33"/>
      <c r="L202" s="13">
        <v>8020</v>
      </c>
      <c r="M202" s="22" t="s">
        <v>466</v>
      </c>
      <c r="N202" s="15">
        <v>0.95000000000000007</v>
      </c>
    </row>
    <row r="203" spans="1:14" ht="12.75" customHeight="1" x14ac:dyDescent="0.25">
      <c r="A203" s="7"/>
      <c r="B203" s="8">
        <v>6613</v>
      </c>
      <c r="C203" s="20" t="s">
        <v>467</v>
      </c>
      <c r="D203" s="21">
        <v>0.95000000000000007</v>
      </c>
      <c r="E203" s="11"/>
      <c r="J203" s="11"/>
      <c r="K203" s="33"/>
      <c r="L203" s="13">
        <v>8021</v>
      </c>
      <c r="M203" s="22" t="s">
        <v>468</v>
      </c>
      <c r="N203" s="15">
        <v>0.95000000000000007</v>
      </c>
    </row>
    <row r="204" spans="1:14" ht="12.75" customHeight="1" x14ac:dyDescent="0.25">
      <c r="A204" s="7"/>
      <c r="B204" s="13">
        <v>6722</v>
      </c>
      <c r="C204" s="20" t="s">
        <v>469</v>
      </c>
      <c r="D204" s="15">
        <v>4.3</v>
      </c>
      <c r="E204" s="11"/>
      <c r="F204" s="83" t="s">
        <v>470</v>
      </c>
      <c r="G204" s="83"/>
      <c r="H204" s="83"/>
      <c r="I204" s="83"/>
      <c r="J204" s="11"/>
      <c r="K204" s="33"/>
      <c r="L204" s="13">
        <v>8030</v>
      </c>
      <c r="M204" s="22" t="s">
        <v>471</v>
      </c>
      <c r="N204" s="15">
        <v>0.95000000000000007</v>
      </c>
    </row>
    <row r="205" spans="1:14" ht="12.75" customHeight="1" x14ac:dyDescent="0.25">
      <c r="A205" s="47"/>
      <c r="B205" s="47"/>
      <c r="C205" s="47"/>
      <c r="D205" s="47"/>
      <c r="E205" s="11"/>
      <c r="F205" s="32"/>
      <c r="G205" s="13">
        <v>7900</v>
      </c>
      <c r="H205" s="22" t="s">
        <v>472</v>
      </c>
      <c r="I205" s="15">
        <v>1.1000000000000001</v>
      </c>
      <c r="J205" s="11"/>
      <c r="K205" s="33"/>
      <c r="L205" s="13">
        <v>8040</v>
      </c>
      <c r="M205" s="22" t="s">
        <v>473</v>
      </c>
      <c r="N205" s="15">
        <v>0.95000000000000007</v>
      </c>
    </row>
    <row r="206" spans="1:14" ht="12.75" customHeight="1" x14ac:dyDescent="0.25">
      <c r="A206" s="83" t="s">
        <v>474</v>
      </c>
      <c r="B206" s="83"/>
      <c r="C206" s="83"/>
      <c r="D206" s="83"/>
      <c r="E206" s="11"/>
      <c r="F206" s="32"/>
      <c r="G206" s="13">
        <v>7901</v>
      </c>
      <c r="H206" s="22" t="s">
        <v>475</v>
      </c>
      <c r="I206" s="15">
        <v>1.1000000000000001</v>
      </c>
      <c r="J206" s="11"/>
      <c r="K206" s="47"/>
      <c r="L206" s="47"/>
      <c r="M206" s="47"/>
      <c r="N206" s="47"/>
    </row>
    <row r="207" spans="1:14" ht="12.75" customHeight="1" x14ac:dyDescent="0.25">
      <c r="A207" s="7"/>
      <c r="B207" s="8">
        <v>6630</v>
      </c>
      <c r="C207" s="20" t="s">
        <v>476</v>
      </c>
      <c r="D207" s="21">
        <v>0.55000000000000004</v>
      </c>
      <c r="E207" s="30"/>
      <c r="F207" s="32"/>
      <c r="G207" s="13">
        <v>7920</v>
      </c>
      <c r="H207" s="22" t="s">
        <v>477</v>
      </c>
      <c r="I207" s="15">
        <v>1.6500000000000001</v>
      </c>
      <c r="J207" s="30"/>
      <c r="K207" s="83" t="s">
        <v>478</v>
      </c>
      <c r="L207" s="83"/>
      <c r="M207" s="83"/>
      <c r="N207" s="83"/>
    </row>
    <row r="208" spans="1:14" ht="12.75" customHeight="1" x14ac:dyDescent="0.25">
      <c r="A208" s="32"/>
      <c r="B208" s="13">
        <v>6631</v>
      </c>
      <c r="C208" s="22" t="s">
        <v>479</v>
      </c>
      <c r="D208" s="15">
        <v>0.5</v>
      </c>
      <c r="E208" s="55"/>
      <c r="F208" s="32"/>
      <c r="G208" s="13">
        <v>7921</v>
      </c>
      <c r="H208" s="22" t="s">
        <v>480</v>
      </c>
      <c r="I208" s="15">
        <v>1.65</v>
      </c>
      <c r="J208" s="55"/>
      <c r="K208" s="7"/>
      <c r="L208" s="56" t="s">
        <v>481</v>
      </c>
      <c r="M208" s="9" t="s">
        <v>482</v>
      </c>
      <c r="N208" s="21">
        <v>25</v>
      </c>
    </row>
    <row r="209" spans="1:14" ht="12.75" customHeight="1" x14ac:dyDescent="0.25">
      <c r="A209" s="7"/>
      <c r="B209" s="8">
        <v>6660</v>
      </c>
      <c r="C209" s="20" t="s">
        <v>483</v>
      </c>
      <c r="D209" s="10">
        <v>6</v>
      </c>
      <c r="E209" s="11"/>
      <c r="F209" s="32"/>
      <c r="G209" s="13">
        <v>7930</v>
      </c>
      <c r="H209" s="22" t="s">
        <v>484</v>
      </c>
      <c r="I209" s="15">
        <v>1.05</v>
      </c>
      <c r="J209" s="11"/>
      <c r="K209" s="47"/>
      <c r="L209" s="47"/>
      <c r="M209" s="57" t="s">
        <v>485</v>
      </c>
      <c r="N209" s="47"/>
    </row>
    <row r="210" spans="1:14" ht="12.75" customHeight="1" x14ac:dyDescent="0.25">
      <c r="A210" s="32"/>
      <c r="B210" s="13">
        <v>6661</v>
      </c>
      <c r="C210" s="20" t="s">
        <v>486</v>
      </c>
      <c r="D210" s="15">
        <v>6</v>
      </c>
      <c r="E210" s="11"/>
      <c r="F210" s="32"/>
      <c r="G210" s="13">
        <v>7931</v>
      </c>
      <c r="H210" s="22" t="s">
        <v>487</v>
      </c>
      <c r="I210" s="15">
        <v>1.05</v>
      </c>
      <c r="J210" s="11"/>
      <c r="K210" s="47"/>
      <c r="L210" s="47"/>
      <c r="M210" s="57" t="s">
        <v>488</v>
      </c>
      <c r="N210" s="47"/>
    </row>
    <row r="211" spans="1:14" ht="12.75" customHeight="1" x14ac:dyDescent="0.25">
      <c r="A211" s="47"/>
      <c r="B211" s="47"/>
      <c r="C211" s="47"/>
      <c r="D211" s="47"/>
      <c r="E211" s="11"/>
      <c r="F211" s="32"/>
      <c r="G211" s="13">
        <v>7932</v>
      </c>
      <c r="H211" s="22" t="s">
        <v>489</v>
      </c>
      <c r="I211" s="15">
        <v>3</v>
      </c>
      <c r="J211" s="11"/>
      <c r="K211" s="47"/>
      <c r="L211" s="47"/>
      <c r="M211" s="57" t="s">
        <v>490</v>
      </c>
      <c r="N211" s="47"/>
    </row>
    <row r="212" spans="1:14" ht="12.75" customHeight="1" x14ac:dyDescent="0.25">
      <c r="A212" s="83" t="s">
        <v>491</v>
      </c>
      <c r="B212" s="83"/>
      <c r="C212" s="83"/>
      <c r="D212" s="83"/>
      <c r="E212" s="11"/>
      <c r="F212" s="32"/>
      <c r="G212" s="13">
        <v>7933</v>
      </c>
      <c r="H212" s="22" t="s">
        <v>492</v>
      </c>
      <c r="I212" s="15">
        <v>3</v>
      </c>
      <c r="J212" s="11"/>
      <c r="K212" s="47"/>
      <c r="L212" s="47"/>
      <c r="M212" s="47"/>
      <c r="N212" s="47"/>
    </row>
    <row r="213" spans="1:14" ht="12.75" customHeight="1" x14ac:dyDescent="0.25">
      <c r="A213" s="7"/>
      <c r="B213" s="8">
        <v>6740</v>
      </c>
      <c r="C213" s="20" t="s">
        <v>493</v>
      </c>
      <c r="D213" s="21">
        <v>6.3</v>
      </c>
      <c r="E213" s="11"/>
      <c r="F213" s="32"/>
      <c r="G213" s="13">
        <v>7950</v>
      </c>
      <c r="H213" s="22" t="s">
        <v>494</v>
      </c>
      <c r="I213" s="15">
        <v>1.6500000000000001</v>
      </c>
      <c r="J213" s="11"/>
      <c r="K213" s="7"/>
      <c r="L213" s="56" t="s">
        <v>495</v>
      </c>
      <c r="M213" s="9" t="s">
        <v>496</v>
      </c>
      <c r="N213" s="21">
        <v>50</v>
      </c>
    </row>
    <row r="214" spans="1:14" ht="12.75" customHeight="1" x14ac:dyDescent="0.25">
      <c r="A214" s="32"/>
      <c r="B214" s="13">
        <v>6741</v>
      </c>
      <c r="C214" s="22" t="s">
        <v>497</v>
      </c>
      <c r="D214" s="15">
        <v>1.05</v>
      </c>
      <c r="E214" s="11"/>
      <c r="F214" s="32"/>
      <c r="G214" s="13">
        <v>7951</v>
      </c>
      <c r="H214" s="22" t="s">
        <v>498</v>
      </c>
      <c r="I214" s="15">
        <v>3.85</v>
      </c>
      <c r="J214" s="11"/>
      <c r="K214" s="47"/>
      <c r="L214" s="47"/>
      <c r="M214" s="57" t="s">
        <v>485</v>
      </c>
      <c r="N214" s="47"/>
    </row>
    <row r="215" spans="1:14" ht="12.75" customHeight="1" x14ac:dyDescent="0.25">
      <c r="A215" s="32"/>
      <c r="B215" s="13">
        <v>6742</v>
      </c>
      <c r="C215" s="20" t="s">
        <v>499</v>
      </c>
      <c r="D215" s="15">
        <v>6.3</v>
      </c>
      <c r="E215" s="11"/>
      <c r="F215" s="32"/>
      <c r="G215" s="13">
        <v>7952</v>
      </c>
      <c r="H215" s="22" t="s">
        <v>500</v>
      </c>
      <c r="I215" s="15">
        <v>3.85</v>
      </c>
      <c r="J215" s="11"/>
      <c r="K215" s="47"/>
      <c r="L215" s="47"/>
      <c r="M215" s="57" t="s">
        <v>488</v>
      </c>
      <c r="N215" s="47"/>
    </row>
    <row r="216" spans="1:14" ht="12.75" customHeight="1" x14ac:dyDescent="0.25">
      <c r="A216" s="47"/>
      <c r="B216" s="47"/>
      <c r="C216" s="47"/>
      <c r="D216" s="47"/>
      <c r="E216" s="47"/>
      <c r="F216" s="32"/>
      <c r="G216" s="13">
        <v>7953</v>
      </c>
      <c r="H216" s="22" t="s">
        <v>501</v>
      </c>
      <c r="I216" s="15">
        <v>2.8000000000000003</v>
      </c>
      <c r="J216" s="47"/>
      <c r="K216" s="47"/>
      <c r="L216" s="47"/>
      <c r="M216" s="57" t="s">
        <v>502</v>
      </c>
      <c r="N216" s="47"/>
    </row>
    <row r="217" spans="1:14" ht="12.75" customHeight="1" x14ac:dyDescent="0.25">
      <c r="A217" s="83" t="s">
        <v>503</v>
      </c>
      <c r="B217" s="83"/>
      <c r="C217" s="83"/>
      <c r="D217" s="83"/>
      <c r="E217" s="47"/>
      <c r="F217" s="32"/>
      <c r="G217" s="13">
        <v>7954</v>
      </c>
      <c r="H217" s="22" t="s">
        <v>504</v>
      </c>
      <c r="I217" s="15">
        <v>2.8000000000000003</v>
      </c>
      <c r="J217" s="47"/>
      <c r="K217" s="47"/>
      <c r="L217" s="47"/>
      <c r="M217" s="47"/>
      <c r="N217" s="47"/>
    </row>
    <row r="218" spans="1:14" ht="12.75" customHeight="1" x14ac:dyDescent="0.25">
      <c r="A218" s="7"/>
      <c r="B218" s="8">
        <v>7700</v>
      </c>
      <c r="C218" s="20" t="s">
        <v>505</v>
      </c>
      <c r="D218" s="21">
        <v>4.3500000000000005</v>
      </c>
      <c r="E218" s="47"/>
      <c r="F218" s="32"/>
      <c r="G218" s="13">
        <v>7955</v>
      </c>
      <c r="H218" s="22" t="s">
        <v>506</v>
      </c>
      <c r="I218" s="15">
        <v>1.75</v>
      </c>
      <c r="J218" s="47"/>
      <c r="K218" s="7"/>
      <c r="L218" s="56" t="s">
        <v>507</v>
      </c>
      <c r="M218" s="9" t="s">
        <v>508</v>
      </c>
      <c r="N218" s="21">
        <v>75</v>
      </c>
    </row>
    <row r="219" spans="1:14" ht="12.75" customHeight="1" x14ac:dyDescent="0.25">
      <c r="A219" s="32"/>
      <c r="B219" s="13">
        <v>7701</v>
      </c>
      <c r="C219" s="22" t="s">
        <v>509</v>
      </c>
      <c r="D219" s="15">
        <v>4.55</v>
      </c>
      <c r="E219" s="47"/>
      <c r="F219" s="32"/>
      <c r="G219" s="13">
        <v>7956</v>
      </c>
      <c r="H219" s="22" t="s">
        <v>510</v>
      </c>
      <c r="I219" s="15">
        <v>1.6500000000000001</v>
      </c>
      <c r="J219" s="47"/>
      <c r="K219" s="47"/>
      <c r="L219" s="47"/>
      <c r="M219" s="57" t="s">
        <v>485</v>
      </c>
      <c r="N219" s="47"/>
    </row>
    <row r="220" spans="1:14" ht="12.75" customHeight="1" x14ac:dyDescent="0.25">
      <c r="A220" s="32"/>
      <c r="B220" s="13">
        <v>7702</v>
      </c>
      <c r="C220" s="22" t="s">
        <v>511</v>
      </c>
      <c r="D220" s="15">
        <v>1.7000000000000002</v>
      </c>
      <c r="E220" s="47"/>
      <c r="F220" s="32"/>
      <c r="G220" s="13">
        <v>7958</v>
      </c>
      <c r="H220" s="22" t="s">
        <v>512</v>
      </c>
      <c r="I220" s="15">
        <v>3.5</v>
      </c>
      <c r="J220" s="47"/>
      <c r="K220" s="47"/>
      <c r="L220" s="47"/>
      <c r="M220" s="57" t="s">
        <v>513</v>
      </c>
      <c r="N220" s="47"/>
    </row>
    <row r="221" spans="1:14" ht="12.75" customHeight="1" x14ac:dyDescent="0.25">
      <c r="A221" s="33"/>
      <c r="B221" s="13">
        <v>7703</v>
      </c>
      <c r="C221" s="22" t="s">
        <v>514</v>
      </c>
      <c r="D221" s="15">
        <v>1.7000000000000002</v>
      </c>
      <c r="E221" s="47"/>
      <c r="F221" s="32"/>
      <c r="G221" s="13">
        <v>7970</v>
      </c>
      <c r="H221" s="22" t="s">
        <v>515</v>
      </c>
      <c r="I221" s="15">
        <v>1.45</v>
      </c>
      <c r="J221" s="47"/>
      <c r="K221" s="47"/>
      <c r="L221" s="47"/>
      <c r="M221" s="57" t="s">
        <v>516</v>
      </c>
      <c r="N221" s="47"/>
    </row>
    <row r="222" spans="1:14" ht="12.75" customHeight="1" x14ac:dyDescent="0.25">
      <c r="A222" s="33"/>
      <c r="B222" s="13">
        <v>7720</v>
      </c>
      <c r="C222" s="22" t="s">
        <v>517</v>
      </c>
      <c r="D222" s="15">
        <v>2.25</v>
      </c>
      <c r="E222" s="47"/>
      <c r="F222" s="32"/>
      <c r="G222" s="13">
        <v>7971</v>
      </c>
      <c r="H222" s="22" t="s">
        <v>518</v>
      </c>
      <c r="I222" s="15">
        <v>1.55</v>
      </c>
      <c r="J222" s="47"/>
      <c r="K222" s="47"/>
      <c r="L222" s="47"/>
      <c r="M222" s="47"/>
      <c r="N222" s="47"/>
    </row>
    <row r="223" spans="1:14" ht="12.75" customHeight="1" x14ac:dyDescent="0.25">
      <c r="A223" s="33"/>
      <c r="B223" s="13">
        <v>7721</v>
      </c>
      <c r="C223" s="22" t="s">
        <v>519</v>
      </c>
      <c r="D223" s="15">
        <v>1.7000000000000002</v>
      </c>
      <c r="E223" s="47"/>
      <c r="F223" s="32"/>
      <c r="G223" s="13">
        <v>7973</v>
      </c>
      <c r="H223" s="22" t="s">
        <v>520</v>
      </c>
      <c r="I223" s="15">
        <v>1.5</v>
      </c>
      <c r="J223" s="47"/>
      <c r="K223" s="47"/>
      <c r="L223" s="40" t="s">
        <v>521</v>
      </c>
      <c r="M223" s="47"/>
      <c r="N223" s="47"/>
    </row>
    <row r="224" spans="1:14" ht="12.75" customHeight="1" x14ac:dyDescent="0.25">
      <c r="A224" s="33"/>
      <c r="B224" s="13">
        <v>7730</v>
      </c>
      <c r="C224" s="22" t="s">
        <v>522</v>
      </c>
      <c r="D224" s="15">
        <v>1.05</v>
      </c>
      <c r="E224" s="47"/>
      <c r="F224" s="32"/>
      <c r="G224" s="13">
        <v>7974</v>
      </c>
      <c r="H224" s="22" t="s">
        <v>523</v>
      </c>
      <c r="I224" s="15">
        <v>1.4500000000000002</v>
      </c>
      <c r="J224" s="47"/>
      <c r="K224" s="47"/>
      <c r="L224" s="47"/>
      <c r="M224" s="47"/>
      <c r="N224" s="47"/>
    </row>
    <row r="225" spans="1:14" ht="12.75" customHeight="1" x14ac:dyDescent="0.25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</row>
    <row r="226" spans="1:14" ht="12.75" customHeight="1" x14ac:dyDescent="0.25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</row>
    <row r="227" spans="1:14" ht="12.75" customHeight="1" x14ac:dyDescent="0.25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</row>
    <row r="228" spans="1:14" ht="12.75" customHeight="1" x14ac:dyDescent="0.25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</row>
    <row r="229" spans="1:14" ht="12.75" customHeight="1" x14ac:dyDescent="0.25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</row>
    <row r="230" spans="1:14" ht="12.75" customHeight="1" x14ac:dyDescent="0.25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</row>
    <row r="231" spans="1:14" ht="12.75" customHeight="1" x14ac:dyDescent="0.25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</row>
    <row r="232" spans="1:14" ht="12.75" customHeight="1" x14ac:dyDescent="0.25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</row>
    <row r="233" spans="1:14" ht="12.75" customHeight="1" x14ac:dyDescent="0.25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</row>
    <row r="234" spans="1:14" ht="12.75" customHeight="1" x14ac:dyDescent="0.25">
      <c r="A234" s="85" t="s">
        <v>524</v>
      </c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</row>
    <row r="235" spans="1:14" ht="12.75" customHeight="1" x14ac:dyDescent="0.25">
      <c r="A235" s="83" t="s">
        <v>525</v>
      </c>
      <c r="B235" s="83"/>
      <c r="C235" s="83"/>
      <c r="D235" s="83"/>
      <c r="E235" s="46"/>
      <c r="F235" s="83" t="s">
        <v>526</v>
      </c>
      <c r="G235" s="83"/>
      <c r="H235" s="83"/>
      <c r="I235" s="83"/>
      <c r="J235" s="46"/>
      <c r="K235" s="83" t="s">
        <v>527</v>
      </c>
      <c r="L235" s="83"/>
      <c r="M235" s="83"/>
      <c r="N235" s="83"/>
    </row>
    <row r="236" spans="1:14" ht="12.75" customHeight="1" x14ac:dyDescent="0.25">
      <c r="A236" s="7"/>
      <c r="B236" s="8">
        <v>7100</v>
      </c>
      <c r="C236" s="20" t="s">
        <v>528</v>
      </c>
      <c r="D236" s="10">
        <v>7</v>
      </c>
      <c r="E236" s="11"/>
      <c r="F236" s="7"/>
      <c r="G236" s="8">
        <v>7120</v>
      </c>
      <c r="H236" s="20" t="s">
        <v>529</v>
      </c>
      <c r="I236" s="21">
        <v>3.7</v>
      </c>
      <c r="J236" s="11"/>
      <c r="K236" s="31"/>
      <c r="L236" s="8">
        <v>7130</v>
      </c>
      <c r="M236" s="20" t="s">
        <v>530</v>
      </c>
      <c r="N236" s="21">
        <v>1.2000000000000002</v>
      </c>
    </row>
    <row r="237" spans="1:14" ht="12.75" customHeight="1" x14ac:dyDescent="0.25">
      <c r="A237" s="32"/>
      <c r="B237" s="13">
        <v>7101</v>
      </c>
      <c r="C237" s="22" t="s">
        <v>531</v>
      </c>
      <c r="D237" s="15">
        <v>5.8000000000000007</v>
      </c>
      <c r="E237" s="11"/>
      <c r="F237" s="32"/>
      <c r="G237" s="13">
        <v>7121</v>
      </c>
      <c r="H237" s="22" t="s">
        <v>532</v>
      </c>
      <c r="I237" s="15">
        <v>3.7</v>
      </c>
      <c r="J237" s="11"/>
      <c r="K237" s="33"/>
      <c r="L237" s="13">
        <v>7131</v>
      </c>
      <c r="M237" s="22" t="s">
        <v>533</v>
      </c>
      <c r="N237" s="15">
        <v>1.2000000000000002</v>
      </c>
    </row>
    <row r="238" spans="1:14" ht="12.75" customHeight="1" x14ac:dyDescent="0.25">
      <c r="A238" s="32"/>
      <c r="B238" s="13">
        <v>7110</v>
      </c>
      <c r="C238" s="22" t="s">
        <v>534</v>
      </c>
      <c r="D238" s="15">
        <v>0.75</v>
      </c>
      <c r="E238" s="11"/>
      <c r="F238" s="32"/>
      <c r="G238" s="13">
        <v>7122</v>
      </c>
      <c r="H238" s="22" t="s">
        <v>535</v>
      </c>
      <c r="I238" s="15">
        <v>3.7</v>
      </c>
      <c r="J238" s="11"/>
      <c r="K238" s="33"/>
      <c r="L238" s="13">
        <v>7132</v>
      </c>
      <c r="M238" s="22" t="s">
        <v>536</v>
      </c>
      <c r="N238" s="15">
        <v>1.2000000000000002</v>
      </c>
    </row>
    <row r="239" spans="1:14" ht="12.75" customHeight="1" x14ac:dyDescent="0.25">
      <c r="A239" s="32"/>
      <c r="B239" s="13">
        <v>7111</v>
      </c>
      <c r="C239" s="22" t="s">
        <v>537</v>
      </c>
      <c r="D239" s="15">
        <v>0.75</v>
      </c>
      <c r="E239" s="11"/>
      <c r="F239" s="32"/>
      <c r="G239" s="13">
        <v>7123</v>
      </c>
      <c r="H239" s="22" t="s">
        <v>538</v>
      </c>
      <c r="I239" s="15">
        <v>3.7</v>
      </c>
      <c r="J239" s="11"/>
      <c r="K239" s="33"/>
      <c r="L239" s="13">
        <v>7133</v>
      </c>
      <c r="M239" s="22" t="s">
        <v>539</v>
      </c>
      <c r="N239" s="15">
        <v>1.2</v>
      </c>
    </row>
    <row r="240" spans="1:14" ht="12.75" customHeight="1" x14ac:dyDescent="0.25">
      <c r="A240" s="33"/>
      <c r="B240" s="13">
        <v>7260</v>
      </c>
      <c r="C240" s="14" t="s">
        <v>540</v>
      </c>
      <c r="D240" s="15">
        <v>1.85</v>
      </c>
      <c r="E240" s="11"/>
      <c r="F240" s="32"/>
      <c r="G240" s="13">
        <v>7124</v>
      </c>
      <c r="H240" s="22" t="s">
        <v>541</v>
      </c>
      <c r="I240" s="15">
        <v>3.7</v>
      </c>
      <c r="J240" s="11"/>
      <c r="K240" s="33"/>
      <c r="L240" s="13">
        <v>7134</v>
      </c>
      <c r="M240" s="41" t="s">
        <v>542</v>
      </c>
      <c r="N240" s="15">
        <v>1.2</v>
      </c>
    </row>
    <row r="241" spans="1:14" ht="12.75" customHeight="1" x14ac:dyDescent="0.25">
      <c r="A241" s="33"/>
      <c r="B241" s="13">
        <v>7261</v>
      </c>
      <c r="C241" s="14" t="s">
        <v>543</v>
      </c>
      <c r="D241" s="15">
        <v>1.3</v>
      </c>
      <c r="E241" s="11"/>
      <c r="F241" s="31"/>
      <c r="G241" s="8">
        <v>7125</v>
      </c>
      <c r="H241" s="20" t="s">
        <v>544</v>
      </c>
      <c r="I241" s="15">
        <v>3.7</v>
      </c>
      <c r="J241" s="11"/>
      <c r="K241" s="33"/>
      <c r="L241" s="13">
        <v>7135</v>
      </c>
      <c r="M241" s="22" t="s">
        <v>545</v>
      </c>
      <c r="N241" s="15">
        <v>1.2</v>
      </c>
    </row>
    <row r="242" spans="1:14" ht="12.75" customHeight="1" x14ac:dyDescent="0.25">
      <c r="A242"/>
      <c r="B242"/>
      <c r="C242"/>
      <c r="D242"/>
      <c r="E242" s="11"/>
      <c r="F242" s="31"/>
      <c r="G242" s="8">
        <v>7126</v>
      </c>
      <c r="H242" s="20" t="s">
        <v>546</v>
      </c>
      <c r="I242" s="10">
        <v>3.7</v>
      </c>
      <c r="J242" s="11"/>
      <c r="K242" s="33"/>
      <c r="L242" s="58">
        <v>7136</v>
      </c>
      <c r="M242" s="14" t="s">
        <v>547</v>
      </c>
      <c r="N242" s="15">
        <v>1.2</v>
      </c>
    </row>
    <row r="243" spans="1:14" ht="12.75" customHeight="1" x14ac:dyDescent="0.25">
      <c r="A243"/>
      <c r="B243"/>
      <c r="C243"/>
      <c r="D243"/>
      <c r="E243" s="11"/>
      <c r="F243"/>
      <c r="G243"/>
      <c r="H243"/>
      <c r="I243"/>
      <c r="J243" s="11"/>
      <c r="K243" s="36"/>
      <c r="L243" s="49"/>
      <c r="M243" s="12"/>
      <c r="N243" s="10"/>
    </row>
    <row r="244" spans="1:14" ht="12.75" customHeight="1" x14ac:dyDescent="0.25">
      <c r="A244" s="85" t="s">
        <v>548</v>
      </c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</row>
    <row r="245" spans="1:14" ht="12.75" customHeight="1" x14ac:dyDescent="0.25">
      <c r="A245" s="83" t="s">
        <v>549</v>
      </c>
      <c r="B245" s="83"/>
      <c r="C245" s="83"/>
      <c r="D245" s="83"/>
      <c r="E245" s="46"/>
      <c r="F245" s="83" t="s">
        <v>550</v>
      </c>
      <c r="G245" s="83"/>
      <c r="H245" s="83"/>
      <c r="I245" s="83"/>
      <c r="J245" s="46"/>
      <c r="K245" s="83" t="s">
        <v>551</v>
      </c>
      <c r="L245" s="83"/>
      <c r="M245" s="83"/>
      <c r="N245" s="83"/>
    </row>
    <row r="246" spans="1:14" ht="12.75" customHeight="1" x14ac:dyDescent="0.25">
      <c r="A246" s="7"/>
      <c r="B246" s="8">
        <v>7300</v>
      </c>
      <c r="C246" s="20" t="s">
        <v>552</v>
      </c>
      <c r="D246" s="21">
        <v>1.75</v>
      </c>
      <c r="E246" s="11"/>
      <c r="F246" s="7"/>
      <c r="G246" s="8">
        <v>7200</v>
      </c>
      <c r="H246" s="20" t="s">
        <v>553</v>
      </c>
      <c r="I246" s="10">
        <v>1.6</v>
      </c>
      <c r="J246" s="11"/>
      <c r="K246" s="7"/>
      <c r="L246" s="8">
        <v>7500</v>
      </c>
      <c r="M246" s="20" t="s">
        <v>554</v>
      </c>
      <c r="N246" s="21">
        <v>3.15</v>
      </c>
    </row>
    <row r="247" spans="1:14" ht="12.75" customHeight="1" x14ac:dyDescent="0.25">
      <c r="A247" s="32"/>
      <c r="B247" s="13">
        <v>7301</v>
      </c>
      <c r="C247" s="22" t="s">
        <v>555</v>
      </c>
      <c r="D247" s="15">
        <v>1.75</v>
      </c>
      <c r="E247" s="11"/>
      <c r="F247" s="32"/>
      <c r="G247" s="13">
        <v>7201</v>
      </c>
      <c r="H247" s="22" t="s">
        <v>556</v>
      </c>
      <c r="I247" s="15">
        <v>1.6</v>
      </c>
      <c r="J247" s="11"/>
      <c r="K247" s="32"/>
      <c r="L247" s="13">
        <v>7502</v>
      </c>
      <c r="M247" s="22" t="s">
        <v>557</v>
      </c>
      <c r="N247" s="15">
        <v>2.1</v>
      </c>
    </row>
    <row r="248" spans="1:14" ht="12.75" customHeight="1" x14ac:dyDescent="0.25">
      <c r="A248" s="32"/>
      <c r="B248" s="13">
        <v>7302</v>
      </c>
      <c r="C248" s="22" t="s">
        <v>558</v>
      </c>
      <c r="D248" s="15">
        <v>1.9500000000000002</v>
      </c>
      <c r="E248" s="11"/>
      <c r="F248" s="32"/>
      <c r="G248" s="13">
        <v>7202</v>
      </c>
      <c r="H248" s="22" t="s">
        <v>559</v>
      </c>
      <c r="I248" s="15">
        <v>1.6</v>
      </c>
      <c r="J248" s="11"/>
      <c r="K248" s="32"/>
      <c r="L248" s="13">
        <v>7503</v>
      </c>
      <c r="M248" s="22" t="s">
        <v>560</v>
      </c>
      <c r="N248" s="15">
        <v>3.5</v>
      </c>
    </row>
    <row r="249" spans="1:14" ht="12.75" customHeight="1" x14ac:dyDescent="0.25">
      <c r="A249" s="32"/>
      <c r="B249" s="13">
        <v>7303</v>
      </c>
      <c r="C249" s="22" t="s">
        <v>561</v>
      </c>
      <c r="D249" s="15">
        <v>2.1</v>
      </c>
      <c r="E249" s="11"/>
      <c r="F249" s="32"/>
      <c r="G249" s="13">
        <v>7203</v>
      </c>
      <c r="H249" s="22" t="s">
        <v>562</v>
      </c>
      <c r="I249" s="15">
        <v>1.6</v>
      </c>
      <c r="J249" s="11"/>
      <c r="K249" s="32"/>
      <c r="L249" s="13">
        <v>7504</v>
      </c>
      <c r="M249" s="22" t="s">
        <v>563</v>
      </c>
      <c r="N249" s="15">
        <v>3.5</v>
      </c>
    </row>
    <row r="250" spans="1:14" ht="12.75" customHeight="1" x14ac:dyDescent="0.25">
      <c r="A250" s="32"/>
      <c r="B250" s="13">
        <v>7304</v>
      </c>
      <c r="C250" s="22" t="s">
        <v>564</v>
      </c>
      <c r="D250" s="15">
        <v>2.1</v>
      </c>
      <c r="E250" s="11"/>
      <c r="F250" s="32"/>
      <c r="G250" s="13">
        <v>7204</v>
      </c>
      <c r="H250" s="22" t="s">
        <v>565</v>
      </c>
      <c r="I250" s="15">
        <v>1.6</v>
      </c>
      <c r="J250" s="11"/>
      <c r="K250" s="32"/>
      <c r="L250" s="13">
        <v>7505</v>
      </c>
      <c r="M250" s="22" t="s">
        <v>566</v>
      </c>
      <c r="N250" s="15">
        <v>3</v>
      </c>
    </row>
    <row r="251" spans="1:14" ht="12.75" customHeight="1" x14ac:dyDescent="0.25">
      <c r="A251" s="32"/>
      <c r="B251" s="13">
        <v>7305</v>
      </c>
      <c r="C251" s="22" t="s">
        <v>567</v>
      </c>
      <c r="D251" s="15">
        <v>2.0499999999999998</v>
      </c>
      <c r="E251" s="11"/>
      <c r="F251" s="32"/>
      <c r="G251" s="13">
        <v>7205</v>
      </c>
      <c r="H251" s="22" t="s">
        <v>568</v>
      </c>
      <c r="I251" s="15">
        <v>1.6</v>
      </c>
      <c r="J251" s="11"/>
      <c r="K251" s="32"/>
      <c r="L251" s="13">
        <v>7506</v>
      </c>
      <c r="M251" s="22" t="s">
        <v>569</v>
      </c>
      <c r="N251" s="15">
        <v>3</v>
      </c>
    </row>
    <row r="252" spans="1:14" ht="12.75" customHeight="1" x14ac:dyDescent="0.25">
      <c r="A252" s="32"/>
      <c r="B252" s="13">
        <v>7320</v>
      </c>
      <c r="C252" s="22" t="s">
        <v>570</v>
      </c>
      <c r="D252" s="15">
        <v>1.85</v>
      </c>
      <c r="E252" s="11"/>
      <c r="F252" s="32"/>
      <c r="G252" s="13">
        <v>7220</v>
      </c>
      <c r="H252" s="22" t="s">
        <v>571</v>
      </c>
      <c r="I252" s="15">
        <v>1.6</v>
      </c>
      <c r="J252" s="11"/>
      <c r="K252" s="32"/>
      <c r="L252" s="13">
        <v>7520</v>
      </c>
      <c r="M252" s="22" t="s">
        <v>572</v>
      </c>
      <c r="N252" s="15">
        <v>2.2000000000000002</v>
      </c>
    </row>
    <row r="253" spans="1:14" ht="12.75" customHeight="1" x14ac:dyDescent="0.25">
      <c r="A253" s="32"/>
      <c r="B253" s="13">
        <v>7321</v>
      </c>
      <c r="C253" s="22" t="s">
        <v>573</v>
      </c>
      <c r="D253" s="15">
        <v>1.85</v>
      </c>
      <c r="E253" s="11"/>
      <c r="F253" s="32"/>
      <c r="G253" s="13">
        <v>7221</v>
      </c>
      <c r="H253" s="22" t="s">
        <v>574</v>
      </c>
      <c r="I253" s="15">
        <v>1.6</v>
      </c>
      <c r="J253" s="11"/>
      <c r="K253" s="32"/>
      <c r="L253" s="13">
        <v>7521</v>
      </c>
      <c r="M253" s="22" t="s">
        <v>575</v>
      </c>
      <c r="N253" s="15">
        <v>2.2000000000000002</v>
      </c>
    </row>
    <row r="254" spans="1:14" ht="12.75" customHeight="1" x14ac:dyDescent="0.25">
      <c r="A254" s="32"/>
      <c r="B254" s="13">
        <v>7323</v>
      </c>
      <c r="C254" s="22" t="s">
        <v>576</v>
      </c>
      <c r="D254" s="15">
        <v>1.85</v>
      </c>
      <c r="E254" s="11"/>
      <c r="F254" s="32"/>
      <c r="G254" s="13">
        <v>7240</v>
      </c>
      <c r="H254" s="22" t="s">
        <v>577</v>
      </c>
      <c r="I254" s="15">
        <v>1.6500000000000001</v>
      </c>
      <c r="J254" s="11"/>
      <c r="K254" s="42"/>
      <c r="L254" s="43">
        <v>7522</v>
      </c>
      <c r="M254" s="44" t="s">
        <v>578</v>
      </c>
      <c r="N254" s="35">
        <v>0.5</v>
      </c>
    </row>
    <row r="255" spans="1:14" ht="12.75" customHeight="1" x14ac:dyDescent="0.25">
      <c r="A255" s="32"/>
      <c r="B255" s="13">
        <v>7324</v>
      </c>
      <c r="C255" s="22" t="s">
        <v>579</v>
      </c>
      <c r="D255" s="15">
        <v>1.85</v>
      </c>
      <c r="E255" s="11"/>
      <c r="F255" s="32"/>
      <c r="G255" s="13">
        <v>7241</v>
      </c>
      <c r="H255" s="22" t="s">
        <v>580</v>
      </c>
      <c r="I255" s="15">
        <v>3</v>
      </c>
      <c r="J255" s="11"/>
      <c r="K255" s="7"/>
      <c r="L255" s="8">
        <v>7523</v>
      </c>
      <c r="M255" s="20" t="s">
        <v>581</v>
      </c>
      <c r="N255" s="10">
        <v>2</v>
      </c>
    </row>
    <row r="256" spans="1:14" ht="12.75" customHeight="1" x14ac:dyDescent="0.25">
      <c r="A256" s="7"/>
      <c r="B256" s="8">
        <v>7326</v>
      </c>
      <c r="C256" s="20" t="s">
        <v>582</v>
      </c>
      <c r="D256" s="10">
        <v>4.8</v>
      </c>
      <c r="E256" s="11"/>
      <c r="F256"/>
      <c r="G256"/>
      <c r="H256"/>
      <c r="I256"/>
      <c r="J256" s="11"/>
      <c r="K256" s="32"/>
      <c r="L256" s="13">
        <v>7600</v>
      </c>
      <c r="M256" s="22" t="s">
        <v>583</v>
      </c>
      <c r="N256" s="15">
        <v>0.45</v>
      </c>
    </row>
    <row r="257" spans="1:14" ht="12.75" customHeight="1" x14ac:dyDescent="0.25">
      <c r="A257" s="32"/>
      <c r="B257" s="13">
        <v>7340</v>
      </c>
      <c r="C257" s="22" t="s">
        <v>584</v>
      </c>
      <c r="D257" s="15">
        <v>1.85</v>
      </c>
      <c r="E257" s="11"/>
      <c r="F257" s="83" t="s">
        <v>585</v>
      </c>
      <c r="G257" s="83"/>
      <c r="H257" s="83"/>
      <c r="I257" s="83"/>
      <c r="J257" s="11"/>
      <c r="K257" s="32"/>
      <c r="L257" s="13">
        <v>7601</v>
      </c>
      <c r="M257" s="22" t="s">
        <v>586</v>
      </c>
      <c r="N257" s="15">
        <v>2</v>
      </c>
    </row>
    <row r="258" spans="1:14" ht="12.75" customHeight="1" x14ac:dyDescent="0.25">
      <c r="A258" s="32"/>
      <c r="B258" s="13">
        <v>7341</v>
      </c>
      <c r="C258" s="22" t="s">
        <v>587</v>
      </c>
      <c r="D258" s="15">
        <v>1.85</v>
      </c>
      <c r="E258" s="11"/>
      <c r="F258" s="7"/>
      <c r="G258" s="8">
        <v>7400</v>
      </c>
      <c r="H258" s="20" t="s">
        <v>588</v>
      </c>
      <c r="I258" s="10">
        <v>2.25</v>
      </c>
      <c r="J258" s="11"/>
      <c r="K258" s="32"/>
      <c r="L258" s="13">
        <v>7602</v>
      </c>
      <c r="M258" s="22" t="s">
        <v>589</v>
      </c>
      <c r="N258" s="15">
        <v>1.9000000000000001</v>
      </c>
    </row>
    <row r="259" spans="1:14" ht="12.75" customHeight="1" x14ac:dyDescent="0.25">
      <c r="A259" s="32"/>
      <c r="B259" s="13">
        <v>7342</v>
      </c>
      <c r="C259" s="22" t="s">
        <v>590</v>
      </c>
      <c r="D259" s="15">
        <v>1.85</v>
      </c>
      <c r="E259" s="11"/>
      <c r="F259" s="32"/>
      <c r="G259" s="13">
        <v>7401</v>
      </c>
      <c r="H259" s="22" t="s">
        <v>591</v>
      </c>
      <c r="I259" s="15">
        <v>2.25</v>
      </c>
      <c r="J259" s="11"/>
      <c r="K259" s="32"/>
      <c r="L259" s="13">
        <v>7603</v>
      </c>
      <c r="M259" s="22" t="s">
        <v>592</v>
      </c>
      <c r="N259" s="15">
        <v>2</v>
      </c>
    </row>
    <row r="260" spans="1:14" ht="12.75" customHeight="1" x14ac:dyDescent="0.25">
      <c r="A260" s="32"/>
      <c r="B260" s="13">
        <v>7350</v>
      </c>
      <c r="C260" s="22" t="s">
        <v>593</v>
      </c>
      <c r="D260" s="15">
        <v>2</v>
      </c>
      <c r="E260" s="11"/>
      <c r="F260" s="32"/>
      <c r="G260" s="13">
        <v>7402</v>
      </c>
      <c r="H260" s="22" t="s">
        <v>594</v>
      </c>
      <c r="I260" s="15">
        <v>2.25</v>
      </c>
      <c r="J260" s="11"/>
      <c r="K260" s="32"/>
      <c r="L260" s="13">
        <v>7604</v>
      </c>
      <c r="M260" s="22" t="s">
        <v>595</v>
      </c>
      <c r="N260" s="15">
        <v>1.9000000000000001</v>
      </c>
    </row>
    <row r="261" spans="1:14" ht="12.75" customHeight="1" x14ac:dyDescent="0.25">
      <c r="A261" s="32"/>
      <c r="B261" s="13">
        <v>7360</v>
      </c>
      <c r="C261" s="22" t="s">
        <v>596</v>
      </c>
      <c r="D261" s="15">
        <v>1.4000000000000001</v>
      </c>
      <c r="E261" s="11"/>
      <c r="F261" s="32"/>
      <c r="G261" s="13">
        <v>7403</v>
      </c>
      <c r="H261" s="22" t="s">
        <v>597</v>
      </c>
      <c r="I261" s="15">
        <v>2.25</v>
      </c>
      <c r="J261" s="11"/>
      <c r="K261" s="32"/>
      <c r="L261" s="13">
        <v>7605</v>
      </c>
      <c r="M261" s="22" t="s">
        <v>598</v>
      </c>
      <c r="N261" s="15">
        <v>1.9000000000000001</v>
      </c>
    </row>
    <row r="262" spans="1:14" ht="12.75" customHeight="1" x14ac:dyDescent="0.25">
      <c r="A262" s="32"/>
      <c r="B262" s="13">
        <v>7361</v>
      </c>
      <c r="C262" s="22" t="s">
        <v>599</v>
      </c>
      <c r="D262" s="15">
        <v>1.4</v>
      </c>
      <c r="E262" s="11"/>
      <c r="F262" s="32"/>
      <c r="G262" s="13">
        <v>7404</v>
      </c>
      <c r="H262" s="22" t="s">
        <v>600</v>
      </c>
      <c r="I262" s="15">
        <v>2.25</v>
      </c>
      <c r="J262" s="11"/>
      <c r="K262" s="32"/>
      <c r="L262" s="13">
        <v>7606</v>
      </c>
      <c r="M262" s="22" t="s">
        <v>601</v>
      </c>
      <c r="N262" s="15">
        <v>0.45</v>
      </c>
    </row>
    <row r="263" spans="1:14" ht="12.75" customHeight="1" x14ac:dyDescent="0.25">
      <c r="A263" s="32"/>
      <c r="B263" s="13">
        <v>7362</v>
      </c>
      <c r="C263" s="22" t="s">
        <v>602</v>
      </c>
      <c r="D263" s="15">
        <v>1.4000000000000001</v>
      </c>
      <c r="E263" s="11"/>
      <c r="F263" s="32"/>
      <c r="G263" s="13">
        <v>7405</v>
      </c>
      <c r="H263" s="22" t="s">
        <v>603</v>
      </c>
      <c r="I263" s="15">
        <v>2.25</v>
      </c>
      <c r="J263" s="11"/>
      <c r="K263" s="32"/>
      <c r="L263" s="13">
        <v>7620</v>
      </c>
      <c r="M263" s="22" t="s">
        <v>604</v>
      </c>
      <c r="N263" s="15">
        <v>0.5</v>
      </c>
    </row>
    <row r="264" spans="1:14" ht="12.75" customHeight="1" x14ac:dyDescent="0.25">
      <c r="A264" s="32"/>
      <c r="B264" s="13">
        <v>7363</v>
      </c>
      <c r="C264" s="22" t="s">
        <v>605</v>
      </c>
      <c r="D264" s="15">
        <v>1.4</v>
      </c>
      <c r="E264" s="11"/>
      <c r="F264" s="32"/>
      <c r="G264" s="13">
        <v>7406</v>
      </c>
      <c r="H264" s="22" t="s">
        <v>606</v>
      </c>
      <c r="I264" s="15">
        <v>2.25</v>
      </c>
      <c r="J264" s="11"/>
      <c r="K264" s="12"/>
      <c r="L264" s="34"/>
      <c r="M264" s="59"/>
      <c r="N264" s="10"/>
    </row>
    <row r="265" spans="1:14" ht="12.75" customHeight="1" x14ac:dyDescent="0.25">
      <c r="A265" s="32"/>
      <c r="B265" s="13">
        <v>7370</v>
      </c>
      <c r="C265" s="22" t="s">
        <v>607</v>
      </c>
      <c r="D265" s="15">
        <v>1.35</v>
      </c>
      <c r="E265" s="11"/>
      <c r="F265" s="32"/>
      <c r="G265" s="13">
        <v>7407</v>
      </c>
      <c r="H265" s="22" t="s">
        <v>608</v>
      </c>
      <c r="I265" s="15">
        <v>2.25</v>
      </c>
      <c r="J265" s="11"/>
      <c r="K265" s="12"/>
      <c r="L265" s="34"/>
      <c r="M265" s="59"/>
      <c r="N265" s="10"/>
    </row>
    <row r="266" spans="1:14" ht="12.75" customHeight="1" x14ac:dyDescent="0.25">
      <c r="A266" s="32"/>
      <c r="B266" s="13">
        <v>7371</v>
      </c>
      <c r="C266" s="22" t="s">
        <v>609</v>
      </c>
      <c r="D266" s="15">
        <v>2</v>
      </c>
      <c r="E266" s="11"/>
      <c r="F266" s="32"/>
      <c r="G266" s="13">
        <v>7408</v>
      </c>
      <c r="H266" s="22" t="s">
        <v>610</v>
      </c>
      <c r="I266" s="15">
        <v>2.25</v>
      </c>
      <c r="J266" s="11"/>
      <c r="K266" s="12"/>
      <c r="L266" s="34"/>
      <c r="M266" s="59"/>
      <c r="N266" s="10"/>
    </row>
    <row r="267" spans="1:14" ht="12.75" customHeight="1" x14ac:dyDescent="0.25">
      <c r="A267" s="32"/>
      <c r="B267" s="13">
        <v>7375</v>
      </c>
      <c r="C267" s="22" t="s">
        <v>611</v>
      </c>
      <c r="D267" s="15">
        <v>2</v>
      </c>
      <c r="E267" s="11"/>
      <c r="F267" s="32"/>
      <c r="G267" s="13">
        <v>7430</v>
      </c>
      <c r="H267" s="22" t="s">
        <v>612</v>
      </c>
      <c r="I267" s="15">
        <v>2.25</v>
      </c>
      <c r="J267" s="11"/>
      <c r="K267" s="12"/>
      <c r="L267" s="34"/>
      <c r="M267" s="59"/>
      <c r="N267" s="10"/>
    </row>
    <row r="268" spans="1:14" ht="12.75" customHeight="1" x14ac:dyDescent="0.25">
      <c r="A268" s="7"/>
      <c r="B268" s="8">
        <v>7262</v>
      </c>
      <c r="C268" s="20" t="s">
        <v>613</v>
      </c>
      <c r="D268" s="15">
        <v>1.6</v>
      </c>
      <c r="E268" s="11"/>
      <c r="F268" s="32"/>
      <c r="G268" s="13">
        <v>7431</v>
      </c>
      <c r="H268" s="22" t="s">
        <v>614</v>
      </c>
      <c r="I268" s="15">
        <v>2.25</v>
      </c>
      <c r="J268" s="11"/>
      <c r="K268"/>
      <c r="L268"/>
      <c r="M268"/>
      <c r="N268"/>
    </row>
    <row r="269" spans="1:14" ht="12.75" customHeight="1" x14ac:dyDescent="0.25">
      <c r="A269" s="32"/>
      <c r="B269" s="13">
        <v>7263</v>
      </c>
      <c r="C269" s="22" t="s">
        <v>615</v>
      </c>
      <c r="D269" s="15">
        <v>1.6500000000000001</v>
      </c>
      <c r="E269" s="11"/>
      <c r="F269" s="32"/>
      <c r="G269" s="13">
        <v>7432</v>
      </c>
      <c r="H269" s="22" t="s">
        <v>616</v>
      </c>
      <c r="I269" s="15">
        <v>2.25</v>
      </c>
      <c r="J269" s="11"/>
      <c r="K269"/>
      <c r="L269"/>
      <c r="M269"/>
      <c r="N269"/>
    </row>
    <row r="270" spans="1:14" ht="12.75" customHeight="1" x14ac:dyDescent="0.25">
      <c r="A270"/>
      <c r="B270"/>
      <c r="C270"/>
      <c r="D270"/>
      <c r="E270" s="11"/>
      <c r="F270" s="32"/>
      <c r="G270" s="13">
        <v>7433</v>
      </c>
      <c r="H270" s="22" t="s">
        <v>617</v>
      </c>
      <c r="I270" s="15">
        <v>2.25</v>
      </c>
      <c r="J270" s="11"/>
      <c r="K270"/>
      <c r="L270"/>
      <c r="M270"/>
      <c r="N270"/>
    </row>
    <row r="271" spans="1:14" ht="12.75" customHeight="1" x14ac:dyDescent="0.25">
      <c r="A271"/>
      <c r="B271"/>
      <c r="C271"/>
      <c r="D271"/>
      <c r="E271" s="11"/>
      <c r="F271" s="36"/>
      <c r="G271" s="12"/>
      <c r="H271" s="12"/>
      <c r="I271" s="10"/>
      <c r="J271" s="11"/>
      <c r="K271"/>
      <c r="L271"/>
      <c r="M271"/>
      <c r="N271"/>
    </row>
    <row r="272" spans="1:14" ht="12.75" customHeight="1" x14ac:dyDescent="0.25">
      <c r="A272" s="84" t="s">
        <v>618</v>
      </c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</row>
    <row r="273" spans="1:14" ht="12.75" customHeight="1" x14ac:dyDescent="0.25">
      <c r="A273" s="83" t="s">
        <v>619</v>
      </c>
      <c r="B273" s="83"/>
      <c r="C273" s="83"/>
      <c r="D273" s="83"/>
      <c r="E273" s="46"/>
      <c r="F273" s="83" t="s">
        <v>620</v>
      </c>
      <c r="G273" s="83"/>
      <c r="H273" s="83"/>
      <c r="I273" s="83"/>
      <c r="J273" s="46"/>
      <c r="K273" s="5"/>
      <c r="L273" s="5"/>
      <c r="M273" s="5"/>
      <c r="N273" s="5"/>
    </row>
    <row r="274" spans="1:14" ht="12.75" customHeight="1" x14ac:dyDescent="0.25">
      <c r="A274" s="86" t="s">
        <v>621</v>
      </c>
      <c r="B274" s="86"/>
      <c r="C274" s="60" t="s">
        <v>622</v>
      </c>
      <c r="D274" s="61" t="s">
        <v>623</v>
      </c>
      <c r="E274" s="46"/>
      <c r="F274" s="86" t="s">
        <v>621</v>
      </c>
      <c r="G274" s="86"/>
      <c r="H274" s="60" t="s">
        <v>622</v>
      </c>
      <c r="I274" s="61" t="s">
        <v>623</v>
      </c>
      <c r="J274" s="46"/>
      <c r="K274" s="30"/>
      <c r="L274" s="30"/>
      <c r="M274" s="30"/>
      <c r="N274" s="30"/>
    </row>
    <row r="275" spans="1:14" ht="12.75" customHeight="1" x14ac:dyDescent="0.25">
      <c r="A275" s="7"/>
      <c r="B275" s="8">
        <v>3000</v>
      </c>
      <c r="C275" s="20" t="s">
        <v>624</v>
      </c>
      <c r="D275" s="7"/>
      <c r="E275"/>
      <c r="F275" s="7"/>
      <c r="G275" s="8">
        <v>4103</v>
      </c>
      <c r="H275" s="20" t="s">
        <v>625</v>
      </c>
      <c r="I275" s="7"/>
      <c r="J275"/>
      <c r="K275" s="62"/>
      <c r="L275" s="57" t="s">
        <v>626</v>
      </c>
      <c r="M275"/>
      <c r="N275" s="47"/>
    </row>
    <row r="276" spans="1:14" ht="12.75" customHeight="1" x14ac:dyDescent="0.25">
      <c r="A276" s="32"/>
      <c r="B276" s="13">
        <v>3030</v>
      </c>
      <c r="C276" s="22" t="s">
        <v>256</v>
      </c>
      <c r="D276" s="7"/>
      <c r="E276"/>
      <c r="F276" s="32"/>
      <c r="G276" s="13">
        <v>4200</v>
      </c>
      <c r="H276" s="22" t="s">
        <v>627</v>
      </c>
      <c r="I276" s="7"/>
      <c r="J276"/>
      <c r="K276" s="47"/>
      <c r="L276" s="47"/>
      <c r="M276" s="47"/>
      <c r="N276" s="47"/>
    </row>
    <row r="277" spans="1:14" ht="12.75" customHeight="1" x14ac:dyDescent="0.25">
      <c r="A277" s="32"/>
      <c r="B277" s="13">
        <v>3050</v>
      </c>
      <c r="C277" s="22" t="s">
        <v>266</v>
      </c>
      <c r="D277" s="7"/>
      <c r="E277"/>
      <c r="F277" s="32"/>
      <c r="G277" s="13">
        <v>4201</v>
      </c>
      <c r="H277" s="22" t="s">
        <v>628</v>
      </c>
      <c r="I277" s="7"/>
      <c r="J277"/>
      <c r="K277" s="47"/>
      <c r="L277" s="57" t="s">
        <v>629</v>
      </c>
      <c r="M277" s="47"/>
      <c r="N277" s="47"/>
    </row>
    <row r="278" spans="1:14" ht="12.75" customHeight="1" x14ac:dyDescent="0.25">
      <c r="A278" s="32"/>
      <c r="B278" s="13">
        <v>3201</v>
      </c>
      <c r="C278" s="22" t="s">
        <v>630</v>
      </c>
      <c r="D278" s="7"/>
      <c r="E278"/>
      <c r="F278" s="32"/>
      <c r="G278" s="13">
        <v>4402</v>
      </c>
      <c r="H278" s="22" t="s">
        <v>631</v>
      </c>
      <c r="I278" s="7"/>
      <c r="J278"/>
      <c r="K278" s="47"/>
      <c r="L278" s="57" t="s">
        <v>632</v>
      </c>
      <c r="M278" s="47"/>
      <c r="N278" s="47"/>
    </row>
    <row r="279" spans="1:14" ht="12.75" customHeight="1" x14ac:dyDescent="0.25">
      <c r="A279" s="7"/>
      <c r="B279" s="8">
        <v>3300</v>
      </c>
      <c r="C279" s="20" t="s">
        <v>633</v>
      </c>
      <c r="D279" s="7"/>
      <c r="E279"/>
      <c r="F279" s="7"/>
      <c r="G279" s="8">
        <v>4501</v>
      </c>
      <c r="H279" s="20" t="s">
        <v>212</v>
      </c>
      <c r="I279" s="7"/>
      <c r="J279"/>
      <c r="K279" s="47"/>
      <c r="L279" s="63"/>
      <c r="M279" s="47"/>
      <c r="N279" s="47"/>
    </row>
    <row r="280" spans="1:14" ht="12.75" customHeight="1" x14ac:dyDescent="0.25">
      <c r="A280" s="32"/>
      <c r="B280" s="13">
        <v>3310</v>
      </c>
      <c r="C280" s="22" t="s">
        <v>634</v>
      </c>
      <c r="D280" s="7"/>
      <c r="E280"/>
      <c r="F280" s="32"/>
      <c r="G280" s="13">
        <v>5060</v>
      </c>
      <c r="H280" s="22" t="s">
        <v>635</v>
      </c>
      <c r="I280" s="7"/>
      <c r="J280"/>
      <c r="K280" s="47"/>
      <c r="L280" s="57" t="s">
        <v>636</v>
      </c>
      <c r="M280" s="47"/>
      <c r="N280" s="47"/>
    </row>
    <row r="281" spans="1:14" ht="12.7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</row>
    <row r="282" spans="1:14" ht="12.75" customHeight="1" x14ac:dyDescent="0.25">
      <c r="A282" s="84" t="s">
        <v>637</v>
      </c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</row>
    <row r="283" spans="1:14" ht="12.7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</row>
    <row r="284" spans="1:14" ht="12.75" customHeight="1" x14ac:dyDescent="0.25">
      <c r="A284" s="62"/>
      <c r="B284" s="57" t="s">
        <v>638</v>
      </c>
      <c r="C284"/>
      <c r="D284"/>
      <c r="E284"/>
      <c r="F284"/>
      <c r="G284"/>
      <c r="H284"/>
      <c r="I284"/>
      <c r="J284"/>
      <c r="K284"/>
      <c r="L284"/>
      <c r="M284"/>
      <c r="N284"/>
    </row>
    <row r="285" spans="1:14" ht="12.7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</row>
    <row r="286" spans="1:14" ht="12.75" customHeight="1" x14ac:dyDescent="0.25">
      <c r="A286" s="64" t="s">
        <v>639</v>
      </c>
      <c r="B286" s="65"/>
      <c r="C286" s="65"/>
      <c r="D286" s="65"/>
      <c r="E286"/>
      <c r="F286" s="64" t="s">
        <v>640</v>
      </c>
      <c r="G286" s="65"/>
      <c r="H286" s="65"/>
      <c r="I286" s="65"/>
      <c r="J286"/>
      <c r="K286" s="64" t="s">
        <v>641</v>
      </c>
      <c r="L286" s="65"/>
      <c r="M286" s="65"/>
      <c r="N286" s="65"/>
    </row>
    <row r="287" spans="1:14" ht="12.7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</row>
    <row r="288" spans="1:14" ht="12.75" customHeight="1" x14ac:dyDescent="0.25">
      <c r="A288" s="64" t="s">
        <v>642</v>
      </c>
      <c r="B288" s="65"/>
      <c r="C288" s="65"/>
      <c r="D288" s="65"/>
      <c r="E288"/>
      <c r="F288" s="64" t="s">
        <v>643</v>
      </c>
      <c r="G288" s="65"/>
      <c r="H288" s="65"/>
      <c r="I288" s="65"/>
      <c r="J288"/>
      <c r="K288" s="64" t="s">
        <v>644</v>
      </c>
      <c r="L288" s="65"/>
      <c r="M288" s="65"/>
      <c r="N288" s="65"/>
    </row>
    <row r="289" spans="1:14" ht="12.7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</row>
    <row r="290" spans="1:14" ht="12.7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</row>
    <row r="291" spans="1:14" ht="12.75" customHeight="1" x14ac:dyDescent="0.25">
      <c r="A291" s="84" t="s">
        <v>645</v>
      </c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</row>
    <row r="292" spans="1:14" ht="12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</row>
    <row r="293" spans="1:14" ht="12.7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</row>
    <row r="294" spans="1:14" ht="12.7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</row>
    <row r="295" spans="1:14" ht="12.7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</row>
  </sheetData>
  <protectedRanges>
    <protectedRange sqref="T2" name="Range27"/>
    <protectedRange sqref="A113:A117" name="Range25"/>
    <protectedRange sqref="K58:K61" name="Range18"/>
    <protectedRange sqref="F58:F62" name="Range17"/>
    <protectedRange sqref="A58:A71" name="Range16"/>
    <protectedRange sqref="K26:K33" name="Range13"/>
    <protectedRange sqref="F26:F34" name="Range12"/>
    <protectedRange sqref="K15:K23" name="Range7"/>
    <protectedRange sqref="F15:F22" name="Range6"/>
    <protectedRange sqref="A15:A22" name="Range5"/>
    <protectedRange sqref="K5:K12 P5:P14" name="Range4"/>
    <protectedRange sqref="F5:F12" name="Range3"/>
    <protectedRange sqref="A5:A12" name="Range2"/>
    <protectedRange sqref="P2:S2" name="Range1"/>
    <protectedRange sqref="A15:A22" name="Range8"/>
    <protectedRange sqref="F15:F22" name="Range9"/>
    <protectedRange sqref="K15:K23" name="Range10"/>
    <protectedRange sqref="A26" name="Range11"/>
    <protectedRange sqref="A29:A54" name="Range14"/>
    <protectedRange sqref="F38:F54" name="Range15"/>
    <protectedRange sqref="A81:A87" name="Range19"/>
    <protectedRange sqref="A90:A95" name="Range20"/>
    <protectedRange sqref="A98:A109" name="Range21"/>
    <protectedRange sqref="F81:F92" name="Range22"/>
    <protectedRange sqref="F95:F109" name="Range23"/>
    <protectedRange sqref="K81:K109" name="Range24"/>
    <protectedRange sqref="F113:F119 F123:F124 A120:A127 A130:A141 A144:A148 K113:K144 A158:A172 F158:F172 K158:K165 K168:K173 K177:K181 K184:K190 F177:F186 F127:F137 F140:F143 F146:F147" name="Range26"/>
  </protectedRanges>
  <mergeCells count="72">
    <mergeCell ref="A56:N56"/>
    <mergeCell ref="A1:N1"/>
    <mergeCell ref="A3:N3"/>
    <mergeCell ref="A4:D4"/>
    <mergeCell ref="F4:I4"/>
    <mergeCell ref="K4:N4"/>
    <mergeCell ref="A14:D14"/>
    <mergeCell ref="F14:I14"/>
    <mergeCell ref="K14:N14"/>
    <mergeCell ref="A25:D25"/>
    <mergeCell ref="F25:I25"/>
    <mergeCell ref="K25:N25"/>
    <mergeCell ref="A28:D28"/>
    <mergeCell ref="F37:I37"/>
    <mergeCell ref="A57:D57"/>
    <mergeCell ref="F57:I57"/>
    <mergeCell ref="K57:N57"/>
    <mergeCell ref="A79:N79"/>
    <mergeCell ref="A80:D80"/>
    <mergeCell ref="F80:I80"/>
    <mergeCell ref="K80:N80"/>
    <mergeCell ref="A89:D89"/>
    <mergeCell ref="F94:I94"/>
    <mergeCell ref="A97:D97"/>
    <mergeCell ref="A111:N111"/>
    <mergeCell ref="A112:D112"/>
    <mergeCell ref="F112:I112"/>
    <mergeCell ref="K112:N112"/>
    <mergeCell ref="F204:I204"/>
    <mergeCell ref="K167:N167"/>
    <mergeCell ref="A119:D119"/>
    <mergeCell ref="F122:I122"/>
    <mergeCell ref="F126:I126"/>
    <mergeCell ref="A129:D129"/>
    <mergeCell ref="F139:I139"/>
    <mergeCell ref="A143:D143"/>
    <mergeCell ref="F145:I145"/>
    <mergeCell ref="A156:N156"/>
    <mergeCell ref="A157:D157"/>
    <mergeCell ref="F157:I157"/>
    <mergeCell ref="K157:N157"/>
    <mergeCell ref="F188:I188"/>
    <mergeCell ref="A193:D193"/>
    <mergeCell ref="K193:N193"/>
    <mergeCell ref="F198:I198"/>
    <mergeCell ref="A202:D202"/>
    <mergeCell ref="A175:N175"/>
    <mergeCell ref="A176:D176"/>
    <mergeCell ref="F176:I176"/>
    <mergeCell ref="K176:N176"/>
    <mergeCell ref="K183:N183"/>
    <mergeCell ref="A234:N234"/>
    <mergeCell ref="A235:D235"/>
    <mergeCell ref="F235:I235"/>
    <mergeCell ref="K235:N235"/>
    <mergeCell ref="A206:D206"/>
    <mergeCell ref="P4:S4"/>
    <mergeCell ref="A291:N291"/>
    <mergeCell ref="A244:N244"/>
    <mergeCell ref="A245:D245"/>
    <mergeCell ref="F245:I245"/>
    <mergeCell ref="K245:N245"/>
    <mergeCell ref="F257:I257"/>
    <mergeCell ref="A272:N272"/>
    <mergeCell ref="A273:D273"/>
    <mergeCell ref="F273:I273"/>
    <mergeCell ref="A274:B274"/>
    <mergeCell ref="F274:G274"/>
    <mergeCell ref="A282:N282"/>
    <mergeCell ref="K207:N207"/>
    <mergeCell ref="A212:D212"/>
    <mergeCell ref="A217:D2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F3902-A0D6-4B1D-8FB1-1185576CAF97}">
  <sheetPr codeName="Sheet3"/>
  <dimension ref="A1:R537"/>
  <sheetViews>
    <sheetView topLeftCell="A460" workbookViewId="0">
      <selection activeCell="H528" sqref="H528"/>
    </sheetView>
  </sheetViews>
  <sheetFormatPr defaultRowHeight="15" x14ac:dyDescent="0.25"/>
  <cols>
    <col min="1" max="1" width="10.85546875" style="69" bestFit="1" customWidth="1"/>
    <col min="2" max="2" width="65.42578125" style="69" bestFit="1" customWidth="1"/>
    <col min="3" max="3" width="21.140625" style="76" customWidth="1"/>
    <col min="4" max="4" width="12.85546875" style="70" bestFit="1" customWidth="1"/>
    <col min="5" max="5" width="14.42578125" style="70" bestFit="1" customWidth="1"/>
    <col min="6" max="7" width="29" style="69" bestFit="1" customWidth="1"/>
    <col min="8" max="8" width="11.28515625" style="69" bestFit="1" customWidth="1"/>
    <col min="9" max="9" width="13" style="72" bestFit="1" customWidth="1"/>
    <col min="10" max="10" width="26.85546875" style="69" bestFit="1" customWidth="1"/>
    <col min="11" max="11" width="21.5703125" style="69" bestFit="1" customWidth="1"/>
    <col min="12" max="12" width="12" style="69" bestFit="1" customWidth="1"/>
    <col min="13" max="13" width="12.140625" style="69" bestFit="1" customWidth="1"/>
    <col min="14" max="14" width="12.7109375" style="69" bestFit="1" customWidth="1"/>
    <col min="15" max="15" width="13.7109375" style="69" bestFit="1" customWidth="1"/>
    <col min="16" max="16" width="39.7109375" style="69" bestFit="1" customWidth="1"/>
    <col min="17" max="17" width="13.5703125" style="69" bestFit="1" customWidth="1"/>
    <col min="18" max="18" width="16.7109375" style="74" customWidth="1"/>
    <col min="19" max="16384" width="9.140625" style="69"/>
  </cols>
  <sheetData>
    <row r="1" spans="1:18" s="67" customFormat="1" ht="12.75" x14ac:dyDescent="0.25">
      <c r="A1" s="67" t="s">
        <v>647</v>
      </c>
      <c r="B1" s="67" t="s">
        <v>622</v>
      </c>
      <c r="C1" s="75" t="s">
        <v>1787</v>
      </c>
      <c r="D1" s="68" t="s">
        <v>1783</v>
      </c>
      <c r="E1" s="68" t="s">
        <v>1784</v>
      </c>
      <c r="F1" s="67" t="s">
        <v>648</v>
      </c>
      <c r="G1" s="67" t="s">
        <v>649</v>
      </c>
      <c r="H1" s="67" t="s">
        <v>650</v>
      </c>
      <c r="I1" s="71" t="s">
        <v>651</v>
      </c>
      <c r="J1" s="67" t="s">
        <v>652</v>
      </c>
      <c r="K1" s="67" t="s">
        <v>653</v>
      </c>
      <c r="L1" s="67" t="s">
        <v>654</v>
      </c>
      <c r="M1" s="67" t="s">
        <v>655</v>
      </c>
      <c r="N1" s="67" t="s">
        <v>656</v>
      </c>
      <c r="O1" s="67" t="s">
        <v>657</v>
      </c>
      <c r="P1" s="67" t="s">
        <v>658</v>
      </c>
      <c r="Q1" s="67" t="s">
        <v>659</v>
      </c>
      <c r="R1" s="73" t="s">
        <v>1781</v>
      </c>
    </row>
    <row r="2" spans="1:18" ht="21.75" customHeight="1" x14ac:dyDescent="0.25">
      <c r="A2" s="69">
        <f>_xlfn.IFNA(IF('Interactive Selection Sheet'!$K5= "", VLOOKUP('Interactive Selection Sheet'!$L5, 'Master List Import'!$B$1:$P$519, 1, FALSE), ""), "")</f>
        <v>1001</v>
      </c>
      <c r="B2" s="69" t="str">
        <f>_xlfn.IFNA(IF('Interactive Selection Sheet'!$K5= "", VLOOKUP('Interactive Selection Sheet'!$L5, 'Master List Import'!$A$1:$P$519, 3, FALSE), ""), "")</f>
        <v>Thermal Set - Sm</v>
      </c>
      <c r="C2" s="76">
        <f>IF('Interactive Selection Sheet'!$T$2="", "", IF(B2="","",'Interactive Selection Sheet'!$T$2))</f>
        <v>3.5000000000000003E-2</v>
      </c>
      <c r="D2" s="70">
        <f>IF(B2 = "", "", 'Interactive Selection Sheet'!$Q$2)</f>
        <v>4.4999999999999998E-2</v>
      </c>
      <c r="E2" s="70">
        <f>IF(B2="","", 'Interactive Selection Sheet'!$R$2)</f>
        <v>0.02</v>
      </c>
      <c r="F2" s="69" t="str">
        <f>_xlfn.IFNA(IF('Interactive Selection Sheet'!K5= "", VLOOKUP('Interactive Selection Sheet'!$L5, 'Master List Import'!$A$1:$P$519, 4, FALSE), ""), "")</f>
        <v>Clothing</v>
      </c>
      <c r="G2" s="69" t="str">
        <f>_xlfn.IFNA(IF('Interactive Selection Sheet'!K5= "", VLOOKUP('Interactive Selection Sheet'!$L5, 'Master List Import'!$A$1:$P$519, 5, FALSE), ""), "")</f>
        <v>Clothing</v>
      </c>
      <c r="H2" s="69" t="str">
        <f>_xlfn.IFNA(IF('Interactive Selection Sheet'!K5= "", VLOOKUP('Interactive Selection Sheet'!$L5, 'Master List Import'!$A$1:$P$519, 6, FALSE), ""), "")</f>
        <v>Both</v>
      </c>
      <c r="I2" s="72">
        <f>_xlfn.IFNA(IF('Interactive Selection Sheet'!K5= "", VLOOKUP('Interactive Selection Sheet'!$L5, 'Master List Import'!$A$1:$P$519, 7, FALSE), ""), "")</f>
        <v>4.96</v>
      </c>
      <c r="J2" s="69" t="str">
        <f>_xlfn.IFNA(IF('Interactive Selection Sheet'!K5= "", VLOOKUP('Interactive Selection Sheet'!$L5, 'Master List Import'!$A$1:$P$519, 8, FALSE), ""), "")</f>
        <v>REI</v>
      </c>
      <c r="K2" s="69" t="str">
        <f>_xlfn.IFNA(IF('Interactive Selection Sheet'!K5= "", VLOOKUP('Interactive Selection Sheet'!$L5, 'Master List Import'!$A$1:$P$519, 9, FALSE), ""), "")</f>
        <v>1001</v>
      </c>
      <c r="L2" s="69">
        <f>_xlfn.IFNA(IF('Interactive Selection Sheet'!K5= "", VLOOKUP('Interactive Selection Sheet'!$L5, 'Master List Import'!$A$1:$P$519, 10, FALSE), ""), "")</f>
        <v>0</v>
      </c>
      <c r="M2" s="69">
        <f>_xlfn.IFNA(IF('Interactive Selection Sheet'!K5= "", VLOOKUP('Interactive Selection Sheet'!$L5, 'Master List Import'!$A$1:$P$519, 11, FALSE), ""), "")</f>
        <v>0</v>
      </c>
      <c r="N2" s="69">
        <f>_xlfn.IFNA(IF('Interactive Selection Sheet'!K5= "", VLOOKUP('Interactive Selection Sheet'!$L5, 'Master List Import'!$A$1:$P$519, 12, FALSE), ""), "")</f>
        <v>1</v>
      </c>
      <c r="O2" s="69">
        <f>_xlfn.IFNA(IF('Interactive Selection Sheet'!K5= "", VLOOKUP('Interactive Selection Sheet'!$L5, 'Master List Import'!$A$1:$P$519, 13, FALSE), ""), "")</f>
        <v>1001</v>
      </c>
      <c r="P2" s="69" t="str">
        <f>_xlfn.IFNA(IF('Interactive Selection Sheet'!K5= "", VLOOKUP('Interactive Selection Sheet'!$L5, 'Master List Import'!$A$1:$P$519, 14, FALSE), ""), "")</f>
        <v>Thermal Set (Sm)</v>
      </c>
      <c r="Q2" s="69">
        <f>_xlfn.IFNA(IF('Interactive Selection Sheet'!K5= "", VLOOKUP('Interactive Selection Sheet'!$L5, 'Master List Import'!$A$1:$P$519, 15, FALSE), ""), "")</f>
        <v>1</v>
      </c>
      <c r="R2" s="74">
        <f>_xlfn.IFNA(IF('Interactive Selection Sheet'!K5= "", VLOOKUP('Interactive Selection Sheet'!$L5, 'Master List Import'!$A$1:$P$519, 16, FALSE), ""), "")</f>
        <v>17.399999999999999</v>
      </c>
    </row>
    <row r="3" spans="1:18" ht="21.75" customHeight="1" x14ac:dyDescent="0.25">
      <c r="A3" s="69">
        <f>_xlfn.IFNA(IF('Interactive Selection Sheet'!$K6= "", VLOOKUP('Interactive Selection Sheet'!$L6, 'Master List Import'!$A$1:$P$519, 2, FALSE), ""), "")</f>
        <v>1002</v>
      </c>
      <c r="B3" s="69" t="str">
        <f>_xlfn.IFNA(IF('Interactive Selection Sheet'!$K6= "", VLOOKUP('Interactive Selection Sheet'!$L6, 'Master List Import'!$A$1:$P$519, 3, FALSE), ""), "")</f>
        <v>Thermal Set - Md</v>
      </c>
      <c r="C3" s="76">
        <f>IF('Interactive Selection Sheet'!$T$2="", "", IF(B3="","",'Interactive Selection Sheet'!$T$2))</f>
        <v>3.5000000000000003E-2</v>
      </c>
      <c r="D3" s="70">
        <f>IF(B3 = "", "", 'Interactive Selection Sheet'!$Q$2)</f>
        <v>4.4999999999999998E-2</v>
      </c>
      <c r="E3" s="70">
        <f>IF(B3="","", 'Interactive Selection Sheet'!$R$2)</f>
        <v>0.02</v>
      </c>
      <c r="F3" s="69" t="str">
        <f>_xlfn.IFNA(IF('Interactive Selection Sheet'!K6= "", VLOOKUP('Interactive Selection Sheet'!$L6, 'Master List Import'!$A$1:$P$519, 4, FALSE), ""), "")</f>
        <v>Clothing</v>
      </c>
      <c r="G3" s="69" t="str">
        <f>_xlfn.IFNA(IF('Interactive Selection Sheet'!K6= "", VLOOKUP('Interactive Selection Sheet'!$L6, 'Master List Import'!$A$1:$P$519, 5, FALSE), ""), "")</f>
        <v>Clothing</v>
      </c>
      <c r="H3" s="69" t="str">
        <f>_xlfn.IFNA(IF('Interactive Selection Sheet'!K6= "", VLOOKUP('Interactive Selection Sheet'!$L6, 'Master List Import'!$A$1:$P$519, 6, FALSE), ""), "")</f>
        <v>Both</v>
      </c>
      <c r="I3" s="72">
        <f>_xlfn.IFNA(IF('Interactive Selection Sheet'!K6= "", VLOOKUP('Interactive Selection Sheet'!$L6, 'Master List Import'!$A$1:$P$519, 7, FALSE), ""), "")</f>
        <v>4.96</v>
      </c>
      <c r="J3" s="69" t="str">
        <f>_xlfn.IFNA(IF('Interactive Selection Sheet'!K6= "", VLOOKUP('Interactive Selection Sheet'!$L6, 'Master List Import'!$A$1:$P$519, 8, FALSE), ""), "")</f>
        <v>REI</v>
      </c>
      <c r="K3" s="69" t="str">
        <f>_xlfn.IFNA(IF('Interactive Selection Sheet'!K6= "", VLOOKUP('Interactive Selection Sheet'!$L6, 'Master List Import'!$A$1:$P$519, 9, FALSE), ""), "")</f>
        <v>1002</v>
      </c>
      <c r="L3" s="69">
        <f>_xlfn.IFNA(IF('Interactive Selection Sheet'!K6= "", VLOOKUP('Interactive Selection Sheet'!$L6, 'Master List Import'!$A$1:$P$519, 10, FALSE), ""), "")</f>
        <v>0</v>
      </c>
      <c r="M3" s="69">
        <f>_xlfn.IFNA(IF('Interactive Selection Sheet'!K6= "", VLOOKUP('Interactive Selection Sheet'!$L6, 'Master List Import'!$A$1:$P$519, 11, FALSE), ""), "")</f>
        <v>0</v>
      </c>
      <c r="N3" s="69">
        <f>_xlfn.IFNA(IF('Interactive Selection Sheet'!K6= "", VLOOKUP('Interactive Selection Sheet'!$L6, 'Master List Import'!$A$1:$P$519, 12, FALSE), ""), "")</f>
        <v>1</v>
      </c>
      <c r="O3" s="69">
        <f>_xlfn.IFNA(IF('Interactive Selection Sheet'!K6= "", VLOOKUP('Interactive Selection Sheet'!$L6, 'Master List Import'!$A$1:$P$519, 13, FALSE), ""), "")</f>
        <v>1002</v>
      </c>
      <c r="P3" s="69" t="str">
        <f>_xlfn.IFNA(IF('Interactive Selection Sheet'!K6= "", VLOOKUP('Interactive Selection Sheet'!$L6, 'Master List Import'!$A$1:$P$519, 14, FALSE), ""), "")</f>
        <v>Thermal Set (Md)</v>
      </c>
      <c r="Q3" s="69">
        <f>_xlfn.IFNA(IF('Interactive Selection Sheet'!K6= "", VLOOKUP('Interactive Selection Sheet'!$L6, 'Master List Import'!$A$1:$P$519, 15, FALSE), ""), "")</f>
        <v>1</v>
      </c>
      <c r="R3" s="74">
        <f>_xlfn.IFNA(IF('Interactive Selection Sheet'!K6= "", VLOOKUP('Interactive Selection Sheet'!$L6, 'Master List Import'!$A$1:$P$519, 16, FALSE), ""), "")</f>
        <v>17.399999999999999</v>
      </c>
    </row>
    <row r="4" spans="1:18" ht="21.75" customHeight="1" x14ac:dyDescent="0.25">
      <c r="A4" s="69">
        <f>_xlfn.IFNA(IF('Interactive Selection Sheet'!$K7= "", VLOOKUP('Interactive Selection Sheet'!$L7, 'Master List Import'!$A$1:$P$519, 2, FALSE), ""), "")</f>
        <v>1003</v>
      </c>
      <c r="B4" s="69" t="str">
        <f>_xlfn.IFNA(IF('Interactive Selection Sheet'!$K7= "", VLOOKUP('Interactive Selection Sheet'!$L7, 'Master List Import'!$A$1:$P$519, 3, FALSE), ""), "")</f>
        <v>Thermal Set - Lg</v>
      </c>
      <c r="C4" s="76">
        <f>IF('Interactive Selection Sheet'!$T$2="", "", IF(B4="","",'Interactive Selection Sheet'!$T$2))</f>
        <v>3.5000000000000003E-2</v>
      </c>
      <c r="D4" s="70">
        <f>IF(B4 = "", "", 'Interactive Selection Sheet'!$Q$2)</f>
        <v>4.4999999999999998E-2</v>
      </c>
      <c r="E4" s="70">
        <f>IF(B4="","", 'Interactive Selection Sheet'!$R$2)</f>
        <v>0.02</v>
      </c>
      <c r="F4" s="69" t="str">
        <f>_xlfn.IFNA(IF('Interactive Selection Sheet'!K7= "", VLOOKUP('Interactive Selection Sheet'!$L7, 'Master List Import'!$A$1:$P$519, 4, FALSE), ""), "")</f>
        <v>Clothing</v>
      </c>
      <c r="G4" s="69" t="str">
        <f>_xlfn.IFNA(IF('Interactive Selection Sheet'!K7= "", VLOOKUP('Interactive Selection Sheet'!$L7, 'Master List Import'!$A$1:$P$519, 5, FALSE), ""), "")</f>
        <v>Clothing</v>
      </c>
      <c r="H4" s="69" t="str">
        <f>_xlfn.IFNA(IF('Interactive Selection Sheet'!K7= "", VLOOKUP('Interactive Selection Sheet'!$L7, 'Master List Import'!$A$1:$P$519, 6, FALSE), ""), "")</f>
        <v>Both</v>
      </c>
      <c r="I4" s="72">
        <f>_xlfn.IFNA(IF('Interactive Selection Sheet'!K7= "", VLOOKUP('Interactive Selection Sheet'!$L7, 'Master List Import'!$A$1:$P$519, 7, FALSE), ""), "")</f>
        <v>4.96</v>
      </c>
      <c r="J4" s="69" t="str">
        <f>_xlfn.IFNA(IF('Interactive Selection Sheet'!K7= "", VLOOKUP('Interactive Selection Sheet'!$L7, 'Master List Import'!$A$1:$P$519, 8, FALSE), ""), "")</f>
        <v>REI</v>
      </c>
      <c r="K4" s="69" t="str">
        <f>_xlfn.IFNA(IF('Interactive Selection Sheet'!K7= "", VLOOKUP('Interactive Selection Sheet'!$L7, 'Master List Import'!$A$1:$P$519, 9, FALSE), ""), "")</f>
        <v>1003</v>
      </c>
      <c r="L4" s="69">
        <f>_xlfn.IFNA(IF('Interactive Selection Sheet'!K7= "", VLOOKUP('Interactive Selection Sheet'!$L7, 'Master List Import'!$A$1:$P$519, 10, FALSE), ""), "")</f>
        <v>0</v>
      </c>
      <c r="M4" s="69">
        <f>_xlfn.IFNA(IF('Interactive Selection Sheet'!K7= "", VLOOKUP('Interactive Selection Sheet'!$L7, 'Master List Import'!$A$1:$P$519, 11, FALSE), ""), "")</f>
        <v>0</v>
      </c>
      <c r="N4" s="69">
        <f>_xlfn.IFNA(IF('Interactive Selection Sheet'!K7= "", VLOOKUP('Interactive Selection Sheet'!$L7, 'Master List Import'!$A$1:$P$519, 12, FALSE), ""), "")</f>
        <v>1</v>
      </c>
      <c r="O4" s="69">
        <f>_xlfn.IFNA(IF('Interactive Selection Sheet'!K7= "", VLOOKUP('Interactive Selection Sheet'!$L7, 'Master List Import'!$A$1:$P$519, 13, FALSE), ""), "")</f>
        <v>1003</v>
      </c>
      <c r="P4" s="69" t="str">
        <f>_xlfn.IFNA(IF('Interactive Selection Sheet'!K7= "", VLOOKUP('Interactive Selection Sheet'!$L7, 'Master List Import'!$A$1:$P$519, 14, FALSE), ""), "")</f>
        <v>Thermal Set (Lg)</v>
      </c>
      <c r="Q4" s="69">
        <f>_xlfn.IFNA(IF('Interactive Selection Sheet'!K7= "", VLOOKUP('Interactive Selection Sheet'!$L7, 'Master List Import'!$A$1:$P$519, 15, FALSE), ""), "")</f>
        <v>1</v>
      </c>
      <c r="R4" s="74">
        <f>_xlfn.IFNA(IF('Interactive Selection Sheet'!K7= "", VLOOKUP('Interactive Selection Sheet'!$L7, 'Master List Import'!$A$1:$P$519, 16, FALSE), ""), "")</f>
        <v>17.399999999999999</v>
      </c>
    </row>
    <row r="5" spans="1:18" ht="21.75" customHeight="1" x14ac:dyDescent="0.25">
      <c r="A5" s="69">
        <f>_xlfn.IFNA(IF('Interactive Selection Sheet'!$K8= "", VLOOKUP('Interactive Selection Sheet'!$L8, 'Master List Import'!$A$1:$P$519, 2, FALSE), ""), "")</f>
        <v>1004</v>
      </c>
      <c r="B5" s="69" t="str">
        <f>_xlfn.IFNA(IF('Interactive Selection Sheet'!$K8= "", VLOOKUP('Interactive Selection Sheet'!$L8, 'Master List Import'!$A$1:$P$519, 3, FALSE), ""), "")</f>
        <v>Thermal Set - XL</v>
      </c>
      <c r="C5" s="76">
        <f>IF('Interactive Selection Sheet'!$T$2="", "", IF(B5="","",'Interactive Selection Sheet'!$T$2))</f>
        <v>3.5000000000000003E-2</v>
      </c>
      <c r="D5" s="70">
        <f>IF(B5 = "", "", 'Interactive Selection Sheet'!$Q$2)</f>
        <v>4.4999999999999998E-2</v>
      </c>
      <c r="E5" s="70">
        <f>IF(B5="","", 'Interactive Selection Sheet'!$R$2)</f>
        <v>0.02</v>
      </c>
      <c r="F5" s="69" t="str">
        <f>_xlfn.IFNA(IF('Interactive Selection Sheet'!K8= "", VLOOKUP('Interactive Selection Sheet'!$L8, 'Master List Import'!$A$1:$P$519, 4, FALSE), ""), "")</f>
        <v>Clothing</v>
      </c>
      <c r="G5" s="69" t="str">
        <f>_xlfn.IFNA(IF('Interactive Selection Sheet'!K8= "", VLOOKUP('Interactive Selection Sheet'!$L8, 'Master List Import'!$A$1:$P$519, 5, FALSE), ""), "")</f>
        <v>Clothing</v>
      </c>
      <c r="H5" s="69" t="str">
        <f>_xlfn.IFNA(IF('Interactive Selection Sheet'!K8= "", VLOOKUP('Interactive Selection Sheet'!$L8, 'Master List Import'!$A$1:$P$519, 6, FALSE), ""), "")</f>
        <v>Both</v>
      </c>
      <c r="I5" s="72">
        <f>_xlfn.IFNA(IF('Interactive Selection Sheet'!K8= "", VLOOKUP('Interactive Selection Sheet'!$L8, 'Master List Import'!$A$1:$P$519, 7, FALSE), ""), "")</f>
        <v>4.96</v>
      </c>
      <c r="J5" s="69" t="str">
        <f>_xlfn.IFNA(IF('Interactive Selection Sheet'!K8= "", VLOOKUP('Interactive Selection Sheet'!$L8, 'Master List Import'!$A$1:$P$519, 8, FALSE), ""), "")</f>
        <v>REI</v>
      </c>
      <c r="K5" s="69" t="str">
        <f>_xlfn.IFNA(IF('Interactive Selection Sheet'!K8= "", VLOOKUP('Interactive Selection Sheet'!$L8, 'Master List Import'!$A$1:$P$519, 9, FALSE), ""), "")</f>
        <v>1004</v>
      </c>
      <c r="L5" s="69">
        <f>_xlfn.IFNA(IF('Interactive Selection Sheet'!K8= "", VLOOKUP('Interactive Selection Sheet'!$L8, 'Master List Import'!$A$1:$P$519, 10, FALSE), ""), "")</f>
        <v>0</v>
      </c>
      <c r="M5" s="69">
        <f>_xlfn.IFNA(IF('Interactive Selection Sheet'!K8= "", VLOOKUP('Interactive Selection Sheet'!$L8, 'Master List Import'!$A$1:$P$519, 11, FALSE), ""), "")</f>
        <v>0</v>
      </c>
      <c r="N5" s="69">
        <f>_xlfn.IFNA(IF('Interactive Selection Sheet'!K8= "", VLOOKUP('Interactive Selection Sheet'!$L8, 'Master List Import'!$A$1:$P$519, 12, FALSE), ""), "")</f>
        <v>1</v>
      </c>
      <c r="O5" s="69">
        <f>_xlfn.IFNA(IF('Interactive Selection Sheet'!K8= "", VLOOKUP('Interactive Selection Sheet'!$L8, 'Master List Import'!$A$1:$P$519, 13, FALSE), ""), "")</f>
        <v>1004</v>
      </c>
      <c r="P5" s="69" t="str">
        <f>_xlfn.IFNA(IF('Interactive Selection Sheet'!K8= "", VLOOKUP('Interactive Selection Sheet'!$L8, 'Master List Import'!$A$1:$P$519, 14, FALSE), ""), "")</f>
        <v>Thermal Set (XL)</v>
      </c>
      <c r="Q5" s="69">
        <f>_xlfn.IFNA(IF('Interactive Selection Sheet'!K8= "", VLOOKUP('Interactive Selection Sheet'!$L8, 'Master List Import'!$A$1:$P$519, 15, FALSE), ""), "")</f>
        <v>1</v>
      </c>
      <c r="R5" s="74">
        <f>_xlfn.IFNA(IF('Interactive Selection Sheet'!K8= "", VLOOKUP('Interactive Selection Sheet'!$L8, 'Master List Import'!$A$1:$P$519, 16, FALSE), ""), "")</f>
        <v>17.399999999999999</v>
      </c>
    </row>
    <row r="6" spans="1:18" ht="21.75" customHeight="1" x14ac:dyDescent="0.25">
      <c r="A6" s="69">
        <f>_xlfn.IFNA(IF('Interactive Selection Sheet'!$K9= "", VLOOKUP('Interactive Selection Sheet'!$L9, 'Master List Import'!$A$1:$P$519, 2, FALSE), ""), "")</f>
        <v>1005</v>
      </c>
      <c r="B6" s="69" t="str">
        <f>_xlfn.IFNA(IF('Interactive Selection Sheet'!$K9= "", VLOOKUP('Interactive Selection Sheet'!$L9, 'Master List Import'!$A$1:$P$519, 3, FALSE), ""), "")</f>
        <v>Thermal Set - 2X</v>
      </c>
      <c r="C6" s="76">
        <f>IF('Interactive Selection Sheet'!$T$2="", "", IF(B6="","",'Interactive Selection Sheet'!$T$2))</f>
        <v>3.5000000000000003E-2</v>
      </c>
      <c r="D6" s="70">
        <f>IF(B6 = "", "", 'Interactive Selection Sheet'!$Q$2)</f>
        <v>4.4999999999999998E-2</v>
      </c>
      <c r="E6" s="70">
        <f>IF(B6="","", 'Interactive Selection Sheet'!$R$2)</f>
        <v>0.02</v>
      </c>
      <c r="F6" s="69" t="str">
        <f>_xlfn.IFNA(IF('Interactive Selection Sheet'!K9= "", VLOOKUP('Interactive Selection Sheet'!$L9, 'Master List Import'!$A$1:$P$519, 4, FALSE), ""), "")</f>
        <v>Clothing</v>
      </c>
      <c r="G6" s="69" t="str">
        <f>_xlfn.IFNA(IF('Interactive Selection Sheet'!K9= "", VLOOKUP('Interactive Selection Sheet'!$L9, 'Master List Import'!$A$1:$P$519, 5, FALSE), ""), "")</f>
        <v>Clothing</v>
      </c>
      <c r="H6" s="69" t="str">
        <f>_xlfn.IFNA(IF('Interactive Selection Sheet'!K9= "", VLOOKUP('Interactive Selection Sheet'!$L9, 'Master List Import'!$A$1:$P$519, 6, FALSE), ""), "")</f>
        <v>Both</v>
      </c>
      <c r="I6" s="72">
        <f>_xlfn.IFNA(IF('Interactive Selection Sheet'!K9= "", VLOOKUP('Interactive Selection Sheet'!$L9, 'Master List Import'!$A$1:$P$519, 7, FALSE), ""), "")</f>
        <v>5.84</v>
      </c>
      <c r="J6" s="69" t="str">
        <f>_xlfn.IFNA(IF('Interactive Selection Sheet'!K9= "", VLOOKUP('Interactive Selection Sheet'!$L9, 'Master List Import'!$A$1:$P$519, 8, FALSE), ""), "")</f>
        <v>REI</v>
      </c>
      <c r="K6" s="69" t="str">
        <f>_xlfn.IFNA(IF('Interactive Selection Sheet'!K9= "", VLOOKUP('Interactive Selection Sheet'!$L9, 'Master List Import'!$A$1:$P$519, 9, FALSE), ""), "")</f>
        <v>1005</v>
      </c>
      <c r="L6" s="69">
        <f>_xlfn.IFNA(IF('Interactive Selection Sheet'!K9= "", VLOOKUP('Interactive Selection Sheet'!$L9, 'Master List Import'!$A$1:$P$519, 10, FALSE), ""), "")</f>
        <v>0</v>
      </c>
      <c r="M6" s="69">
        <f>_xlfn.IFNA(IF('Interactive Selection Sheet'!K9= "", VLOOKUP('Interactive Selection Sheet'!$L9, 'Master List Import'!$A$1:$P$519, 11, FALSE), ""), "")</f>
        <v>0</v>
      </c>
      <c r="N6" s="69">
        <f>_xlfn.IFNA(IF('Interactive Selection Sheet'!K9= "", VLOOKUP('Interactive Selection Sheet'!$L9, 'Master List Import'!$A$1:$P$519, 12, FALSE), ""), "")</f>
        <v>1</v>
      </c>
      <c r="O6" s="69">
        <f>_xlfn.IFNA(IF('Interactive Selection Sheet'!K9= "", VLOOKUP('Interactive Selection Sheet'!$L9, 'Master List Import'!$A$1:$P$519, 13, FALSE), ""), "")</f>
        <v>1005</v>
      </c>
      <c r="P6" s="69" t="str">
        <f>_xlfn.IFNA(IF('Interactive Selection Sheet'!K9= "", VLOOKUP('Interactive Selection Sheet'!$L9, 'Master List Import'!$A$1:$P$519, 14, FALSE), ""), "")</f>
        <v>Thermal Set (2X)</v>
      </c>
      <c r="Q6" s="69">
        <f>_xlfn.IFNA(IF('Interactive Selection Sheet'!K9= "", VLOOKUP('Interactive Selection Sheet'!$L9, 'Master List Import'!$A$1:$P$519, 15, FALSE), ""), "")</f>
        <v>1</v>
      </c>
      <c r="R6" s="74">
        <f>_xlfn.IFNA(IF('Interactive Selection Sheet'!K9= "", VLOOKUP('Interactive Selection Sheet'!$L9, 'Master List Import'!$A$1:$P$519, 16, FALSE), ""), "")</f>
        <v>20.399999999999999</v>
      </c>
    </row>
    <row r="7" spans="1:18" ht="21.75" customHeight="1" x14ac:dyDescent="0.25">
      <c r="A7" s="69">
        <f>_xlfn.IFNA(IF('Interactive Selection Sheet'!$K10= "", VLOOKUP('Interactive Selection Sheet'!$L10, 'Master List Import'!$A$1:$P$519, 2, FALSE), ""), "")</f>
        <v>1006</v>
      </c>
      <c r="B7" s="69" t="str">
        <f>_xlfn.IFNA(IF('Interactive Selection Sheet'!$K10= "", VLOOKUP('Interactive Selection Sheet'!$L10, 'Master List Import'!$A$1:$P$519, 3, FALSE), ""), "")</f>
        <v>Thermal Set - 3X</v>
      </c>
      <c r="C7" s="76">
        <f>IF('Interactive Selection Sheet'!$T$2="", "", IF(B7="","",'Interactive Selection Sheet'!$T$2))</f>
        <v>3.5000000000000003E-2</v>
      </c>
      <c r="D7" s="70">
        <f>IF(B7 = "", "", 'Interactive Selection Sheet'!$Q$2)</f>
        <v>4.4999999999999998E-2</v>
      </c>
      <c r="E7" s="70">
        <f>IF(B7="","", 'Interactive Selection Sheet'!$R$2)</f>
        <v>0.02</v>
      </c>
      <c r="F7" s="69" t="str">
        <f>_xlfn.IFNA(IF('Interactive Selection Sheet'!K10= "", VLOOKUP('Interactive Selection Sheet'!$L10, 'Master List Import'!$A$1:$P$519, 4, FALSE), ""), "")</f>
        <v>Clothing</v>
      </c>
      <c r="G7" s="69" t="str">
        <f>_xlfn.IFNA(IF('Interactive Selection Sheet'!K10= "", VLOOKUP('Interactive Selection Sheet'!$L10, 'Master List Import'!$A$1:$P$519, 5, FALSE), ""), "")</f>
        <v>Clothing</v>
      </c>
      <c r="H7" s="69" t="str">
        <f>_xlfn.IFNA(IF('Interactive Selection Sheet'!K10= "", VLOOKUP('Interactive Selection Sheet'!$L10, 'Master List Import'!$A$1:$P$519, 6, FALSE), ""), "")</f>
        <v>Both</v>
      </c>
      <c r="I7" s="72">
        <f>_xlfn.IFNA(IF('Interactive Selection Sheet'!K10= "", VLOOKUP('Interactive Selection Sheet'!$L10, 'Master List Import'!$A$1:$P$519, 7, FALSE), ""), "")</f>
        <v>6.24</v>
      </c>
      <c r="J7" s="69" t="str">
        <f>_xlfn.IFNA(IF('Interactive Selection Sheet'!K10= "", VLOOKUP('Interactive Selection Sheet'!$L10, 'Master List Import'!$A$1:$P$519, 8, FALSE), ""), "")</f>
        <v>REI</v>
      </c>
      <c r="K7" s="69" t="str">
        <f>_xlfn.IFNA(IF('Interactive Selection Sheet'!K10= "", VLOOKUP('Interactive Selection Sheet'!$L10, 'Master List Import'!$A$1:$P$519, 9, FALSE), ""), "")</f>
        <v>1006</v>
      </c>
      <c r="L7" s="69">
        <f>_xlfn.IFNA(IF('Interactive Selection Sheet'!K10= "", VLOOKUP('Interactive Selection Sheet'!$L10, 'Master List Import'!$A$1:$P$519, 10, FALSE), ""), "")</f>
        <v>0</v>
      </c>
      <c r="M7" s="69">
        <f>_xlfn.IFNA(IF('Interactive Selection Sheet'!K10= "", VLOOKUP('Interactive Selection Sheet'!$L10, 'Master List Import'!$A$1:$P$519, 11, FALSE), ""), "")</f>
        <v>0</v>
      </c>
      <c r="N7" s="69">
        <f>_xlfn.IFNA(IF('Interactive Selection Sheet'!K10= "", VLOOKUP('Interactive Selection Sheet'!$L10, 'Master List Import'!$A$1:$P$519, 12, FALSE), ""), "")</f>
        <v>1</v>
      </c>
      <c r="O7" s="69">
        <f>_xlfn.IFNA(IF('Interactive Selection Sheet'!K10= "", VLOOKUP('Interactive Selection Sheet'!$L10, 'Master List Import'!$A$1:$P$519, 13, FALSE), ""), "")</f>
        <v>1006</v>
      </c>
      <c r="P7" s="69" t="str">
        <f>_xlfn.IFNA(IF('Interactive Selection Sheet'!K10= "", VLOOKUP('Interactive Selection Sheet'!$L10, 'Master List Import'!$A$1:$P$519, 14, FALSE), ""), "")</f>
        <v>Thermal Set (3X)</v>
      </c>
      <c r="Q7" s="69">
        <f>_xlfn.IFNA(IF('Interactive Selection Sheet'!K10= "", VLOOKUP('Interactive Selection Sheet'!$L10, 'Master List Import'!$A$1:$P$519, 15, FALSE), ""), "")</f>
        <v>1</v>
      </c>
      <c r="R7" s="74">
        <f>_xlfn.IFNA(IF('Interactive Selection Sheet'!K10= "", VLOOKUP('Interactive Selection Sheet'!$L10, 'Master List Import'!$A$1:$P$519, 16, FALSE), ""), "")</f>
        <v>21.8</v>
      </c>
    </row>
    <row r="8" spans="1:18" ht="21.75" customHeight="1" x14ac:dyDescent="0.25">
      <c r="A8" s="69">
        <f>_xlfn.IFNA(IF('Interactive Selection Sheet'!$K11= "", VLOOKUP('Interactive Selection Sheet'!$L11, 'Master List Import'!$A$1:$P$519, 2, FALSE), ""), "")</f>
        <v>1007</v>
      </c>
      <c r="B8" s="69" t="str">
        <f>_xlfn.IFNA(IF('Interactive Selection Sheet'!$K11= "", VLOOKUP('Interactive Selection Sheet'!$L11, 'Master List Import'!$A$1:$P$519, 3, FALSE), ""), "")</f>
        <v>Thermal Set - 4X</v>
      </c>
      <c r="C8" s="76">
        <f>IF('Interactive Selection Sheet'!$T$2="", "", IF(B8="","",'Interactive Selection Sheet'!$T$2))</f>
        <v>3.5000000000000003E-2</v>
      </c>
      <c r="D8" s="70">
        <f>IF(B8 = "", "", 'Interactive Selection Sheet'!$Q$2)</f>
        <v>4.4999999999999998E-2</v>
      </c>
      <c r="E8" s="70">
        <f>IF(B8="","", 'Interactive Selection Sheet'!$R$2)</f>
        <v>0.02</v>
      </c>
      <c r="F8" s="69" t="str">
        <f>_xlfn.IFNA(IF('Interactive Selection Sheet'!K11= "", VLOOKUP('Interactive Selection Sheet'!$L11, 'Master List Import'!$A$1:$P$519, 4, FALSE), ""), "")</f>
        <v>Clothing</v>
      </c>
      <c r="G8" s="69" t="str">
        <f>_xlfn.IFNA(IF('Interactive Selection Sheet'!K11= "", VLOOKUP('Interactive Selection Sheet'!$L11, 'Master List Import'!$A$1:$P$519, 5, FALSE), ""), "")</f>
        <v>Clothing</v>
      </c>
      <c r="H8" s="69" t="str">
        <f>_xlfn.IFNA(IF('Interactive Selection Sheet'!K11= "", VLOOKUP('Interactive Selection Sheet'!$L11, 'Master List Import'!$A$1:$P$519, 6, FALSE), ""), "")</f>
        <v>Both</v>
      </c>
      <c r="I8" s="72">
        <f>_xlfn.IFNA(IF('Interactive Selection Sheet'!K11= "", VLOOKUP('Interactive Selection Sheet'!$L11, 'Master List Import'!$A$1:$P$519, 7, FALSE), ""), "")</f>
        <v>6.64</v>
      </c>
      <c r="J8" s="69" t="str">
        <f>_xlfn.IFNA(IF('Interactive Selection Sheet'!K11= "", VLOOKUP('Interactive Selection Sheet'!$L11, 'Master List Import'!$A$1:$P$519, 8, FALSE), ""), "")</f>
        <v>REI</v>
      </c>
      <c r="K8" s="69" t="str">
        <f>_xlfn.IFNA(IF('Interactive Selection Sheet'!K11= "", VLOOKUP('Interactive Selection Sheet'!$L11, 'Master List Import'!$A$1:$P$519, 9, FALSE), ""), "")</f>
        <v>1007</v>
      </c>
      <c r="L8" s="69">
        <f>_xlfn.IFNA(IF('Interactive Selection Sheet'!K11= "", VLOOKUP('Interactive Selection Sheet'!$L11, 'Master List Import'!$A$1:$P$519, 10, FALSE), ""), "")</f>
        <v>0</v>
      </c>
      <c r="M8" s="69">
        <f>_xlfn.IFNA(IF('Interactive Selection Sheet'!K11= "", VLOOKUP('Interactive Selection Sheet'!$L11, 'Master List Import'!$A$1:$P$519, 11, FALSE), ""), "")</f>
        <v>0</v>
      </c>
      <c r="N8" s="69">
        <f>_xlfn.IFNA(IF('Interactive Selection Sheet'!K11= "", VLOOKUP('Interactive Selection Sheet'!$L11, 'Master List Import'!$A$1:$P$519, 12, FALSE), ""), "")</f>
        <v>1</v>
      </c>
      <c r="O8" s="69">
        <f>_xlfn.IFNA(IF('Interactive Selection Sheet'!K11= "", VLOOKUP('Interactive Selection Sheet'!$L11, 'Master List Import'!$A$1:$P$519, 13, FALSE), ""), "")</f>
        <v>1007</v>
      </c>
      <c r="P8" s="69" t="str">
        <f>_xlfn.IFNA(IF('Interactive Selection Sheet'!K11= "", VLOOKUP('Interactive Selection Sheet'!$L11, 'Master List Import'!$A$1:$P$519, 14, FALSE), ""), "")</f>
        <v>Thermal Set (4X)</v>
      </c>
      <c r="Q8" s="69">
        <f>_xlfn.IFNA(IF('Interactive Selection Sheet'!K11= "", VLOOKUP('Interactive Selection Sheet'!$L11, 'Master List Import'!$A$1:$P$519, 15, FALSE), ""), "")</f>
        <v>1</v>
      </c>
      <c r="R8" s="74">
        <f>_xlfn.IFNA(IF('Interactive Selection Sheet'!K11= "", VLOOKUP('Interactive Selection Sheet'!$L11, 'Master List Import'!$A$1:$P$519, 16, FALSE), ""), "")</f>
        <v>23.2</v>
      </c>
    </row>
    <row r="9" spans="1:18" ht="21.75" customHeight="1" x14ac:dyDescent="0.25">
      <c r="A9" s="69">
        <f>_xlfn.IFNA(IF('Interactive Selection Sheet'!$K12= "", VLOOKUP('Interactive Selection Sheet'!$L12, 'Master List Import'!$A$1:$P$519, 2, FALSE), ""), "")</f>
        <v>1008</v>
      </c>
      <c r="B9" s="69" t="str">
        <f>_xlfn.IFNA(IF('Interactive Selection Sheet'!$K12= "", VLOOKUP('Interactive Selection Sheet'!$L12, 'Master List Import'!$A$1:$P$519, 3, FALSE), ""), "")</f>
        <v>Thermal Set - 5X</v>
      </c>
      <c r="C9" s="76">
        <f>IF('Interactive Selection Sheet'!$T$2="", "", IF(B9="","",'Interactive Selection Sheet'!$T$2))</f>
        <v>3.5000000000000003E-2</v>
      </c>
      <c r="D9" s="70">
        <f>IF(B9 = "", "", 'Interactive Selection Sheet'!$Q$2)</f>
        <v>4.4999999999999998E-2</v>
      </c>
      <c r="E9" s="70">
        <f>IF(B9="","", 'Interactive Selection Sheet'!$R$2)</f>
        <v>0.02</v>
      </c>
      <c r="F9" s="69" t="str">
        <f>_xlfn.IFNA(IF('Interactive Selection Sheet'!K12= "", VLOOKUP('Interactive Selection Sheet'!$L12, 'Master List Import'!$A$1:$P$519, 4, FALSE), ""), "")</f>
        <v>Clothing</v>
      </c>
      <c r="G9" s="69" t="str">
        <f>_xlfn.IFNA(IF('Interactive Selection Sheet'!K12= "", VLOOKUP('Interactive Selection Sheet'!$L12, 'Master List Import'!$A$1:$P$519, 5, FALSE), ""), "")</f>
        <v>Clothing</v>
      </c>
      <c r="H9" s="69" t="str">
        <f>_xlfn.IFNA(IF('Interactive Selection Sheet'!K12= "", VLOOKUP('Interactive Selection Sheet'!$L12, 'Master List Import'!$A$1:$P$519, 6, FALSE), ""), "")</f>
        <v>Both</v>
      </c>
      <c r="I9" s="72">
        <f>_xlfn.IFNA(IF('Interactive Selection Sheet'!K12= "", VLOOKUP('Interactive Selection Sheet'!$L12, 'Master List Import'!$A$1:$P$519, 7, FALSE), ""), "")</f>
        <v>7.2</v>
      </c>
      <c r="J9" s="69" t="str">
        <f>_xlfn.IFNA(IF('Interactive Selection Sheet'!K12= "", VLOOKUP('Interactive Selection Sheet'!$L12, 'Master List Import'!$A$1:$P$519, 8, FALSE), ""), "")</f>
        <v>REI</v>
      </c>
      <c r="K9" s="69" t="str">
        <f>_xlfn.IFNA(IF('Interactive Selection Sheet'!K12= "", VLOOKUP('Interactive Selection Sheet'!$L12, 'Master List Import'!$A$1:$P$519, 9, FALSE), ""), "")</f>
        <v>1008</v>
      </c>
      <c r="L9" s="69">
        <f>_xlfn.IFNA(IF('Interactive Selection Sheet'!K12= "", VLOOKUP('Interactive Selection Sheet'!$L12, 'Master List Import'!$A$1:$P$519, 10, FALSE), ""), "")</f>
        <v>0</v>
      </c>
      <c r="M9" s="69">
        <f>_xlfn.IFNA(IF('Interactive Selection Sheet'!K12= "", VLOOKUP('Interactive Selection Sheet'!$L12, 'Master List Import'!$A$1:$P$519, 11, FALSE), ""), "")</f>
        <v>0</v>
      </c>
      <c r="N9" s="69">
        <f>_xlfn.IFNA(IF('Interactive Selection Sheet'!K12= "", VLOOKUP('Interactive Selection Sheet'!$L12, 'Master List Import'!$A$1:$P$519, 12, FALSE), ""), "")</f>
        <v>1</v>
      </c>
      <c r="O9" s="69">
        <f>_xlfn.IFNA(IF('Interactive Selection Sheet'!K12= "", VLOOKUP('Interactive Selection Sheet'!$L12, 'Master List Import'!$A$1:$P$519, 13, FALSE), ""), "")</f>
        <v>1008</v>
      </c>
      <c r="P9" s="69" t="str">
        <f>_xlfn.IFNA(IF('Interactive Selection Sheet'!K12= "", VLOOKUP('Interactive Selection Sheet'!$L12, 'Master List Import'!$A$1:$P$519, 14, FALSE), ""), "")</f>
        <v>Thermal Set (5X)</v>
      </c>
      <c r="Q9" s="69">
        <f>_xlfn.IFNA(IF('Interactive Selection Sheet'!K12= "", VLOOKUP('Interactive Selection Sheet'!$L12, 'Master List Import'!$A$1:$P$519, 15, FALSE), ""), "")</f>
        <v>1</v>
      </c>
      <c r="R9" s="74">
        <f>_xlfn.IFNA(IF('Interactive Selection Sheet'!K12= "", VLOOKUP('Interactive Selection Sheet'!$L12, 'Master List Import'!$A$1:$P$519, 16, FALSE), ""), "")</f>
        <v>25.2</v>
      </c>
    </row>
    <row r="10" spans="1:18" ht="21.75" customHeight="1" x14ac:dyDescent="0.25">
      <c r="A10" s="69">
        <f>_xlfn.IFNA(IF('Interactive Selection Sheet'!A5 = "", VLOOKUP('Interactive Selection Sheet'!$B5, 'Master List Import'!$A$1:$P$519, 2, FALSE), ""), "")</f>
        <v>1021</v>
      </c>
      <c r="B10" s="69" t="str">
        <f>_xlfn.IFNA(IF('Interactive Selection Sheet'!A5 = "", VLOOKUP('Interactive Selection Sheet'!$B5, 'Master List Import'!$A$1:$P$519, 3, FALSE), ""), "")</f>
        <v>Thermal Top - Sm</v>
      </c>
      <c r="C10" s="76">
        <f>IF('Interactive Selection Sheet'!$T$2="", "", IF(B10="","",'Interactive Selection Sheet'!$T$2))</f>
        <v>3.5000000000000003E-2</v>
      </c>
      <c r="D10" s="70">
        <f>IF(B10 = "", "", 'Interactive Selection Sheet'!$Q$2)</f>
        <v>4.4999999999999998E-2</v>
      </c>
      <c r="E10" s="70">
        <f>IF(B10="","", 'Interactive Selection Sheet'!$R$2)</f>
        <v>0.02</v>
      </c>
      <c r="F10" s="69" t="str">
        <f>_xlfn.IFNA(IF('Interactive Selection Sheet'!A5 = "", VLOOKUP('Interactive Selection Sheet'!$B5, 'Master List Import'!$A$1:$P$519, 4, FALSE), ""), "")</f>
        <v>Clothing</v>
      </c>
      <c r="G10" s="69" t="str">
        <f>_xlfn.IFNA(IF('Interactive Selection Sheet'!A5 = "", VLOOKUP('Interactive Selection Sheet'!$B5, 'Master List Import'!$A$1:$P$519, 5, FALSE), ""), "")</f>
        <v>Clothing</v>
      </c>
      <c r="H10" s="69" t="str">
        <f>_xlfn.IFNA(IF('Interactive Selection Sheet'!A5 = "", VLOOKUP('Interactive Selection Sheet'!$B5, 'Master List Import'!$A$1:$P$519, 6, FALSE), ""), "")</f>
        <v>Both</v>
      </c>
      <c r="I10" s="72">
        <f>_xlfn.IFNA(IF('Interactive Selection Sheet'!A5 = "", VLOOKUP('Interactive Selection Sheet'!$B5, 'Master List Import'!$A$1:$P$519, 7, FALSE), ""), "")</f>
        <v>2.48</v>
      </c>
      <c r="J10" s="69" t="str">
        <f>_xlfn.IFNA(IF('Interactive Selection Sheet'!A5 = "", VLOOKUP('Interactive Selection Sheet'!$B5, 'Master List Import'!$A$1:$P$519, 8, FALSE), ""), "")</f>
        <v>REI</v>
      </c>
      <c r="K10" s="69" t="str">
        <f>_xlfn.IFNA(IF('Interactive Selection Sheet'!A5 = "", VLOOKUP('Interactive Selection Sheet'!$B5, 'Master List Import'!$A$1:$P$519, 9, FALSE), ""), "")</f>
        <v>900701</v>
      </c>
      <c r="L10" s="69">
        <f>_xlfn.IFNA(IF('Interactive Selection Sheet'!A5 = "", VLOOKUP('Interactive Selection Sheet'!$B5, 'Master List Import'!$A$1:$P$519, 10, FALSE), ""), "")</f>
        <v>0</v>
      </c>
      <c r="M10" s="69">
        <f>_xlfn.IFNA(IF('Interactive Selection Sheet'!A5 = "", VLOOKUP('Interactive Selection Sheet'!$B5, 'Master List Import'!$A$1:$P$519, 11, FALSE), ""), "")</f>
        <v>0</v>
      </c>
      <c r="N10" s="69">
        <f>_xlfn.IFNA(IF('Interactive Selection Sheet'!A5 = "", VLOOKUP('Interactive Selection Sheet'!$B5, 'Master List Import'!$A$1:$P$519, 12, FALSE), ""), "")</f>
        <v>1</v>
      </c>
      <c r="O10" s="69">
        <f>_xlfn.IFNA(IF('Interactive Selection Sheet'!A5 = "", VLOOKUP('Interactive Selection Sheet'!$B5, 'Master List Import'!$A$1:$P$519, 13, FALSE), ""), "")</f>
        <v>1021</v>
      </c>
      <c r="P10" s="69" t="str">
        <f>_xlfn.IFNA(IF('Interactive Selection Sheet'!A5 = "", VLOOKUP('Interactive Selection Sheet'!$B5, 'Master List Import'!$A$1:$P$519, 14, FALSE), ""), "")</f>
        <v>Thermal Top (Sm)</v>
      </c>
      <c r="Q10" s="69">
        <f>_xlfn.IFNA(IF('Interactive Selection Sheet'!A5 = "", VLOOKUP('Interactive Selection Sheet'!$B5, 'Master List Import'!$A$1:$P$519, 15, FALSE), ""), "")</f>
        <v>1</v>
      </c>
      <c r="R10" s="74">
        <f>_xlfn.IFNA(IF('Interactive Selection Sheet'!A5 = "", VLOOKUP('Interactive Selection Sheet'!$B5, 'Master List Import'!$A$1:$P$519, 16, FALSE), ""), "")</f>
        <v>8.6999999999999993</v>
      </c>
    </row>
    <row r="11" spans="1:18" ht="21.75" customHeight="1" x14ac:dyDescent="0.25">
      <c r="A11" s="69">
        <f>_xlfn.IFNA(IF('Interactive Selection Sheet'!A6 = "", VLOOKUP('Interactive Selection Sheet'!$B6, 'Master List Import'!$A$1:$P$519, 2, FALSE), ""), "")</f>
        <v>1022</v>
      </c>
      <c r="B11" s="69" t="str">
        <f>_xlfn.IFNA(IF('Interactive Selection Sheet'!A6 = "", VLOOKUP('Interactive Selection Sheet'!$B6, 'Master List Import'!$A$1:$P$519, 3, FALSE), ""), "")</f>
        <v>Thermal Top - Md</v>
      </c>
      <c r="C11" s="76">
        <f>IF('Interactive Selection Sheet'!$T$2="", "", IF(B11="","",'Interactive Selection Sheet'!$T$2))</f>
        <v>3.5000000000000003E-2</v>
      </c>
      <c r="D11" s="70">
        <f>IF(B11 = "", "", 'Interactive Selection Sheet'!$Q$2)</f>
        <v>4.4999999999999998E-2</v>
      </c>
      <c r="E11" s="70">
        <f>IF(B11="","", 'Interactive Selection Sheet'!$R$2)</f>
        <v>0.02</v>
      </c>
      <c r="F11" s="69" t="str">
        <f>_xlfn.IFNA(IF('Interactive Selection Sheet'!A6 = "", VLOOKUP('Interactive Selection Sheet'!$B6, 'Master List Import'!$A$1:$P$519, 4, FALSE), ""), "")</f>
        <v>Clothing</v>
      </c>
      <c r="G11" s="69" t="str">
        <f>_xlfn.IFNA(IF('Interactive Selection Sheet'!A6 = "", VLOOKUP('Interactive Selection Sheet'!$B6, 'Master List Import'!$A$1:$P$519, 5, FALSE), ""), "")</f>
        <v>Clothing</v>
      </c>
      <c r="H11" s="69" t="str">
        <f>_xlfn.IFNA(IF('Interactive Selection Sheet'!A6 = "", VLOOKUP('Interactive Selection Sheet'!$B6, 'Master List Import'!$A$1:$P$519, 6, FALSE), ""), "")</f>
        <v>Both</v>
      </c>
      <c r="I11" s="72">
        <f>_xlfn.IFNA(IF('Interactive Selection Sheet'!A6 = "", VLOOKUP('Interactive Selection Sheet'!$B6, 'Master List Import'!$A$1:$P$519, 7, FALSE), ""), "")</f>
        <v>2.48</v>
      </c>
      <c r="J11" s="69" t="str">
        <f>_xlfn.IFNA(IF('Interactive Selection Sheet'!A6 = "", VLOOKUP('Interactive Selection Sheet'!$B6, 'Master List Import'!$A$1:$P$519, 8, FALSE), ""), "")</f>
        <v>REI</v>
      </c>
      <c r="K11" s="69" t="str">
        <f>_xlfn.IFNA(IF('Interactive Selection Sheet'!A6 = "", VLOOKUP('Interactive Selection Sheet'!$B6, 'Master List Import'!$A$1:$P$519, 9, FALSE), ""), "")</f>
        <v>900702</v>
      </c>
      <c r="L11" s="69">
        <f>_xlfn.IFNA(IF('Interactive Selection Sheet'!A6 = "", VLOOKUP('Interactive Selection Sheet'!$B6, 'Master List Import'!$A$1:$P$519, 10, FALSE), ""), "")</f>
        <v>0</v>
      </c>
      <c r="M11" s="69">
        <f>_xlfn.IFNA(IF('Interactive Selection Sheet'!A6 = "", VLOOKUP('Interactive Selection Sheet'!$B6, 'Master List Import'!$A$1:$P$519, 11, FALSE), ""), "")</f>
        <v>0</v>
      </c>
      <c r="N11" s="69">
        <f>_xlfn.IFNA(IF('Interactive Selection Sheet'!A6 = "", VLOOKUP('Interactive Selection Sheet'!$B6, 'Master List Import'!$A$1:$P$519, 12, FALSE), ""), "")</f>
        <v>1</v>
      </c>
      <c r="O11" s="69">
        <f>_xlfn.IFNA(IF('Interactive Selection Sheet'!A6 = "", VLOOKUP('Interactive Selection Sheet'!$B6, 'Master List Import'!$A$1:$P$519, 13, FALSE), ""), "")</f>
        <v>1022</v>
      </c>
      <c r="P11" s="69" t="str">
        <f>_xlfn.IFNA(IF('Interactive Selection Sheet'!A6 = "", VLOOKUP('Interactive Selection Sheet'!$B6, 'Master List Import'!$A$1:$P$519, 14, FALSE), ""), "")</f>
        <v>Thermal Top (Md)</v>
      </c>
      <c r="Q11" s="69">
        <f>_xlfn.IFNA(IF('Interactive Selection Sheet'!A6 = "", VLOOKUP('Interactive Selection Sheet'!$B6, 'Master List Import'!$A$1:$P$519, 15, FALSE), ""), "")</f>
        <v>1</v>
      </c>
      <c r="R11" s="74">
        <f>_xlfn.IFNA(IF('Interactive Selection Sheet'!A6 = "", VLOOKUP('Interactive Selection Sheet'!$B6, 'Master List Import'!$A$1:$P$519, 16, FALSE), ""), "")</f>
        <v>8.6999999999999993</v>
      </c>
    </row>
    <row r="12" spans="1:18" ht="21.75" customHeight="1" x14ac:dyDescent="0.25">
      <c r="A12" s="69">
        <f>_xlfn.IFNA(IF('Interactive Selection Sheet'!A7 = "", VLOOKUP('Interactive Selection Sheet'!$B7, 'Master List Import'!$A$1:$P$519, 2, FALSE), ""), "")</f>
        <v>1023</v>
      </c>
      <c r="B12" s="69" t="str">
        <f>_xlfn.IFNA(IF('Interactive Selection Sheet'!A7 = "", VLOOKUP('Interactive Selection Sheet'!$B7, 'Master List Import'!$A$1:$P$519, 3, FALSE), ""), "")</f>
        <v>Thermal Top - Lg</v>
      </c>
      <c r="C12" s="76">
        <f>IF('Interactive Selection Sheet'!$T$2="", "", IF(B12="","",'Interactive Selection Sheet'!$T$2))</f>
        <v>3.5000000000000003E-2</v>
      </c>
      <c r="D12" s="70">
        <f>IF(B12 = "", "", 'Interactive Selection Sheet'!$Q$2)</f>
        <v>4.4999999999999998E-2</v>
      </c>
      <c r="E12" s="70">
        <f>IF(B12="","", 'Interactive Selection Sheet'!$R$2)</f>
        <v>0.02</v>
      </c>
      <c r="F12" s="69" t="str">
        <f>_xlfn.IFNA(IF('Interactive Selection Sheet'!A7 = "", VLOOKUP('Interactive Selection Sheet'!$B7, 'Master List Import'!$A$1:$P$519, 4, FALSE), ""), "")</f>
        <v>Clothing</v>
      </c>
      <c r="G12" s="69" t="str">
        <f>_xlfn.IFNA(IF('Interactive Selection Sheet'!A7 = "", VLOOKUP('Interactive Selection Sheet'!$B7, 'Master List Import'!$A$1:$P$519, 5, FALSE), ""), "")</f>
        <v>Clothing</v>
      </c>
      <c r="H12" s="69" t="str">
        <f>_xlfn.IFNA(IF('Interactive Selection Sheet'!A7 = "", VLOOKUP('Interactive Selection Sheet'!$B7, 'Master List Import'!$A$1:$P$519, 6, FALSE), ""), "")</f>
        <v>Both</v>
      </c>
      <c r="I12" s="72">
        <f>_xlfn.IFNA(IF('Interactive Selection Sheet'!A7 = "", VLOOKUP('Interactive Selection Sheet'!$B7, 'Master List Import'!$A$1:$P$519, 7, FALSE), ""), "")</f>
        <v>2.48</v>
      </c>
      <c r="J12" s="69" t="str">
        <f>_xlfn.IFNA(IF('Interactive Selection Sheet'!A7 = "", VLOOKUP('Interactive Selection Sheet'!$B7, 'Master List Import'!$A$1:$P$519, 8, FALSE), ""), "")</f>
        <v>REI</v>
      </c>
      <c r="K12" s="69" t="str">
        <f>_xlfn.IFNA(IF('Interactive Selection Sheet'!A7 = "", VLOOKUP('Interactive Selection Sheet'!$B7, 'Master List Import'!$A$1:$P$519, 9, FALSE), ""), "")</f>
        <v>900703</v>
      </c>
      <c r="L12" s="69">
        <f>_xlfn.IFNA(IF('Interactive Selection Sheet'!A7 = "", VLOOKUP('Interactive Selection Sheet'!$B7, 'Master List Import'!$A$1:$P$519, 10, FALSE), ""), "")</f>
        <v>0</v>
      </c>
      <c r="M12" s="69">
        <f>_xlfn.IFNA(IF('Interactive Selection Sheet'!A7 = "", VLOOKUP('Interactive Selection Sheet'!$B7, 'Master List Import'!$A$1:$P$519, 11, FALSE), ""), "")</f>
        <v>0</v>
      </c>
      <c r="N12" s="69">
        <f>_xlfn.IFNA(IF('Interactive Selection Sheet'!A7 = "", VLOOKUP('Interactive Selection Sheet'!$B7, 'Master List Import'!$A$1:$P$519, 12, FALSE), ""), "")</f>
        <v>1</v>
      </c>
      <c r="O12" s="69">
        <f>_xlfn.IFNA(IF('Interactive Selection Sheet'!A7 = "", VLOOKUP('Interactive Selection Sheet'!$B7, 'Master List Import'!$A$1:$P$519, 13, FALSE), ""), "")</f>
        <v>1023</v>
      </c>
      <c r="P12" s="69" t="str">
        <f>_xlfn.IFNA(IF('Interactive Selection Sheet'!A7 = "", VLOOKUP('Interactive Selection Sheet'!$B7, 'Master List Import'!$A$1:$P$519, 14, FALSE), ""), "")</f>
        <v>Thermal Top (Lg)</v>
      </c>
      <c r="Q12" s="69">
        <f>_xlfn.IFNA(IF('Interactive Selection Sheet'!A7 = "", VLOOKUP('Interactive Selection Sheet'!$B7, 'Master List Import'!$A$1:$P$519, 15, FALSE), ""), "")</f>
        <v>1</v>
      </c>
      <c r="R12" s="74">
        <f>_xlfn.IFNA(IF('Interactive Selection Sheet'!A7 = "", VLOOKUP('Interactive Selection Sheet'!$B7, 'Master List Import'!$A$1:$P$519, 16, FALSE), ""), "")</f>
        <v>8.6999999999999993</v>
      </c>
    </row>
    <row r="13" spans="1:18" ht="21.75" customHeight="1" x14ac:dyDescent="0.25">
      <c r="A13" s="69">
        <f>_xlfn.IFNA(IF('Interactive Selection Sheet'!A8 = "", VLOOKUP('Interactive Selection Sheet'!$B8, 'Master List Import'!$A$1:$P$519, 2, FALSE), ""), "")</f>
        <v>1024</v>
      </c>
      <c r="B13" s="69" t="str">
        <f>_xlfn.IFNA(IF('Interactive Selection Sheet'!A8 = "", VLOOKUP('Interactive Selection Sheet'!$B8, 'Master List Import'!$A$1:$P$519, 3, FALSE), ""), "")</f>
        <v>Thermal Top - XL</v>
      </c>
      <c r="C13" s="76">
        <f>IF('Interactive Selection Sheet'!$T$2="", "", IF(B13="","",'Interactive Selection Sheet'!$T$2))</f>
        <v>3.5000000000000003E-2</v>
      </c>
      <c r="D13" s="70">
        <f>IF(B13 = "", "", 'Interactive Selection Sheet'!$Q$2)</f>
        <v>4.4999999999999998E-2</v>
      </c>
      <c r="E13" s="70">
        <f>IF(B13="","", 'Interactive Selection Sheet'!$R$2)</f>
        <v>0.02</v>
      </c>
      <c r="F13" s="69" t="str">
        <f>_xlfn.IFNA(IF('Interactive Selection Sheet'!A8 = "", VLOOKUP('Interactive Selection Sheet'!$B8, 'Master List Import'!$A$1:$P$519, 4, FALSE), ""), "")</f>
        <v>Clothing</v>
      </c>
      <c r="G13" s="69" t="str">
        <f>_xlfn.IFNA(IF('Interactive Selection Sheet'!A8 = "", VLOOKUP('Interactive Selection Sheet'!$B8, 'Master List Import'!$A$1:$P$519, 5, FALSE), ""), "")</f>
        <v>Clothing</v>
      </c>
      <c r="H13" s="69" t="str">
        <f>_xlfn.IFNA(IF('Interactive Selection Sheet'!A8 = "", VLOOKUP('Interactive Selection Sheet'!$B8, 'Master List Import'!$A$1:$P$519, 6, FALSE), ""), "")</f>
        <v>Both</v>
      </c>
      <c r="I13" s="72">
        <f>_xlfn.IFNA(IF('Interactive Selection Sheet'!A8 = "", VLOOKUP('Interactive Selection Sheet'!$B8, 'Master List Import'!$A$1:$P$519, 7, FALSE), ""), "")</f>
        <v>2.48</v>
      </c>
      <c r="J13" s="69" t="str">
        <f>_xlfn.IFNA(IF('Interactive Selection Sheet'!A8 = "", VLOOKUP('Interactive Selection Sheet'!$B8, 'Master List Import'!$A$1:$P$519, 8, FALSE), ""), "")</f>
        <v>REI</v>
      </c>
      <c r="K13" s="69" t="str">
        <f>_xlfn.IFNA(IF('Interactive Selection Sheet'!A8 = "", VLOOKUP('Interactive Selection Sheet'!$B8, 'Master List Import'!$A$1:$P$519, 9, FALSE), ""), "")</f>
        <v>900704</v>
      </c>
      <c r="L13" s="69">
        <f>_xlfn.IFNA(IF('Interactive Selection Sheet'!A8 = "", VLOOKUP('Interactive Selection Sheet'!$B8, 'Master List Import'!$A$1:$P$519, 10, FALSE), ""), "")</f>
        <v>0</v>
      </c>
      <c r="M13" s="69">
        <f>_xlfn.IFNA(IF('Interactive Selection Sheet'!A8 = "", VLOOKUP('Interactive Selection Sheet'!$B8, 'Master List Import'!$A$1:$P$519, 11, FALSE), ""), "")</f>
        <v>0</v>
      </c>
      <c r="N13" s="69">
        <f>_xlfn.IFNA(IF('Interactive Selection Sheet'!A8 = "", VLOOKUP('Interactive Selection Sheet'!$B8, 'Master List Import'!$A$1:$P$519, 12, FALSE), ""), "")</f>
        <v>1</v>
      </c>
      <c r="O13" s="69">
        <f>_xlfn.IFNA(IF('Interactive Selection Sheet'!A8 = "", VLOOKUP('Interactive Selection Sheet'!$B8, 'Master List Import'!$A$1:$P$519, 13, FALSE), ""), "")</f>
        <v>1024</v>
      </c>
      <c r="P13" s="69" t="str">
        <f>_xlfn.IFNA(IF('Interactive Selection Sheet'!A8 = "", VLOOKUP('Interactive Selection Sheet'!$B8, 'Master List Import'!$A$1:$P$519, 14, FALSE), ""), "")</f>
        <v>Thermal Top (XL)</v>
      </c>
      <c r="Q13" s="69">
        <f>_xlfn.IFNA(IF('Interactive Selection Sheet'!A8 = "", VLOOKUP('Interactive Selection Sheet'!$B8, 'Master List Import'!$A$1:$P$519, 15, FALSE), ""), "")</f>
        <v>1</v>
      </c>
      <c r="R13" s="74">
        <f>_xlfn.IFNA(IF('Interactive Selection Sheet'!A8 = "", VLOOKUP('Interactive Selection Sheet'!$B8, 'Master List Import'!$A$1:$P$519, 16, FALSE), ""), "")</f>
        <v>8.6999999999999993</v>
      </c>
    </row>
    <row r="14" spans="1:18" ht="21.75" customHeight="1" x14ac:dyDescent="0.25">
      <c r="A14" s="69">
        <f>_xlfn.IFNA(IF('Interactive Selection Sheet'!A9 = "", VLOOKUP('Interactive Selection Sheet'!$B9, 'Master List Import'!$A$1:$P$519, 2, FALSE), ""), "")</f>
        <v>1025</v>
      </c>
      <c r="B14" s="69" t="str">
        <f>_xlfn.IFNA(IF('Interactive Selection Sheet'!A9 = "", VLOOKUP('Interactive Selection Sheet'!$B9, 'Master List Import'!$A$1:$P$519, 3, FALSE), ""), "")</f>
        <v>Thermal Top - 2X</v>
      </c>
      <c r="C14" s="76">
        <f>IF('Interactive Selection Sheet'!$T$2="", "", IF(B14="","",'Interactive Selection Sheet'!$T$2))</f>
        <v>3.5000000000000003E-2</v>
      </c>
      <c r="D14" s="70">
        <f>IF(B14 = "", "", 'Interactive Selection Sheet'!$Q$2)</f>
        <v>4.4999999999999998E-2</v>
      </c>
      <c r="E14" s="70">
        <f>IF(B14="","", 'Interactive Selection Sheet'!$R$2)</f>
        <v>0.02</v>
      </c>
      <c r="F14" s="69" t="str">
        <f>_xlfn.IFNA(IF('Interactive Selection Sheet'!A9 = "", VLOOKUP('Interactive Selection Sheet'!$B9, 'Master List Import'!$A$1:$P$519, 4, FALSE), ""), "")</f>
        <v>Clothing</v>
      </c>
      <c r="G14" s="69" t="str">
        <f>_xlfn.IFNA(IF('Interactive Selection Sheet'!A9 = "", VLOOKUP('Interactive Selection Sheet'!$B9, 'Master List Import'!$A$1:$P$519, 5, FALSE), ""), "")</f>
        <v>Clothing</v>
      </c>
      <c r="H14" s="69" t="str">
        <f>_xlfn.IFNA(IF('Interactive Selection Sheet'!A9 = "", VLOOKUP('Interactive Selection Sheet'!$B9, 'Master List Import'!$A$1:$P$519, 6, FALSE), ""), "")</f>
        <v>Both</v>
      </c>
      <c r="I14" s="72">
        <f>_xlfn.IFNA(IF('Interactive Selection Sheet'!A9 = "", VLOOKUP('Interactive Selection Sheet'!$B9, 'Master List Import'!$A$1:$P$519, 7, FALSE), ""), "")</f>
        <v>2.92</v>
      </c>
      <c r="J14" s="69" t="str">
        <f>_xlfn.IFNA(IF('Interactive Selection Sheet'!A9 = "", VLOOKUP('Interactive Selection Sheet'!$B9, 'Master List Import'!$A$1:$P$519, 8, FALSE), ""), "")</f>
        <v>REI</v>
      </c>
      <c r="K14" s="69" t="str">
        <f>_xlfn.IFNA(IF('Interactive Selection Sheet'!A9 = "", VLOOKUP('Interactive Selection Sheet'!$B9, 'Master List Import'!$A$1:$P$519, 9, FALSE), ""), "")</f>
        <v>900705</v>
      </c>
      <c r="L14" s="69">
        <f>_xlfn.IFNA(IF('Interactive Selection Sheet'!A9 = "", VLOOKUP('Interactive Selection Sheet'!$B9, 'Master List Import'!$A$1:$P$519, 10, FALSE), ""), "")</f>
        <v>0</v>
      </c>
      <c r="M14" s="69">
        <f>_xlfn.IFNA(IF('Interactive Selection Sheet'!A9 = "", VLOOKUP('Interactive Selection Sheet'!$B9, 'Master List Import'!$A$1:$P$519, 11, FALSE), ""), "")</f>
        <v>0</v>
      </c>
      <c r="N14" s="69">
        <f>_xlfn.IFNA(IF('Interactive Selection Sheet'!A9 = "", VLOOKUP('Interactive Selection Sheet'!$B9, 'Master List Import'!$A$1:$P$519, 12, FALSE), ""), "")</f>
        <v>1</v>
      </c>
      <c r="O14" s="69">
        <f>_xlfn.IFNA(IF('Interactive Selection Sheet'!A9 = "", VLOOKUP('Interactive Selection Sheet'!$B9, 'Master List Import'!$A$1:$P$519, 13, FALSE), ""), "")</f>
        <v>1025</v>
      </c>
      <c r="P14" s="69" t="str">
        <f>_xlfn.IFNA(IF('Interactive Selection Sheet'!A9 = "", VLOOKUP('Interactive Selection Sheet'!$B9, 'Master List Import'!$A$1:$P$519, 14, FALSE), ""), "")</f>
        <v>Thermal Top (2X)</v>
      </c>
      <c r="Q14" s="69">
        <f>_xlfn.IFNA(IF('Interactive Selection Sheet'!A9 = "", VLOOKUP('Interactive Selection Sheet'!$B9, 'Master List Import'!$A$1:$P$519, 15, FALSE), ""), "")</f>
        <v>1</v>
      </c>
      <c r="R14" s="74">
        <f>_xlfn.IFNA(IF('Interactive Selection Sheet'!A9 = "", VLOOKUP('Interactive Selection Sheet'!$B9, 'Master List Import'!$A$1:$P$519, 16, FALSE), ""), "")</f>
        <v>10.199999999999999</v>
      </c>
    </row>
    <row r="15" spans="1:18" ht="21.75" customHeight="1" x14ac:dyDescent="0.25">
      <c r="A15" s="69">
        <f>_xlfn.IFNA(IF('Interactive Selection Sheet'!A10 = "", VLOOKUP('Interactive Selection Sheet'!$B10, 'Master List Import'!$A$1:$P$519, 2, FALSE), ""), "")</f>
        <v>1026</v>
      </c>
      <c r="B15" s="69" t="str">
        <f>_xlfn.IFNA(IF('Interactive Selection Sheet'!A10 = "", VLOOKUP('Interactive Selection Sheet'!$B10, 'Master List Import'!$A$1:$P$519, 3, FALSE), ""), "")</f>
        <v>Thermal Top - 3X</v>
      </c>
      <c r="C15" s="76">
        <f>IF('Interactive Selection Sheet'!$T$2="", "", IF(B15="","",'Interactive Selection Sheet'!$T$2))</f>
        <v>3.5000000000000003E-2</v>
      </c>
      <c r="D15" s="70">
        <f>IF(B15 = "", "", 'Interactive Selection Sheet'!$Q$2)</f>
        <v>4.4999999999999998E-2</v>
      </c>
      <c r="E15" s="70">
        <f>IF(B15="","", 'Interactive Selection Sheet'!$R$2)</f>
        <v>0.02</v>
      </c>
      <c r="F15" s="69" t="str">
        <f>_xlfn.IFNA(IF('Interactive Selection Sheet'!A10 = "", VLOOKUP('Interactive Selection Sheet'!$B10, 'Master List Import'!$A$1:$P$519, 4, FALSE), ""), "")</f>
        <v>Clothing</v>
      </c>
      <c r="G15" s="69" t="str">
        <f>_xlfn.IFNA(IF('Interactive Selection Sheet'!A10 = "", VLOOKUP('Interactive Selection Sheet'!$B10, 'Master List Import'!$A$1:$P$519, 5, FALSE), ""), "")</f>
        <v>Clothing</v>
      </c>
      <c r="H15" s="69" t="str">
        <f>_xlfn.IFNA(IF('Interactive Selection Sheet'!A10 = "", VLOOKUP('Interactive Selection Sheet'!$B10, 'Master List Import'!$A$1:$P$519, 6, FALSE), ""), "")</f>
        <v>Both</v>
      </c>
      <c r="I15" s="72">
        <f>_xlfn.IFNA(IF('Interactive Selection Sheet'!A10 = "", VLOOKUP('Interactive Selection Sheet'!$B10, 'Master List Import'!$A$1:$P$519, 7, FALSE), ""), "")</f>
        <v>3.12</v>
      </c>
      <c r="J15" s="69" t="str">
        <f>_xlfn.IFNA(IF('Interactive Selection Sheet'!A10 = "", VLOOKUP('Interactive Selection Sheet'!$B10, 'Master List Import'!$A$1:$P$519, 8, FALSE), ""), "")</f>
        <v>REI</v>
      </c>
      <c r="K15" s="69" t="str">
        <f>_xlfn.IFNA(IF('Interactive Selection Sheet'!A10 = "", VLOOKUP('Interactive Selection Sheet'!$B10, 'Master List Import'!$A$1:$P$519, 9, FALSE), ""), "")</f>
        <v>900706</v>
      </c>
      <c r="L15" s="69">
        <f>_xlfn.IFNA(IF('Interactive Selection Sheet'!A10 = "", VLOOKUP('Interactive Selection Sheet'!$B10, 'Master List Import'!$A$1:$P$519, 10, FALSE), ""), "")</f>
        <v>0</v>
      </c>
      <c r="M15" s="69">
        <f>_xlfn.IFNA(IF('Interactive Selection Sheet'!A10 = "", VLOOKUP('Interactive Selection Sheet'!$B10, 'Master List Import'!$A$1:$P$519, 11, FALSE), ""), "")</f>
        <v>0</v>
      </c>
      <c r="N15" s="69">
        <f>_xlfn.IFNA(IF('Interactive Selection Sheet'!A10 = "", VLOOKUP('Interactive Selection Sheet'!$B10, 'Master List Import'!$A$1:$P$519, 12, FALSE), ""), "")</f>
        <v>1</v>
      </c>
      <c r="O15" s="69">
        <f>_xlfn.IFNA(IF('Interactive Selection Sheet'!A10 = "", VLOOKUP('Interactive Selection Sheet'!$B10, 'Master List Import'!$A$1:$P$519, 13, FALSE), ""), "")</f>
        <v>1026</v>
      </c>
      <c r="P15" s="69" t="str">
        <f>_xlfn.IFNA(IF('Interactive Selection Sheet'!A10 = "", VLOOKUP('Interactive Selection Sheet'!$B10, 'Master List Import'!$A$1:$P$519, 14, FALSE), ""), "")</f>
        <v>Thermal Top (3X)</v>
      </c>
      <c r="Q15" s="69">
        <f>_xlfn.IFNA(IF('Interactive Selection Sheet'!A10 = "", VLOOKUP('Interactive Selection Sheet'!$B10, 'Master List Import'!$A$1:$P$519, 15, FALSE), ""), "")</f>
        <v>1</v>
      </c>
      <c r="R15" s="74">
        <f>_xlfn.IFNA(IF('Interactive Selection Sheet'!A10 = "", VLOOKUP('Interactive Selection Sheet'!$B10, 'Master List Import'!$A$1:$P$519, 16, FALSE), ""), "")</f>
        <v>10.9</v>
      </c>
    </row>
    <row r="16" spans="1:18" ht="21.75" customHeight="1" x14ac:dyDescent="0.25">
      <c r="A16" s="69">
        <f>_xlfn.IFNA(IF('Interactive Selection Sheet'!A11 = "", VLOOKUP('Interactive Selection Sheet'!$B11, 'Master List Import'!$A$1:$P$519, 2, FALSE), ""), "")</f>
        <v>1027</v>
      </c>
      <c r="B16" s="69" t="str">
        <f>_xlfn.IFNA(IF('Interactive Selection Sheet'!A11 = "", VLOOKUP('Interactive Selection Sheet'!$B11, 'Master List Import'!$A$1:$P$519, 3, FALSE), ""), "")</f>
        <v>Thermal Top - 4X</v>
      </c>
      <c r="C16" s="76">
        <f>IF('Interactive Selection Sheet'!$T$2="", "", IF(B16="","",'Interactive Selection Sheet'!$T$2))</f>
        <v>3.5000000000000003E-2</v>
      </c>
      <c r="D16" s="70">
        <f>IF(B16 = "", "", 'Interactive Selection Sheet'!$Q$2)</f>
        <v>4.4999999999999998E-2</v>
      </c>
      <c r="E16" s="70">
        <f>IF(B16="","", 'Interactive Selection Sheet'!$R$2)</f>
        <v>0.02</v>
      </c>
      <c r="F16" s="69" t="str">
        <f>_xlfn.IFNA(IF('Interactive Selection Sheet'!A11 = "", VLOOKUP('Interactive Selection Sheet'!$B11, 'Master List Import'!$A$1:$P$519, 4, FALSE), ""), "")</f>
        <v>Clothing</v>
      </c>
      <c r="G16" s="69" t="str">
        <f>_xlfn.IFNA(IF('Interactive Selection Sheet'!A11 = "", VLOOKUP('Interactive Selection Sheet'!$B11, 'Master List Import'!$A$1:$P$519, 5, FALSE), ""), "")</f>
        <v>Clothing</v>
      </c>
      <c r="H16" s="69" t="str">
        <f>_xlfn.IFNA(IF('Interactive Selection Sheet'!A11 = "", VLOOKUP('Interactive Selection Sheet'!$B11, 'Master List Import'!$A$1:$P$519, 6, FALSE), ""), "")</f>
        <v>Both</v>
      </c>
      <c r="I16" s="72">
        <f>_xlfn.IFNA(IF('Interactive Selection Sheet'!A11 = "", VLOOKUP('Interactive Selection Sheet'!$B11, 'Master List Import'!$A$1:$P$519, 7, FALSE), ""), "")</f>
        <v>3.32</v>
      </c>
      <c r="J16" s="69" t="str">
        <f>_xlfn.IFNA(IF('Interactive Selection Sheet'!A11 = "", VLOOKUP('Interactive Selection Sheet'!$B11, 'Master List Import'!$A$1:$P$519, 8, FALSE), ""), "")</f>
        <v>REI</v>
      </c>
      <c r="K16" s="69" t="str">
        <f>_xlfn.IFNA(IF('Interactive Selection Sheet'!A11 = "", VLOOKUP('Interactive Selection Sheet'!$B11, 'Master List Import'!$A$1:$P$519, 9, FALSE), ""), "")</f>
        <v>900707</v>
      </c>
      <c r="L16" s="69">
        <f>_xlfn.IFNA(IF('Interactive Selection Sheet'!A11 = "", VLOOKUP('Interactive Selection Sheet'!$B11, 'Master List Import'!$A$1:$P$519, 10, FALSE), ""), "")</f>
        <v>0</v>
      </c>
      <c r="M16" s="69">
        <f>_xlfn.IFNA(IF('Interactive Selection Sheet'!A11 = "", VLOOKUP('Interactive Selection Sheet'!$B11, 'Master List Import'!$A$1:$P$519, 11, FALSE), ""), "")</f>
        <v>0</v>
      </c>
      <c r="N16" s="69">
        <f>_xlfn.IFNA(IF('Interactive Selection Sheet'!A11 = "", VLOOKUP('Interactive Selection Sheet'!$B11, 'Master List Import'!$A$1:$P$519, 12, FALSE), ""), "")</f>
        <v>1</v>
      </c>
      <c r="O16" s="69">
        <f>_xlfn.IFNA(IF('Interactive Selection Sheet'!A11 = "", VLOOKUP('Interactive Selection Sheet'!$B11, 'Master List Import'!$A$1:$P$519, 13, FALSE), ""), "")</f>
        <v>1027</v>
      </c>
      <c r="P16" s="69" t="str">
        <f>_xlfn.IFNA(IF('Interactive Selection Sheet'!A11 = "", VLOOKUP('Interactive Selection Sheet'!$B11, 'Master List Import'!$A$1:$P$519, 14, FALSE), ""), "")</f>
        <v>Thermal Top (4X)</v>
      </c>
      <c r="Q16" s="69">
        <f>_xlfn.IFNA(IF('Interactive Selection Sheet'!A11 = "", VLOOKUP('Interactive Selection Sheet'!$B11, 'Master List Import'!$A$1:$P$519, 15, FALSE), ""), "")</f>
        <v>1</v>
      </c>
      <c r="R16" s="74">
        <f>_xlfn.IFNA(IF('Interactive Selection Sheet'!A11 = "", VLOOKUP('Interactive Selection Sheet'!$B11, 'Master List Import'!$A$1:$P$519, 16, FALSE), ""), "")</f>
        <v>11.6</v>
      </c>
    </row>
    <row r="17" spans="1:18" ht="21.75" customHeight="1" x14ac:dyDescent="0.25">
      <c r="A17" s="69">
        <f>_xlfn.IFNA(IF('Interactive Selection Sheet'!A12 = "", VLOOKUP('Interactive Selection Sheet'!$B12, 'Master List Import'!$A$1:$P$519, 2, FALSE), ""), "")</f>
        <v>1028</v>
      </c>
      <c r="B17" s="69" t="str">
        <f>_xlfn.IFNA(IF('Interactive Selection Sheet'!A12 = "", VLOOKUP('Interactive Selection Sheet'!$B12, 'Master List Import'!$A$1:$P$519, 3, FALSE), ""), "")</f>
        <v>Thermal Top - 5X</v>
      </c>
      <c r="C17" s="76">
        <f>IF('Interactive Selection Sheet'!$T$2="", "", IF(B17="","",'Interactive Selection Sheet'!$T$2))</f>
        <v>3.5000000000000003E-2</v>
      </c>
      <c r="D17" s="70">
        <f>IF(B17 = "", "", 'Interactive Selection Sheet'!$Q$2)</f>
        <v>4.4999999999999998E-2</v>
      </c>
      <c r="E17" s="70">
        <f>IF(B17="","", 'Interactive Selection Sheet'!$R$2)</f>
        <v>0.02</v>
      </c>
      <c r="F17" s="69" t="str">
        <f>_xlfn.IFNA(IF('Interactive Selection Sheet'!A12 = "", VLOOKUP('Interactive Selection Sheet'!$B12, 'Master List Import'!$A$1:$P$519, 4, FALSE), ""), "")</f>
        <v>Clothing</v>
      </c>
      <c r="G17" s="69" t="str">
        <f>_xlfn.IFNA(IF('Interactive Selection Sheet'!A12 = "", VLOOKUP('Interactive Selection Sheet'!$B12, 'Master List Import'!$A$1:$P$519, 5, FALSE), ""), "")</f>
        <v>Clothing</v>
      </c>
      <c r="H17" s="69" t="str">
        <f>_xlfn.IFNA(IF('Interactive Selection Sheet'!A12 = "", VLOOKUP('Interactive Selection Sheet'!$B12, 'Master List Import'!$A$1:$P$519, 6, FALSE), ""), "")</f>
        <v>Both</v>
      </c>
      <c r="I17" s="72">
        <f>_xlfn.IFNA(IF('Interactive Selection Sheet'!A12 = "", VLOOKUP('Interactive Selection Sheet'!$B12, 'Master List Import'!$A$1:$P$519, 7, FALSE), ""), "")</f>
        <v>3.6</v>
      </c>
      <c r="J17" s="69" t="str">
        <f>_xlfn.IFNA(IF('Interactive Selection Sheet'!A12 = "", VLOOKUP('Interactive Selection Sheet'!$B12, 'Master List Import'!$A$1:$P$519, 8, FALSE), ""), "")</f>
        <v>REI</v>
      </c>
      <c r="K17" s="69" t="str">
        <f>_xlfn.IFNA(IF('Interactive Selection Sheet'!A12 = "", VLOOKUP('Interactive Selection Sheet'!$B12, 'Master List Import'!$A$1:$P$519, 9, FALSE), ""), "")</f>
        <v>900708</v>
      </c>
      <c r="L17" s="69">
        <f>_xlfn.IFNA(IF('Interactive Selection Sheet'!A12 = "", VLOOKUP('Interactive Selection Sheet'!$B12, 'Master List Import'!$A$1:$P$519, 10, FALSE), ""), "")</f>
        <v>0</v>
      </c>
      <c r="M17" s="69">
        <f>_xlfn.IFNA(IF('Interactive Selection Sheet'!A12 = "", VLOOKUP('Interactive Selection Sheet'!$B12, 'Master List Import'!$A$1:$P$519, 11, FALSE), ""), "")</f>
        <v>0</v>
      </c>
      <c r="N17" s="69">
        <f>_xlfn.IFNA(IF('Interactive Selection Sheet'!A12 = "", VLOOKUP('Interactive Selection Sheet'!$B12, 'Master List Import'!$A$1:$P$519, 12, FALSE), ""), "")</f>
        <v>1</v>
      </c>
      <c r="O17" s="69">
        <f>_xlfn.IFNA(IF('Interactive Selection Sheet'!A12 = "", VLOOKUP('Interactive Selection Sheet'!$B12, 'Master List Import'!$A$1:$P$519, 13, FALSE), ""), "")</f>
        <v>1028</v>
      </c>
      <c r="P17" s="69" t="str">
        <f>_xlfn.IFNA(IF('Interactive Selection Sheet'!A12 = "", VLOOKUP('Interactive Selection Sheet'!$B12, 'Master List Import'!$A$1:$P$519, 14, FALSE), ""), "")</f>
        <v>Thermal Top (5X)</v>
      </c>
      <c r="Q17" s="69">
        <f>_xlfn.IFNA(IF('Interactive Selection Sheet'!A12 = "", VLOOKUP('Interactive Selection Sheet'!$B12, 'Master List Import'!$A$1:$P$519, 15, FALSE), ""), "")</f>
        <v>1</v>
      </c>
      <c r="R17" s="74">
        <f>_xlfn.IFNA(IF('Interactive Selection Sheet'!A12 = "", VLOOKUP('Interactive Selection Sheet'!$B12, 'Master List Import'!$A$1:$P$519, 16, FALSE), ""), "")</f>
        <v>12.6</v>
      </c>
    </row>
    <row r="18" spans="1:18" ht="21.75" customHeight="1" x14ac:dyDescent="0.25">
      <c r="A18" s="69">
        <f>_xlfn.IFNA(IF('Interactive Selection Sheet'!F5= "", VLOOKUP('Interactive Selection Sheet'!$G5, 'Master List Import'!$A$1:$P$519, 2, FALSE), ""), "")</f>
        <v>1041</v>
      </c>
      <c r="B18" s="69" t="str">
        <f>_xlfn.IFNA(IF('Interactive Selection Sheet'!F5= "", VLOOKUP('Interactive Selection Sheet'!$G5, 'Master List Import'!$A$1:$P$519, 3, FALSE), ""), "")</f>
        <v>Thermal Bottom - Sm</v>
      </c>
      <c r="C18" s="76">
        <f>IF('Interactive Selection Sheet'!$T$2="", "", IF(B18="","",'Interactive Selection Sheet'!$T$2))</f>
        <v>3.5000000000000003E-2</v>
      </c>
      <c r="D18" s="70">
        <f>IF(B18 = "", "", 'Interactive Selection Sheet'!$Q$2)</f>
        <v>4.4999999999999998E-2</v>
      </c>
      <c r="E18" s="70">
        <f>IF(B18="","", 'Interactive Selection Sheet'!$R$2)</f>
        <v>0.02</v>
      </c>
      <c r="F18" s="69" t="str">
        <f>_xlfn.IFNA(IF('Interactive Selection Sheet'!F5= "", VLOOKUP('Interactive Selection Sheet'!$G5, 'Master List Import'!$A$1:$P$519, 4, FALSE), ""), "")</f>
        <v>Clothing</v>
      </c>
      <c r="G18" s="69" t="str">
        <f>_xlfn.IFNA(IF('Interactive Selection Sheet'!F5= "", VLOOKUP('Interactive Selection Sheet'!$G5, 'Master List Import'!$A$1:$P$519, 5, FALSE), ""), "")</f>
        <v>Clothing</v>
      </c>
      <c r="H18" s="69" t="str">
        <f>_xlfn.IFNA(IF('Interactive Selection Sheet'!F5= "", VLOOKUP('Interactive Selection Sheet'!$G5, 'Master List Import'!$A$1:$P$519, 6, FALSE), ""), "")</f>
        <v>Both</v>
      </c>
      <c r="I18" s="72">
        <f>_xlfn.IFNA(IF('Interactive Selection Sheet'!F5= "", VLOOKUP('Interactive Selection Sheet'!$G5, 'Master List Import'!$A$1:$P$519, 7, FALSE), ""), "")</f>
        <v>2.48</v>
      </c>
      <c r="J18" s="69" t="str">
        <f>_xlfn.IFNA(IF('Interactive Selection Sheet'!F5= "", VLOOKUP('Interactive Selection Sheet'!$G5, 'Master List Import'!$A$1:$P$519, 8, FALSE), ""), "")</f>
        <v>REI</v>
      </c>
      <c r="K18" s="69" t="str">
        <f>_xlfn.IFNA(IF('Interactive Selection Sheet'!F5= "", VLOOKUP('Interactive Selection Sheet'!$G5, 'Master List Import'!$A$1:$P$519, 9, FALSE), ""), "")</f>
        <v>900801</v>
      </c>
      <c r="L18" s="69">
        <f>_xlfn.IFNA(IF('Interactive Selection Sheet'!F5= "", VLOOKUP('Interactive Selection Sheet'!$G5, 'Master List Import'!$A$1:$P$519, 10, FALSE), ""), "")</f>
        <v>0</v>
      </c>
      <c r="M18" s="69">
        <f>_xlfn.IFNA(IF('Interactive Selection Sheet'!F5= "", VLOOKUP('Interactive Selection Sheet'!$G5, 'Master List Import'!$A$1:$P$519, 11, FALSE), ""), "")</f>
        <v>0</v>
      </c>
      <c r="N18" s="69">
        <f>_xlfn.IFNA(IF('Interactive Selection Sheet'!F5= "", VLOOKUP('Interactive Selection Sheet'!$G5, 'Master List Import'!$A$1:$P$519, 12, FALSE), ""), "")</f>
        <v>1</v>
      </c>
      <c r="O18" s="69">
        <f>_xlfn.IFNA(IF('Interactive Selection Sheet'!F5= "", VLOOKUP('Interactive Selection Sheet'!$G5, 'Master List Import'!$A$1:$P$519, 13, FALSE), ""), "")</f>
        <v>1041</v>
      </c>
      <c r="P18" s="69" t="str">
        <f>_xlfn.IFNA(IF('Interactive Selection Sheet'!F5= "", VLOOKUP('Interactive Selection Sheet'!$G5, 'Master List Import'!$A$1:$P$519, 14, FALSE), ""), "")</f>
        <v>Thermal Bottom (Sm)</v>
      </c>
      <c r="Q18" s="69">
        <f>_xlfn.IFNA(IF('Interactive Selection Sheet'!F5= "", VLOOKUP('Interactive Selection Sheet'!$G5, 'Master List Import'!$A$1:$P$519, 15, FALSE), ""), "")</f>
        <v>1</v>
      </c>
      <c r="R18" s="74">
        <f>_xlfn.IFNA(IF('Interactive Selection Sheet'!F5= "", VLOOKUP('Interactive Selection Sheet'!$G5, 'Master List Import'!$A$1:$P$519, 16, FALSE), ""), "")</f>
        <v>8.6999999999999993</v>
      </c>
    </row>
    <row r="19" spans="1:18" ht="21.75" customHeight="1" x14ac:dyDescent="0.25">
      <c r="A19" s="69">
        <f>_xlfn.IFNA(IF('Interactive Selection Sheet'!F6= "", VLOOKUP('Interactive Selection Sheet'!$G6, 'Master List Import'!$A$1:$P$519, 2, FALSE), ""), "")</f>
        <v>1042</v>
      </c>
      <c r="B19" s="69" t="str">
        <f>_xlfn.IFNA(IF('Interactive Selection Sheet'!F6= "", VLOOKUP('Interactive Selection Sheet'!$G6, 'Master List Import'!$A$1:$P$519, 3, FALSE), ""), "")</f>
        <v>Thermal Bottom - Md</v>
      </c>
      <c r="C19" s="76">
        <f>IF('Interactive Selection Sheet'!$T$2="", "", IF(B19="","",'Interactive Selection Sheet'!$T$2))</f>
        <v>3.5000000000000003E-2</v>
      </c>
      <c r="D19" s="70">
        <f>IF(B19 = "", "", 'Interactive Selection Sheet'!$Q$2)</f>
        <v>4.4999999999999998E-2</v>
      </c>
      <c r="E19" s="70">
        <f>IF(B19="","", 'Interactive Selection Sheet'!$R$2)</f>
        <v>0.02</v>
      </c>
      <c r="F19" s="69" t="str">
        <f>_xlfn.IFNA(IF('Interactive Selection Sheet'!F6= "", VLOOKUP('Interactive Selection Sheet'!$G6, 'Master List Import'!$A$1:$P$519, 4, FALSE), ""), "")</f>
        <v>Clothing</v>
      </c>
      <c r="G19" s="69" t="str">
        <f>_xlfn.IFNA(IF('Interactive Selection Sheet'!F6= "", VLOOKUP('Interactive Selection Sheet'!$G6, 'Master List Import'!$A$1:$P$519, 5, FALSE), ""), "")</f>
        <v>Clothing</v>
      </c>
      <c r="H19" s="69" t="str">
        <f>_xlfn.IFNA(IF('Interactive Selection Sheet'!F6= "", VLOOKUP('Interactive Selection Sheet'!$G6, 'Master List Import'!$A$1:$P$519, 6, FALSE), ""), "")</f>
        <v>Both</v>
      </c>
      <c r="I19" s="72">
        <f>_xlfn.IFNA(IF('Interactive Selection Sheet'!F6= "", VLOOKUP('Interactive Selection Sheet'!$G6, 'Master List Import'!$A$1:$P$519, 7, FALSE), ""), "")</f>
        <v>2.48</v>
      </c>
      <c r="J19" s="69" t="str">
        <f>_xlfn.IFNA(IF('Interactive Selection Sheet'!F6= "", VLOOKUP('Interactive Selection Sheet'!$G6, 'Master List Import'!$A$1:$P$519, 8, FALSE), ""), "")</f>
        <v>REI</v>
      </c>
      <c r="K19" s="69" t="str">
        <f>_xlfn.IFNA(IF('Interactive Selection Sheet'!F6= "", VLOOKUP('Interactive Selection Sheet'!$G6, 'Master List Import'!$A$1:$P$519, 9, FALSE), ""), "")</f>
        <v>900802</v>
      </c>
      <c r="L19" s="69">
        <f>_xlfn.IFNA(IF('Interactive Selection Sheet'!F6= "", VLOOKUP('Interactive Selection Sheet'!$G6, 'Master List Import'!$A$1:$P$519, 10, FALSE), ""), "")</f>
        <v>0</v>
      </c>
      <c r="M19" s="69">
        <f>_xlfn.IFNA(IF('Interactive Selection Sheet'!F6= "", VLOOKUP('Interactive Selection Sheet'!$G6, 'Master List Import'!$A$1:$P$519, 11, FALSE), ""), "")</f>
        <v>0</v>
      </c>
      <c r="N19" s="69">
        <f>_xlfn.IFNA(IF('Interactive Selection Sheet'!F6= "", VLOOKUP('Interactive Selection Sheet'!$G6, 'Master List Import'!$A$1:$P$519, 12, FALSE), ""), "")</f>
        <v>1</v>
      </c>
      <c r="O19" s="69">
        <f>_xlfn.IFNA(IF('Interactive Selection Sheet'!F6= "", VLOOKUP('Interactive Selection Sheet'!$G6, 'Master List Import'!$A$1:$P$519, 13, FALSE), ""), "")</f>
        <v>1042</v>
      </c>
      <c r="P19" s="69" t="str">
        <f>_xlfn.IFNA(IF('Interactive Selection Sheet'!F6= "", VLOOKUP('Interactive Selection Sheet'!$G6, 'Master List Import'!$A$1:$P$519, 14, FALSE), ""), "")</f>
        <v>Thermal Bottom (Md)</v>
      </c>
      <c r="Q19" s="69">
        <f>_xlfn.IFNA(IF('Interactive Selection Sheet'!F6= "", VLOOKUP('Interactive Selection Sheet'!$G6, 'Master List Import'!$A$1:$P$519, 15, FALSE), ""), "")</f>
        <v>1</v>
      </c>
      <c r="R19" s="74">
        <f>_xlfn.IFNA(IF('Interactive Selection Sheet'!F6= "", VLOOKUP('Interactive Selection Sheet'!$G6, 'Master List Import'!$A$1:$P$519, 16, FALSE), ""), "")</f>
        <v>8.6999999999999993</v>
      </c>
    </row>
    <row r="20" spans="1:18" ht="21.75" customHeight="1" x14ac:dyDescent="0.25">
      <c r="A20" s="69">
        <f>_xlfn.IFNA(IF('Interactive Selection Sheet'!F7= "", VLOOKUP('Interactive Selection Sheet'!$G7, 'Master List Import'!$A$1:$P$519, 2, FALSE), ""), "")</f>
        <v>1043</v>
      </c>
      <c r="B20" s="69" t="str">
        <f>_xlfn.IFNA(IF('Interactive Selection Sheet'!F7= "", VLOOKUP('Interactive Selection Sheet'!$G7, 'Master List Import'!$A$1:$P$519, 3, FALSE), ""), "")</f>
        <v>Thermal Bottom - Lg</v>
      </c>
      <c r="C20" s="76">
        <f>IF('Interactive Selection Sheet'!$T$2="", "", IF(B20="","",'Interactive Selection Sheet'!$T$2))</f>
        <v>3.5000000000000003E-2</v>
      </c>
      <c r="D20" s="70">
        <f>IF(B20 = "", "", 'Interactive Selection Sheet'!$Q$2)</f>
        <v>4.4999999999999998E-2</v>
      </c>
      <c r="E20" s="70">
        <f>IF(B20="","", 'Interactive Selection Sheet'!$R$2)</f>
        <v>0.02</v>
      </c>
      <c r="F20" s="69" t="str">
        <f>_xlfn.IFNA(IF('Interactive Selection Sheet'!F7= "", VLOOKUP('Interactive Selection Sheet'!$G7, 'Master List Import'!$A$1:$P$519, 4, FALSE), ""), "")</f>
        <v>Clothing</v>
      </c>
      <c r="G20" s="69" t="str">
        <f>_xlfn.IFNA(IF('Interactive Selection Sheet'!F7= "", VLOOKUP('Interactive Selection Sheet'!$G7, 'Master List Import'!$A$1:$P$519, 5, FALSE), ""), "")</f>
        <v>Clothing</v>
      </c>
      <c r="H20" s="69" t="str">
        <f>_xlfn.IFNA(IF('Interactive Selection Sheet'!F7= "", VLOOKUP('Interactive Selection Sheet'!$G7, 'Master List Import'!$A$1:$P$519, 6, FALSE), ""), "")</f>
        <v>Both</v>
      </c>
      <c r="I20" s="72">
        <f>_xlfn.IFNA(IF('Interactive Selection Sheet'!F7= "", VLOOKUP('Interactive Selection Sheet'!$G7, 'Master List Import'!$A$1:$P$519, 7, FALSE), ""), "")</f>
        <v>2.48</v>
      </c>
      <c r="J20" s="69" t="str">
        <f>_xlfn.IFNA(IF('Interactive Selection Sheet'!F7= "", VLOOKUP('Interactive Selection Sheet'!$G7, 'Master List Import'!$A$1:$P$519, 8, FALSE), ""), "")</f>
        <v>REI</v>
      </c>
      <c r="K20" s="69" t="str">
        <f>_xlfn.IFNA(IF('Interactive Selection Sheet'!F7= "", VLOOKUP('Interactive Selection Sheet'!$G7, 'Master List Import'!$A$1:$P$519, 9, FALSE), ""), "")</f>
        <v>900803</v>
      </c>
      <c r="L20" s="69">
        <f>_xlfn.IFNA(IF('Interactive Selection Sheet'!F7= "", VLOOKUP('Interactive Selection Sheet'!$G7, 'Master List Import'!$A$1:$P$519, 10, FALSE), ""), "")</f>
        <v>0</v>
      </c>
      <c r="M20" s="69">
        <f>_xlfn.IFNA(IF('Interactive Selection Sheet'!F7= "", VLOOKUP('Interactive Selection Sheet'!$G7, 'Master List Import'!$A$1:$P$519, 11, FALSE), ""), "")</f>
        <v>0</v>
      </c>
      <c r="N20" s="69">
        <f>_xlfn.IFNA(IF('Interactive Selection Sheet'!F7= "", VLOOKUP('Interactive Selection Sheet'!$G7, 'Master List Import'!$A$1:$P$519, 12, FALSE), ""), "")</f>
        <v>1</v>
      </c>
      <c r="O20" s="69">
        <f>_xlfn.IFNA(IF('Interactive Selection Sheet'!F7= "", VLOOKUP('Interactive Selection Sheet'!$G7, 'Master List Import'!$A$1:$P$519, 13, FALSE), ""), "")</f>
        <v>1043</v>
      </c>
      <c r="P20" s="69" t="str">
        <f>_xlfn.IFNA(IF('Interactive Selection Sheet'!F7= "", VLOOKUP('Interactive Selection Sheet'!$G7, 'Master List Import'!$A$1:$P$519, 14, FALSE), ""), "")</f>
        <v>Thermal Bottom (Lg)</v>
      </c>
      <c r="Q20" s="69">
        <f>_xlfn.IFNA(IF('Interactive Selection Sheet'!F7= "", VLOOKUP('Interactive Selection Sheet'!$G7, 'Master List Import'!$A$1:$P$519, 15, FALSE), ""), "")</f>
        <v>1</v>
      </c>
      <c r="R20" s="74">
        <f>_xlfn.IFNA(IF('Interactive Selection Sheet'!F7= "", VLOOKUP('Interactive Selection Sheet'!$G7, 'Master List Import'!$A$1:$P$519, 16, FALSE), ""), "")</f>
        <v>8.6999999999999993</v>
      </c>
    </row>
    <row r="21" spans="1:18" ht="21.75" customHeight="1" x14ac:dyDescent="0.25">
      <c r="A21" s="69">
        <f>_xlfn.IFNA(IF('Interactive Selection Sheet'!F8= "", VLOOKUP('Interactive Selection Sheet'!$G8, 'Master List Import'!$A$1:$P$519, 2, FALSE), ""), "")</f>
        <v>1044</v>
      </c>
      <c r="B21" s="69" t="str">
        <f>_xlfn.IFNA(IF('Interactive Selection Sheet'!F8= "", VLOOKUP('Interactive Selection Sheet'!$G8, 'Master List Import'!$A$1:$P$519, 3, FALSE), ""), "")</f>
        <v>Thermal Bottom - XL</v>
      </c>
      <c r="C21" s="76">
        <f>IF('Interactive Selection Sheet'!$T$2="", "", IF(B21="","",'Interactive Selection Sheet'!$T$2))</f>
        <v>3.5000000000000003E-2</v>
      </c>
      <c r="D21" s="70">
        <f>IF(B21 = "", "", 'Interactive Selection Sheet'!$Q$2)</f>
        <v>4.4999999999999998E-2</v>
      </c>
      <c r="E21" s="70">
        <f>IF(B21="","", 'Interactive Selection Sheet'!$R$2)</f>
        <v>0.02</v>
      </c>
      <c r="F21" s="69" t="str">
        <f>_xlfn.IFNA(IF('Interactive Selection Sheet'!F8= "", VLOOKUP('Interactive Selection Sheet'!$G8, 'Master List Import'!$A$1:$P$519, 4, FALSE), ""), "")</f>
        <v>Clothing</v>
      </c>
      <c r="G21" s="69" t="str">
        <f>_xlfn.IFNA(IF('Interactive Selection Sheet'!F8= "", VLOOKUP('Interactive Selection Sheet'!$G8, 'Master List Import'!$A$1:$P$519, 5, FALSE), ""), "")</f>
        <v>Clothing</v>
      </c>
      <c r="H21" s="69" t="str">
        <f>_xlfn.IFNA(IF('Interactive Selection Sheet'!F8= "", VLOOKUP('Interactive Selection Sheet'!$G8, 'Master List Import'!$A$1:$P$519, 6, FALSE), ""), "")</f>
        <v>Both</v>
      </c>
      <c r="I21" s="72">
        <f>_xlfn.IFNA(IF('Interactive Selection Sheet'!F8= "", VLOOKUP('Interactive Selection Sheet'!$G8, 'Master List Import'!$A$1:$P$519, 7, FALSE), ""), "")</f>
        <v>2.48</v>
      </c>
      <c r="J21" s="69" t="str">
        <f>_xlfn.IFNA(IF('Interactive Selection Sheet'!F8= "", VLOOKUP('Interactive Selection Sheet'!$G8, 'Master List Import'!$A$1:$P$519, 8, FALSE), ""), "")</f>
        <v>REI</v>
      </c>
      <c r="K21" s="69" t="str">
        <f>_xlfn.IFNA(IF('Interactive Selection Sheet'!F8= "", VLOOKUP('Interactive Selection Sheet'!$G8, 'Master List Import'!$A$1:$P$519, 9, FALSE), ""), "")</f>
        <v>900804</v>
      </c>
      <c r="L21" s="69">
        <f>_xlfn.IFNA(IF('Interactive Selection Sheet'!F8= "", VLOOKUP('Interactive Selection Sheet'!$G8, 'Master List Import'!$A$1:$P$519, 10, FALSE), ""), "")</f>
        <v>0</v>
      </c>
      <c r="M21" s="69">
        <f>_xlfn.IFNA(IF('Interactive Selection Sheet'!F8= "", VLOOKUP('Interactive Selection Sheet'!$G8, 'Master List Import'!$A$1:$P$519, 11, FALSE), ""), "")</f>
        <v>0</v>
      </c>
      <c r="N21" s="69">
        <f>_xlfn.IFNA(IF('Interactive Selection Sheet'!F8= "", VLOOKUP('Interactive Selection Sheet'!$G8, 'Master List Import'!$A$1:$P$519, 12, FALSE), ""), "")</f>
        <v>1</v>
      </c>
      <c r="O21" s="69">
        <f>_xlfn.IFNA(IF('Interactive Selection Sheet'!F8= "", VLOOKUP('Interactive Selection Sheet'!$G8, 'Master List Import'!$A$1:$P$519, 13, FALSE), ""), "")</f>
        <v>1044</v>
      </c>
      <c r="P21" s="69" t="str">
        <f>_xlfn.IFNA(IF('Interactive Selection Sheet'!F8= "", VLOOKUP('Interactive Selection Sheet'!$G8, 'Master List Import'!$A$1:$P$519, 14, FALSE), ""), "")</f>
        <v>Thermal Bottom (XL)</v>
      </c>
      <c r="Q21" s="69">
        <f>_xlfn.IFNA(IF('Interactive Selection Sheet'!F8= "", VLOOKUP('Interactive Selection Sheet'!$G8, 'Master List Import'!$A$1:$P$519, 15, FALSE), ""), "")</f>
        <v>1</v>
      </c>
      <c r="R21" s="74">
        <f>_xlfn.IFNA(IF('Interactive Selection Sheet'!F8= "", VLOOKUP('Interactive Selection Sheet'!$G8, 'Master List Import'!$A$1:$P$519, 16, FALSE), ""), "")</f>
        <v>8.6999999999999993</v>
      </c>
    </row>
    <row r="22" spans="1:18" ht="21.75" customHeight="1" x14ac:dyDescent="0.25">
      <c r="A22" s="69">
        <f>_xlfn.IFNA(IF('Interactive Selection Sheet'!F9= "", VLOOKUP('Interactive Selection Sheet'!$G9, 'Master List Import'!$A$1:$P$519, 2, FALSE), ""), "")</f>
        <v>1045</v>
      </c>
      <c r="B22" s="69" t="str">
        <f>_xlfn.IFNA(IF('Interactive Selection Sheet'!F9= "", VLOOKUP('Interactive Selection Sheet'!$G9, 'Master List Import'!$A$1:$P$519, 3, FALSE), ""), "")</f>
        <v>Thermal Bottom - 2X</v>
      </c>
      <c r="C22" s="76">
        <f>IF('Interactive Selection Sheet'!$T$2="", "", IF(B22="","",'Interactive Selection Sheet'!$T$2))</f>
        <v>3.5000000000000003E-2</v>
      </c>
      <c r="D22" s="70">
        <f>IF(B22 = "", "", 'Interactive Selection Sheet'!$Q$2)</f>
        <v>4.4999999999999998E-2</v>
      </c>
      <c r="E22" s="70">
        <f>IF(B22="","", 'Interactive Selection Sheet'!$R$2)</f>
        <v>0.02</v>
      </c>
      <c r="F22" s="69" t="str">
        <f>_xlfn.IFNA(IF('Interactive Selection Sheet'!F9= "", VLOOKUP('Interactive Selection Sheet'!$G9, 'Master List Import'!$A$1:$P$519, 4, FALSE), ""), "")</f>
        <v>Clothing</v>
      </c>
      <c r="G22" s="69" t="str">
        <f>_xlfn.IFNA(IF('Interactive Selection Sheet'!F9= "", VLOOKUP('Interactive Selection Sheet'!$G9, 'Master List Import'!$A$1:$P$519, 5, FALSE), ""), "")</f>
        <v>Clothing</v>
      </c>
      <c r="H22" s="69" t="str">
        <f>_xlfn.IFNA(IF('Interactive Selection Sheet'!F9= "", VLOOKUP('Interactive Selection Sheet'!$G9, 'Master List Import'!$A$1:$P$519, 6, FALSE), ""), "")</f>
        <v>Both</v>
      </c>
      <c r="I22" s="72">
        <f>_xlfn.IFNA(IF('Interactive Selection Sheet'!F9= "", VLOOKUP('Interactive Selection Sheet'!$G9, 'Master List Import'!$A$1:$P$519, 7, FALSE), ""), "")</f>
        <v>2.92</v>
      </c>
      <c r="J22" s="69" t="str">
        <f>_xlfn.IFNA(IF('Interactive Selection Sheet'!F9= "", VLOOKUP('Interactive Selection Sheet'!$G9, 'Master List Import'!$A$1:$P$519, 8, FALSE), ""), "")</f>
        <v>REI</v>
      </c>
      <c r="K22" s="69" t="str">
        <f>_xlfn.IFNA(IF('Interactive Selection Sheet'!F9= "", VLOOKUP('Interactive Selection Sheet'!$G9, 'Master List Import'!$A$1:$P$519, 9, FALSE), ""), "")</f>
        <v>900805</v>
      </c>
      <c r="L22" s="69">
        <f>_xlfn.IFNA(IF('Interactive Selection Sheet'!F9= "", VLOOKUP('Interactive Selection Sheet'!$G9, 'Master List Import'!$A$1:$P$519, 10, FALSE), ""), "")</f>
        <v>0</v>
      </c>
      <c r="M22" s="69">
        <f>_xlfn.IFNA(IF('Interactive Selection Sheet'!F9= "", VLOOKUP('Interactive Selection Sheet'!$G9, 'Master List Import'!$A$1:$P$519, 11, FALSE), ""), "")</f>
        <v>0</v>
      </c>
      <c r="N22" s="69">
        <f>_xlfn.IFNA(IF('Interactive Selection Sheet'!F9= "", VLOOKUP('Interactive Selection Sheet'!$G9, 'Master List Import'!$A$1:$P$519, 12, FALSE), ""), "")</f>
        <v>1</v>
      </c>
      <c r="O22" s="69">
        <f>_xlfn.IFNA(IF('Interactive Selection Sheet'!F9= "", VLOOKUP('Interactive Selection Sheet'!$G9, 'Master List Import'!$A$1:$P$519, 13, FALSE), ""), "")</f>
        <v>1045</v>
      </c>
      <c r="P22" s="69" t="str">
        <f>_xlfn.IFNA(IF('Interactive Selection Sheet'!F9= "", VLOOKUP('Interactive Selection Sheet'!$G9, 'Master List Import'!$A$1:$P$519, 14, FALSE), ""), "")</f>
        <v>Thermal Bottom (2X)</v>
      </c>
      <c r="Q22" s="69">
        <f>_xlfn.IFNA(IF('Interactive Selection Sheet'!F9= "", VLOOKUP('Interactive Selection Sheet'!$G9, 'Master List Import'!$A$1:$P$519, 15, FALSE), ""), "")</f>
        <v>1</v>
      </c>
      <c r="R22" s="74">
        <f>_xlfn.IFNA(IF('Interactive Selection Sheet'!F9= "", VLOOKUP('Interactive Selection Sheet'!$G9, 'Master List Import'!$A$1:$P$519, 16, FALSE), ""), "")</f>
        <v>10.199999999999999</v>
      </c>
    </row>
    <row r="23" spans="1:18" ht="21.75" customHeight="1" x14ac:dyDescent="0.25">
      <c r="A23" s="69">
        <f>_xlfn.IFNA(IF('Interactive Selection Sheet'!F10= "", VLOOKUP('Interactive Selection Sheet'!$G10, 'Master List Import'!$A$1:$P$519, 2, FALSE), ""), "")</f>
        <v>1046</v>
      </c>
      <c r="B23" s="69" t="str">
        <f>_xlfn.IFNA(IF('Interactive Selection Sheet'!F10= "", VLOOKUP('Interactive Selection Sheet'!$G10, 'Master List Import'!$A$1:$P$519, 3, FALSE), ""), "")</f>
        <v>Thermal Bottom - 3X</v>
      </c>
      <c r="C23" s="76">
        <f>IF('Interactive Selection Sheet'!$T$2="", "", IF(B23="","",'Interactive Selection Sheet'!$T$2))</f>
        <v>3.5000000000000003E-2</v>
      </c>
      <c r="D23" s="70">
        <f>IF(B23 = "", "", 'Interactive Selection Sheet'!$Q$2)</f>
        <v>4.4999999999999998E-2</v>
      </c>
      <c r="E23" s="70">
        <f>IF(B23="","", 'Interactive Selection Sheet'!$R$2)</f>
        <v>0.02</v>
      </c>
      <c r="F23" s="69" t="str">
        <f>_xlfn.IFNA(IF('Interactive Selection Sheet'!F10= "", VLOOKUP('Interactive Selection Sheet'!$G10, 'Master List Import'!$A$1:$P$519, 4, FALSE), ""), "")</f>
        <v>Clothing</v>
      </c>
      <c r="G23" s="69" t="str">
        <f>_xlfn.IFNA(IF('Interactive Selection Sheet'!F10= "", VLOOKUP('Interactive Selection Sheet'!$G10, 'Master List Import'!$A$1:$P$519, 5, FALSE), ""), "")</f>
        <v>Clothing</v>
      </c>
      <c r="H23" s="69" t="str">
        <f>_xlfn.IFNA(IF('Interactive Selection Sheet'!F10= "", VLOOKUP('Interactive Selection Sheet'!$G10, 'Master List Import'!$A$1:$P$519, 6, FALSE), ""), "")</f>
        <v>Both</v>
      </c>
      <c r="I23" s="72">
        <f>_xlfn.IFNA(IF('Interactive Selection Sheet'!F10= "", VLOOKUP('Interactive Selection Sheet'!$G10, 'Master List Import'!$A$1:$P$519, 7, FALSE), ""), "")</f>
        <v>3.12</v>
      </c>
      <c r="J23" s="69" t="str">
        <f>_xlfn.IFNA(IF('Interactive Selection Sheet'!F10= "", VLOOKUP('Interactive Selection Sheet'!$G10, 'Master List Import'!$A$1:$P$519, 8, FALSE), ""), "")</f>
        <v>REI</v>
      </c>
      <c r="K23" s="69" t="str">
        <f>_xlfn.IFNA(IF('Interactive Selection Sheet'!F10= "", VLOOKUP('Interactive Selection Sheet'!$G10, 'Master List Import'!$A$1:$P$519, 9, FALSE), ""), "")</f>
        <v>900806</v>
      </c>
      <c r="L23" s="69">
        <f>_xlfn.IFNA(IF('Interactive Selection Sheet'!F10= "", VLOOKUP('Interactive Selection Sheet'!$G10, 'Master List Import'!$A$1:$P$519, 10, FALSE), ""), "")</f>
        <v>0</v>
      </c>
      <c r="M23" s="69">
        <f>_xlfn.IFNA(IF('Interactive Selection Sheet'!F10= "", VLOOKUP('Interactive Selection Sheet'!$G10, 'Master List Import'!$A$1:$P$519, 11, FALSE), ""), "")</f>
        <v>0</v>
      </c>
      <c r="N23" s="69">
        <f>_xlfn.IFNA(IF('Interactive Selection Sheet'!F10= "", VLOOKUP('Interactive Selection Sheet'!$G10, 'Master List Import'!$A$1:$P$519, 12, FALSE), ""), "")</f>
        <v>1</v>
      </c>
      <c r="O23" s="69">
        <f>_xlfn.IFNA(IF('Interactive Selection Sheet'!F10= "", VLOOKUP('Interactive Selection Sheet'!$G10, 'Master List Import'!$A$1:$P$519, 13, FALSE), ""), "")</f>
        <v>1046</v>
      </c>
      <c r="P23" s="69" t="str">
        <f>_xlfn.IFNA(IF('Interactive Selection Sheet'!F10= "", VLOOKUP('Interactive Selection Sheet'!$G10, 'Master List Import'!$A$1:$P$519, 14, FALSE), ""), "")</f>
        <v>Thermal Bottom (3X)</v>
      </c>
      <c r="Q23" s="69">
        <f>_xlfn.IFNA(IF('Interactive Selection Sheet'!F10= "", VLOOKUP('Interactive Selection Sheet'!$G10, 'Master List Import'!$A$1:$P$519, 15, FALSE), ""), "")</f>
        <v>1</v>
      </c>
      <c r="R23" s="74">
        <f>_xlfn.IFNA(IF('Interactive Selection Sheet'!F10= "", VLOOKUP('Interactive Selection Sheet'!$G10, 'Master List Import'!$A$1:$P$519, 16, FALSE), ""), "")</f>
        <v>10.9</v>
      </c>
    </row>
    <row r="24" spans="1:18" ht="21.75" customHeight="1" x14ac:dyDescent="0.25">
      <c r="A24" s="69">
        <f>_xlfn.IFNA(IF('Interactive Selection Sheet'!F11= "", VLOOKUP('Interactive Selection Sheet'!$G11, 'Master List Import'!$A$1:$P$519, 2, FALSE), ""), "")</f>
        <v>1047</v>
      </c>
      <c r="B24" s="69" t="str">
        <f>_xlfn.IFNA(IF('Interactive Selection Sheet'!F11= "", VLOOKUP('Interactive Selection Sheet'!$G11, 'Master List Import'!$A$1:$P$519, 3, FALSE), ""), "")</f>
        <v>Thermal Bottom - 4X</v>
      </c>
      <c r="C24" s="76">
        <f>IF('Interactive Selection Sheet'!$T$2="", "", IF(B24="","",'Interactive Selection Sheet'!$T$2))</f>
        <v>3.5000000000000003E-2</v>
      </c>
      <c r="D24" s="70">
        <f>IF(B24 = "", "", 'Interactive Selection Sheet'!$Q$2)</f>
        <v>4.4999999999999998E-2</v>
      </c>
      <c r="E24" s="70">
        <f>IF(B24="","", 'Interactive Selection Sheet'!$R$2)</f>
        <v>0.02</v>
      </c>
      <c r="F24" s="69" t="str">
        <f>_xlfn.IFNA(IF('Interactive Selection Sheet'!F11= "", VLOOKUP('Interactive Selection Sheet'!$G11, 'Master List Import'!$A$1:$P$519, 4, FALSE), ""), "")</f>
        <v>Clothing</v>
      </c>
      <c r="G24" s="69" t="str">
        <f>_xlfn.IFNA(IF('Interactive Selection Sheet'!F11= "", VLOOKUP('Interactive Selection Sheet'!$G11, 'Master List Import'!$A$1:$P$519, 5, FALSE), ""), "")</f>
        <v>Clothing</v>
      </c>
      <c r="H24" s="69" t="str">
        <f>_xlfn.IFNA(IF('Interactive Selection Sheet'!F11= "", VLOOKUP('Interactive Selection Sheet'!$G11, 'Master List Import'!$A$1:$P$519, 6, FALSE), ""), "")</f>
        <v>Both</v>
      </c>
      <c r="I24" s="72">
        <f>_xlfn.IFNA(IF('Interactive Selection Sheet'!F11= "", VLOOKUP('Interactive Selection Sheet'!$G11, 'Master List Import'!$A$1:$P$519, 7, FALSE), ""), "")</f>
        <v>3.32</v>
      </c>
      <c r="J24" s="69" t="str">
        <f>_xlfn.IFNA(IF('Interactive Selection Sheet'!F11= "", VLOOKUP('Interactive Selection Sheet'!$G11, 'Master List Import'!$A$1:$P$519, 8, FALSE), ""), "")</f>
        <v>REI</v>
      </c>
      <c r="K24" s="69" t="str">
        <f>_xlfn.IFNA(IF('Interactive Selection Sheet'!F11= "", VLOOKUP('Interactive Selection Sheet'!$G11, 'Master List Import'!$A$1:$P$519, 9, FALSE), ""), "")</f>
        <v>900807</v>
      </c>
      <c r="L24" s="69">
        <f>_xlfn.IFNA(IF('Interactive Selection Sheet'!F11= "", VLOOKUP('Interactive Selection Sheet'!$G11, 'Master List Import'!$A$1:$P$519, 10, FALSE), ""), "")</f>
        <v>0</v>
      </c>
      <c r="M24" s="69">
        <f>_xlfn.IFNA(IF('Interactive Selection Sheet'!F11= "", VLOOKUP('Interactive Selection Sheet'!$G11, 'Master List Import'!$A$1:$P$519, 11, FALSE), ""), "")</f>
        <v>0</v>
      </c>
      <c r="N24" s="69">
        <f>_xlfn.IFNA(IF('Interactive Selection Sheet'!F11= "", VLOOKUP('Interactive Selection Sheet'!$G11, 'Master List Import'!$A$1:$P$519, 12, FALSE), ""), "")</f>
        <v>1</v>
      </c>
      <c r="O24" s="69">
        <f>_xlfn.IFNA(IF('Interactive Selection Sheet'!F11= "", VLOOKUP('Interactive Selection Sheet'!$G11, 'Master List Import'!$A$1:$P$519, 13, FALSE), ""), "")</f>
        <v>1047</v>
      </c>
      <c r="P24" s="69" t="str">
        <f>_xlfn.IFNA(IF('Interactive Selection Sheet'!F11= "", VLOOKUP('Interactive Selection Sheet'!$G11, 'Master List Import'!$A$1:$P$519, 14, FALSE), ""), "")</f>
        <v>Thermal Bottom (4X)</v>
      </c>
      <c r="Q24" s="69">
        <f>_xlfn.IFNA(IF('Interactive Selection Sheet'!F11= "", VLOOKUP('Interactive Selection Sheet'!$G11, 'Master List Import'!$A$1:$P$519, 15, FALSE), ""), "")</f>
        <v>1</v>
      </c>
      <c r="R24" s="74">
        <f>_xlfn.IFNA(IF('Interactive Selection Sheet'!F11= "", VLOOKUP('Interactive Selection Sheet'!$G11, 'Master List Import'!$A$1:$P$519, 16, FALSE), ""), "")</f>
        <v>11.6</v>
      </c>
    </row>
    <row r="25" spans="1:18" ht="21.75" customHeight="1" x14ac:dyDescent="0.25">
      <c r="A25" s="69">
        <f>_xlfn.IFNA(IF('Interactive Selection Sheet'!F12= "", VLOOKUP('Interactive Selection Sheet'!$G12, 'Master List Import'!$A$1:$P$519, 2, FALSE), ""), "")</f>
        <v>1048</v>
      </c>
      <c r="B25" s="69" t="str">
        <f>_xlfn.IFNA(IF('Interactive Selection Sheet'!F12= "", VLOOKUP('Interactive Selection Sheet'!$G12, 'Master List Import'!$A$1:$P$519, 3, FALSE), ""), "")</f>
        <v>Thermal Bottom - 5X</v>
      </c>
      <c r="C25" s="76">
        <f>IF('Interactive Selection Sheet'!$T$2="", "", IF(B25="","",'Interactive Selection Sheet'!$T$2))</f>
        <v>3.5000000000000003E-2</v>
      </c>
      <c r="D25" s="70">
        <f>IF(B25 = "", "", 'Interactive Selection Sheet'!$Q$2)</f>
        <v>4.4999999999999998E-2</v>
      </c>
      <c r="E25" s="70">
        <f>IF(B25="","", 'Interactive Selection Sheet'!$R$2)</f>
        <v>0.02</v>
      </c>
      <c r="F25" s="69" t="str">
        <f>_xlfn.IFNA(IF('Interactive Selection Sheet'!F12= "", VLOOKUP('Interactive Selection Sheet'!$G12, 'Master List Import'!$A$1:$P$519, 4, FALSE), ""), "")</f>
        <v>Clothing</v>
      </c>
      <c r="G25" s="69" t="str">
        <f>_xlfn.IFNA(IF('Interactive Selection Sheet'!F12= "", VLOOKUP('Interactive Selection Sheet'!$G12, 'Master List Import'!$A$1:$P$519, 5, FALSE), ""), "")</f>
        <v>Clothing</v>
      </c>
      <c r="H25" s="69" t="str">
        <f>_xlfn.IFNA(IF('Interactive Selection Sheet'!F12= "", VLOOKUP('Interactive Selection Sheet'!$G12, 'Master List Import'!$A$1:$P$519, 6, FALSE), ""), "")</f>
        <v>Both</v>
      </c>
      <c r="I25" s="72">
        <f>_xlfn.IFNA(IF('Interactive Selection Sheet'!F12= "", VLOOKUP('Interactive Selection Sheet'!$G12, 'Master List Import'!$A$1:$P$519, 7, FALSE), ""), "")</f>
        <v>3.6</v>
      </c>
      <c r="J25" s="69" t="str">
        <f>_xlfn.IFNA(IF('Interactive Selection Sheet'!F12= "", VLOOKUP('Interactive Selection Sheet'!$G12, 'Master List Import'!$A$1:$P$519, 8, FALSE), ""), "")</f>
        <v>REI</v>
      </c>
      <c r="K25" s="69" t="str">
        <f>_xlfn.IFNA(IF('Interactive Selection Sheet'!F12= "", VLOOKUP('Interactive Selection Sheet'!$G12, 'Master List Import'!$A$1:$P$519, 9, FALSE), ""), "")</f>
        <v>900808</v>
      </c>
      <c r="L25" s="69">
        <f>_xlfn.IFNA(IF('Interactive Selection Sheet'!F12= "", VLOOKUP('Interactive Selection Sheet'!$G12, 'Master List Import'!$A$1:$P$519, 10, FALSE), ""), "")</f>
        <v>0</v>
      </c>
      <c r="M25" s="69">
        <f>_xlfn.IFNA(IF('Interactive Selection Sheet'!F12= "", VLOOKUP('Interactive Selection Sheet'!$G12, 'Master List Import'!$A$1:$P$519, 11, FALSE), ""), "")</f>
        <v>0</v>
      </c>
      <c r="N25" s="69">
        <f>_xlfn.IFNA(IF('Interactive Selection Sheet'!F12= "", VLOOKUP('Interactive Selection Sheet'!$G12, 'Master List Import'!$A$1:$P$519, 12, FALSE), ""), "")</f>
        <v>1</v>
      </c>
      <c r="O25" s="69">
        <f>_xlfn.IFNA(IF('Interactive Selection Sheet'!F12= "", VLOOKUP('Interactive Selection Sheet'!$G12, 'Master List Import'!$A$1:$P$519, 13, FALSE), ""), "")</f>
        <v>1048</v>
      </c>
      <c r="P25" s="69" t="str">
        <f>_xlfn.IFNA(IF('Interactive Selection Sheet'!F12= "", VLOOKUP('Interactive Selection Sheet'!$G12, 'Master List Import'!$A$1:$P$519, 14, FALSE), ""), "")</f>
        <v>Thermal Bottom (5X)</v>
      </c>
      <c r="Q25" s="69">
        <f>_xlfn.IFNA(IF('Interactive Selection Sheet'!F12= "", VLOOKUP('Interactive Selection Sheet'!$G12, 'Master List Import'!$A$1:$P$519, 15, FALSE), ""), "")</f>
        <v>1</v>
      </c>
      <c r="R25" s="74">
        <f>_xlfn.IFNA(IF('Interactive Selection Sheet'!F12= "", VLOOKUP('Interactive Selection Sheet'!$G12, 'Master List Import'!$A$1:$P$519, 16, FALSE), ""), "")</f>
        <v>12.6</v>
      </c>
    </row>
    <row r="26" spans="1:18" ht="21.75" customHeight="1" x14ac:dyDescent="0.25">
      <c r="A26" s="69">
        <f>_xlfn.IFNA(IF('Interactive Selection Sheet'!A15 = "", VLOOKUP('Interactive Selection Sheet'!$B15, 'Master List Import'!$A$1:$P$519, 2, FALSE), ""), "")</f>
        <v>1061</v>
      </c>
      <c r="B26" s="69" t="str">
        <f>_xlfn.IFNA(IF('Interactive Selection Sheet'!A15 = "", VLOOKUP('Interactive Selection Sheet'!$B15, 'Master List Import'!$A$1:$P$519, 3, FALSE), ""), "")</f>
        <v>Sweatshirt, Grey (Md)</v>
      </c>
      <c r="C26" s="76">
        <f>IF('Interactive Selection Sheet'!$T$2="", "", IF(B26="","",'Interactive Selection Sheet'!$T$2))</f>
        <v>3.5000000000000003E-2</v>
      </c>
      <c r="D26" s="70">
        <f>IF(B26 = "", "", 'Interactive Selection Sheet'!$Q$2)</f>
        <v>4.4999999999999998E-2</v>
      </c>
      <c r="E26" s="70">
        <f>IF(B26="","", 'Interactive Selection Sheet'!$R$2)</f>
        <v>0.02</v>
      </c>
      <c r="F26" s="69" t="str">
        <f>_xlfn.IFNA(IF('Interactive Selection Sheet'!A15 = "", VLOOKUP('Interactive Selection Sheet'!$B15, 'Master List Import'!$A$1:$P$519, 4, FALSE), ""), "")</f>
        <v>Clothing</v>
      </c>
      <c r="G26" s="69" t="str">
        <f>_xlfn.IFNA(IF('Interactive Selection Sheet'!A15 = "", VLOOKUP('Interactive Selection Sheet'!$B15, 'Master List Import'!$A$1:$P$519, 5, FALSE), ""), "")</f>
        <v>Clothing</v>
      </c>
      <c r="H26" s="69" t="str">
        <f>_xlfn.IFNA(IF('Interactive Selection Sheet'!A15 = "", VLOOKUP('Interactive Selection Sheet'!$B15, 'Master List Import'!$A$1:$P$519, 6, FALSE), ""), "")</f>
        <v>Both</v>
      </c>
      <c r="I26" s="72">
        <f>_xlfn.IFNA(IF('Interactive Selection Sheet'!A15 = "", VLOOKUP('Interactive Selection Sheet'!$B15, 'Master List Import'!$A$1:$P$519, 7, FALSE), ""), "")</f>
        <v>6.75</v>
      </c>
      <c r="J26" s="69" t="str">
        <f>_xlfn.IFNA(IF('Interactive Selection Sheet'!A15 = "", VLOOKUP('Interactive Selection Sheet'!$B15, 'Master List Import'!$A$1:$P$519, 8, FALSE), ""), "")</f>
        <v>REI</v>
      </c>
      <c r="K26" s="69" t="str">
        <f>_xlfn.IFNA(IF('Interactive Selection Sheet'!A15 = "", VLOOKUP('Interactive Selection Sheet'!$B15, 'Master List Import'!$A$1:$P$519, 9, FALSE), ""), "")</f>
        <v>901002</v>
      </c>
      <c r="L26" s="69">
        <f>_xlfn.IFNA(IF('Interactive Selection Sheet'!A15 = "", VLOOKUP('Interactive Selection Sheet'!$B15, 'Master List Import'!$A$1:$P$519, 10, FALSE), ""), "")</f>
        <v>0</v>
      </c>
      <c r="M26" s="69">
        <f>_xlfn.IFNA(IF('Interactive Selection Sheet'!A15 = "", VLOOKUP('Interactive Selection Sheet'!$B15, 'Master List Import'!$A$1:$P$519, 11, FALSE), ""), "")</f>
        <v>0</v>
      </c>
      <c r="N26" s="69">
        <f>_xlfn.IFNA(IF('Interactive Selection Sheet'!A15 = "", VLOOKUP('Interactive Selection Sheet'!$B15, 'Master List Import'!$A$1:$P$519, 12, FALSE), ""), "")</f>
        <v>1</v>
      </c>
      <c r="O26" s="69">
        <f>_xlfn.IFNA(IF('Interactive Selection Sheet'!A15 = "", VLOOKUP('Interactive Selection Sheet'!$B15, 'Master List Import'!$A$1:$P$519, 13, FALSE), ""), "")</f>
        <v>1061</v>
      </c>
      <c r="P26" s="69" t="str">
        <f>_xlfn.IFNA(IF('Interactive Selection Sheet'!A15 = "", VLOOKUP('Interactive Selection Sheet'!$B15, 'Master List Import'!$A$1:$P$519, 14, FALSE), ""), "")</f>
        <v>Grey Sweatshirt (Md)</v>
      </c>
      <c r="Q26" s="69">
        <f>_xlfn.IFNA(IF('Interactive Selection Sheet'!A15 = "", VLOOKUP('Interactive Selection Sheet'!$B15, 'Master List Import'!$A$1:$P$519, 15, FALSE), ""), "")</f>
        <v>1</v>
      </c>
      <c r="R26" s="74">
        <f>_xlfn.IFNA(IF('Interactive Selection Sheet'!A15 = "", VLOOKUP('Interactive Selection Sheet'!$B15, 'Master List Import'!$A$1:$P$519, 16, FALSE), ""), "")</f>
        <v>21</v>
      </c>
    </row>
    <row r="27" spans="1:18" ht="21.75" customHeight="1" x14ac:dyDescent="0.25">
      <c r="A27" s="69">
        <f>_xlfn.IFNA(IF('Interactive Selection Sheet'!A16 = "", VLOOKUP('Interactive Selection Sheet'!$B16, 'Master List Import'!$A$1:$P$519, 2, FALSE), ""), "")</f>
        <v>1062</v>
      </c>
      <c r="B27" s="69" t="str">
        <f>_xlfn.IFNA(IF('Interactive Selection Sheet'!A16 = "", VLOOKUP('Interactive Selection Sheet'!$B16, 'Master List Import'!$A$1:$P$519, 3, FALSE), ""), "")</f>
        <v>Sweatshirt, Grey (Lg)</v>
      </c>
      <c r="C27" s="76">
        <f>IF('Interactive Selection Sheet'!$T$2="", "", IF(B27="","",'Interactive Selection Sheet'!$T$2))</f>
        <v>3.5000000000000003E-2</v>
      </c>
      <c r="D27" s="70">
        <f>IF(B27 = "", "", 'Interactive Selection Sheet'!$Q$2)</f>
        <v>4.4999999999999998E-2</v>
      </c>
      <c r="E27" s="70">
        <f>IF(B27="","", 'Interactive Selection Sheet'!$R$2)</f>
        <v>0.02</v>
      </c>
      <c r="F27" s="69" t="str">
        <f>_xlfn.IFNA(IF('Interactive Selection Sheet'!A16 = "", VLOOKUP('Interactive Selection Sheet'!$B16, 'Master List Import'!$A$1:$P$519, 4, FALSE), ""), "")</f>
        <v>Clothing</v>
      </c>
      <c r="G27" s="69" t="str">
        <f>_xlfn.IFNA(IF('Interactive Selection Sheet'!A16 = "", VLOOKUP('Interactive Selection Sheet'!$B16, 'Master List Import'!$A$1:$P$519, 5, FALSE), ""), "")</f>
        <v>Clothing</v>
      </c>
      <c r="H27" s="69" t="str">
        <f>_xlfn.IFNA(IF('Interactive Selection Sheet'!A16 = "", VLOOKUP('Interactive Selection Sheet'!$B16, 'Master List Import'!$A$1:$P$519, 6, FALSE), ""), "")</f>
        <v>Both</v>
      </c>
      <c r="I27" s="72">
        <f>_xlfn.IFNA(IF('Interactive Selection Sheet'!A16 = "", VLOOKUP('Interactive Selection Sheet'!$B16, 'Master List Import'!$A$1:$P$519, 7, FALSE), ""), "")</f>
        <v>6.75</v>
      </c>
      <c r="J27" s="69" t="str">
        <f>_xlfn.IFNA(IF('Interactive Selection Sheet'!A16 = "", VLOOKUP('Interactive Selection Sheet'!$B16, 'Master List Import'!$A$1:$P$519, 8, FALSE), ""), "")</f>
        <v>REI</v>
      </c>
      <c r="K27" s="69" t="str">
        <f>_xlfn.IFNA(IF('Interactive Selection Sheet'!A16 = "", VLOOKUP('Interactive Selection Sheet'!$B16, 'Master List Import'!$A$1:$P$519, 9, FALSE), ""), "")</f>
        <v>901003</v>
      </c>
      <c r="L27" s="69">
        <f>_xlfn.IFNA(IF('Interactive Selection Sheet'!A16 = "", VLOOKUP('Interactive Selection Sheet'!$B16, 'Master List Import'!$A$1:$P$519, 10, FALSE), ""), "")</f>
        <v>0</v>
      </c>
      <c r="M27" s="69">
        <f>_xlfn.IFNA(IF('Interactive Selection Sheet'!A16 = "", VLOOKUP('Interactive Selection Sheet'!$B16, 'Master List Import'!$A$1:$P$519, 11, FALSE), ""), "")</f>
        <v>0</v>
      </c>
      <c r="N27" s="69">
        <f>_xlfn.IFNA(IF('Interactive Selection Sheet'!A16 = "", VLOOKUP('Interactive Selection Sheet'!$B16, 'Master List Import'!$A$1:$P$519, 12, FALSE), ""), "")</f>
        <v>1</v>
      </c>
      <c r="O27" s="69">
        <f>_xlfn.IFNA(IF('Interactive Selection Sheet'!A16 = "", VLOOKUP('Interactive Selection Sheet'!$B16, 'Master List Import'!$A$1:$P$519, 13, FALSE), ""), "")</f>
        <v>1062</v>
      </c>
      <c r="P27" s="69" t="str">
        <f>_xlfn.IFNA(IF('Interactive Selection Sheet'!A16 = "", VLOOKUP('Interactive Selection Sheet'!$B16, 'Master List Import'!$A$1:$P$519, 14, FALSE), ""), "")</f>
        <v>Grey Sweatshirt (Lg)</v>
      </c>
      <c r="Q27" s="69">
        <f>_xlfn.IFNA(IF('Interactive Selection Sheet'!A16 = "", VLOOKUP('Interactive Selection Sheet'!$B16, 'Master List Import'!$A$1:$P$519, 15, FALSE), ""), "")</f>
        <v>1</v>
      </c>
      <c r="R27" s="74">
        <f>_xlfn.IFNA(IF('Interactive Selection Sheet'!A16 = "", VLOOKUP('Interactive Selection Sheet'!$B16, 'Master List Import'!$A$1:$P$519, 16, FALSE), ""), "")</f>
        <v>21</v>
      </c>
    </row>
    <row r="28" spans="1:18" ht="21.75" customHeight="1" x14ac:dyDescent="0.25">
      <c r="A28" s="69">
        <f>_xlfn.IFNA(IF('Interactive Selection Sheet'!A17 = "", VLOOKUP('Interactive Selection Sheet'!$B17, 'Master List Import'!$A$1:$P$519, 2, FALSE), ""), "")</f>
        <v>1063</v>
      </c>
      <c r="B28" s="69" t="str">
        <f>_xlfn.IFNA(IF('Interactive Selection Sheet'!A17 = "", VLOOKUP('Interactive Selection Sheet'!$B17, 'Master List Import'!$A$1:$P$519, 3, FALSE), ""), "")</f>
        <v>Sweatshirt, Grey (XL)</v>
      </c>
      <c r="C28" s="76">
        <f>IF('Interactive Selection Sheet'!$T$2="", "", IF(B28="","",'Interactive Selection Sheet'!$T$2))</f>
        <v>3.5000000000000003E-2</v>
      </c>
      <c r="D28" s="70">
        <f>IF(B28 = "", "", 'Interactive Selection Sheet'!$Q$2)</f>
        <v>4.4999999999999998E-2</v>
      </c>
      <c r="E28" s="70">
        <f>IF(B28="","", 'Interactive Selection Sheet'!$R$2)</f>
        <v>0.02</v>
      </c>
      <c r="F28" s="69" t="str">
        <f>_xlfn.IFNA(IF('Interactive Selection Sheet'!A17 = "", VLOOKUP('Interactive Selection Sheet'!$B17, 'Master List Import'!$A$1:$P$519, 4, FALSE), ""), "")</f>
        <v>Clothing</v>
      </c>
      <c r="G28" s="69" t="str">
        <f>_xlfn.IFNA(IF('Interactive Selection Sheet'!A17 = "", VLOOKUP('Interactive Selection Sheet'!$B17, 'Master List Import'!$A$1:$P$519, 5, FALSE), ""), "")</f>
        <v>Clothing</v>
      </c>
      <c r="H28" s="69" t="str">
        <f>_xlfn.IFNA(IF('Interactive Selection Sheet'!A17 = "", VLOOKUP('Interactive Selection Sheet'!$B17, 'Master List Import'!$A$1:$P$519, 6, FALSE), ""), "")</f>
        <v>Both</v>
      </c>
      <c r="I28" s="72">
        <f>_xlfn.IFNA(IF('Interactive Selection Sheet'!A17 = "", VLOOKUP('Interactive Selection Sheet'!$B17, 'Master List Import'!$A$1:$P$519, 7, FALSE), ""), "")</f>
        <v>6.75</v>
      </c>
      <c r="J28" s="69" t="str">
        <f>_xlfn.IFNA(IF('Interactive Selection Sheet'!A17 = "", VLOOKUP('Interactive Selection Sheet'!$B17, 'Master List Import'!$A$1:$P$519, 8, FALSE), ""), "")</f>
        <v>REI</v>
      </c>
      <c r="K28" s="69" t="str">
        <f>_xlfn.IFNA(IF('Interactive Selection Sheet'!A17 = "", VLOOKUP('Interactive Selection Sheet'!$B17, 'Master List Import'!$A$1:$P$519, 9, FALSE), ""), "")</f>
        <v>901004</v>
      </c>
      <c r="L28" s="69">
        <f>_xlfn.IFNA(IF('Interactive Selection Sheet'!A17 = "", VLOOKUP('Interactive Selection Sheet'!$B17, 'Master List Import'!$A$1:$P$519, 10, FALSE), ""), "")</f>
        <v>0</v>
      </c>
      <c r="M28" s="69">
        <f>_xlfn.IFNA(IF('Interactive Selection Sheet'!A17 = "", VLOOKUP('Interactive Selection Sheet'!$B17, 'Master List Import'!$A$1:$P$519, 11, FALSE), ""), "")</f>
        <v>0</v>
      </c>
      <c r="N28" s="69">
        <f>_xlfn.IFNA(IF('Interactive Selection Sheet'!A17 = "", VLOOKUP('Interactive Selection Sheet'!$B17, 'Master List Import'!$A$1:$P$519, 12, FALSE), ""), "")</f>
        <v>1</v>
      </c>
      <c r="O28" s="69">
        <f>_xlfn.IFNA(IF('Interactive Selection Sheet'!A17 = "", VLOOKUP('Interactive Selection Sheet'!$B17, 'Master List Import'!$A$1:$P$519, 13, FALSE), ""), "")</f>
        <v>1063</v>
      </c>
      <c r="P28" s="69" t="str">
        <f>_xlfn.IFNA(IF('Interactive Selection Sheet'!A17 = "", VLOOKUP('Interactive Selection Sheet'!$B17, 'Master List Import'!$A$1:$P$519, 14, FALSE), ""), "")</f>
        <v>Grey Sweatshirt (XL)</v>
      </c>
      <c r="Q28" s="69">
        <f>_xlfn.IFNA(IF('Interactive Selection Sheet'!A17 = "", VLOOKUP('Interactive Selection Sheet'!$B17, 'Master List Import'!$A$1:$P$519, 15, FALSE), ""), "")</f>
        <v>1</v>
      </c>
      <c r="R28" s="74">
        <f>_xlfn.IFNA(IF('Interactive Selection Sheet'!A17 = "", VLOOKUP('Interactive Selection Sheet'!$B17, 'Master List Import'!$A$1:$P$519, 16, FALSE), ""), "")</f>
        <v>21</v>
      </c>
    </row>
    <row r="29" spans="1:18" ht="21.75" customHeight="1" x14ac:dyDescent="0.25">
      <c r="A29" s="69">
        <f>_xlfn.IFNA(IF('Interactive Selection Sheet'!A18 = "", VLOOKUP('Interactive Selection Sheet'!$B18, 'Master List Import'!$A$1:$P$519, 2, FALSE), ""), "")</f>
        <v>1064</v>
      </c>
      <c r="B29" s="69" t="str">
        <f>_xlfn.IFNA(IF('Interactive Selection Sheet'!A18 = "", VLOOKUP('Interactive Selection Sheet'!$B18, 'Master List Import'!$A$1:$P$519, 3, FALSE), ""), "")</f>
        <v>Sweatshirt, Grey (2X)</v>
      </c>
      <c r="C29" s="76">
        <f>IF('Interactive Selection Sheet'!$T$2="", "", IF(B29="","",'Interactive Selection Sheet'!$T$2))</f>
        <v>3.5000000000000003E-2</v>
      </c>
      <c r="D29" s="70">
        <f>IF(B29 = "", "", 'Interactive Selection Sheet'!$Q$2)</f>
        <v>4.4999999999999998E-2</v>
      </c>
      <c r="E29" s="70">
        <f>IF(B29="","", 'Interactive Selection Sheet'!$R$2)</f>
        <v>0.02</v>
      </c>
      <c r="F29" s="69" t="str">
        <f>_xlfn.IFNA(IF('Interactive Selection Sheet'!A18 = "", VLOOKUP('Interactive Selection Sheet'!$B18, 'Master List Import'!$A$1:$P$519, 4, FALSE), ""), "")</f>
        <v>Clothing</v>
      </c>
      <c r="G29" s="69" t="str">
        <f>_xlfn.IFNA(IF('Interactive Selection Sheet'!A18 = "", VLOOKUP('Interactive Selection Sheet'!$B18, 'Master List Import'!$A$1:$P$519, 5, FALSE), ""), "")</f>
        <v>Clothing</v>
      </c>
      <c r="H29" s="69" t="str">
        <f>_xlfn.IFNA(IF('Interactive Selection Sheet'!A18 = "", VLOOKUP('Interactive Selection Sheet'!$B18, 'Master List Import'!$A$1:$P$519, 6, FALSE), ""), "")</f>
        <v>Both</v>
      </c>
      <c r="I29" s="72">
        <f>_xlfn.IFNA(IF('Interactive Selection Sheet'!A18 = "", VLOOKUP('Interactive Selection Sheet'!$B18, 'Master List Import'!$A$1:$P$519, 7, FALSE), ""), "")</f>
        <v>7.75</v>
      </c>
      <c r="J29" s="69" t="str">
        <f>_xlfn.IFNA(IF('Interactive Selection Sheet'!A18 = "", VLOOKUP('Interactive Selection Sheet'!$B18, 'Master List Import'!$A$1:$P$519, 8, FALSE), ""), "")</f>
        <v>REI</v>
      </c>
      <c r="K29" s="69" t="str">
        <f>_xlfn.IFNA(IF('Interactive Selection Sheet'!A18 = "", VLOOKUP('Interactive Selection Sheet'!$B18, 'Master List Import'!$A$1:$P$519, 9, FALSE), ""), "")</f>
        <v>901005</v>
      </c>
      <c r="L29" s="69">
        <f>_xlfn.IFNA(IF('Interactive Selection Sheet'!A18 = "", VLOOKUP('Interactive Selection Sheet'!$B18, 'Master List Import'!$A$1:$P$519, 10, FALSE), ""), "")</f>
        <v>0</v>
      </c>
      <c r="M29" s="69">
        <f>_xlfn.IFNA(IF('Interactive Selection Sheet'!A18 = "", VLOOKUP('Interactive Selection Sheet'!$B18, 'Master List Import'!$A$1:$P$519, 11, FALSE), ""), "")</f>
        <v>0</v>
      </c>
      <c r="N29" s="69">
        <f>_xlfn.IFNA(IF('Interactive Selection Sheet'!A18 = "", VLOOKUP('Interactive Selection Sheet'!$B18, 'Master List Import'!$A$1:$P$519, 12, FALSE), ""), "")</f>
        <v>1</v>
      </c>
      <c r="O29" s="69">
        <f>_xlfn.IFNA(IF('Interactive Selection Sheet'!A18 = "", VLOOKUP('Interactive Selection Sheet'!$B18, 'Master List Import'!$A$1:$P$519, 13, FALSE), ""), "")</f>
        <v>1064</v>
      </c>
      <c r="P29" s="69" t="str">
        <f>_xlfn.IFNA(IF('Interactive Selection Sheet'!A18 = "", VLOOKUP('Interactive Selection Sheet'!$B18, 'Master List Import'!$A$1:$P$519, 14, FALSE), ""), "")</f>
        <v>Grey Sweatshirt (2X)</v>
      </c>
      <c r="Q29" s="69">
        <f>_xlfn.IFNA(IF('Interactive Selection Sheet'!A18 = "", VLOOKUP('Interactive Selection Sheet'!$B18, 'Master List Import'!$A$1:$P$519, 15, FALSE), ""), "")</f>
        <v>1</v>
      </c>
      <c r="R29" s="74">
        <f>_xlfn.IFNA(IF('Interactive Selection Sheet'!A18 = "", VLOOKUP('Interactive Selection Sheet'!$B18, 'Master List Import'!$A$1:$P$519, 16, FALSE), ""), "")</f>
        <v>24</v>
      </c>
    </row>
    <row r="30" spans="1:18" ht="21.75" customHeight="1" x14ac:dyDescent="0.25">
      <c r="A30" s="69">
        <f>_xlfn.IFNA(IF('Interactive Selection Sheet'!A19 = "", VLOOKUP('Interactive Selection Sheet'!$B19, 'Master List Import'!$A$1:$P$519, 2, FALSE), ""), "")</f>
        <v>1065</v>
      </c>
      <c r="B30" s="69" t="str">
        <f>_xlfn.IFNA(IF('Interactive Selection Sheet'!A19 = "", VLOOKUP('Interactive Selection Sheet'!$B19, 'Master List Import'!$A$1:$P$519, 3, FALSE), ""), "")</f>
        <v>Sweatshirt, Grey (3X)</v>
      </c>
      <c r="C30" s="76">
        <f>IF('Interactive Selection Sheet'!$T$2="", "", IF(B30="","",'Interactive Selection Sheet'!$T$2))</f>
        <v>3.5000000000000003E-2</v>
      </c>
      <c r="D30" s="70">
        <f>IF(B30 = "", "", 'Interactive Selection Sheet'!$Q$2)</f>
        <v>4.4999999999999998E-2</v>
      </c>
      <c r="E30" s="70">
        <f>IF(B30="","", 'Interactive Selection Sheet'!$R$2)</f>
        <v>0.02</v>
      </c>
      <c r="F30" s="69" t="str">
        <f>_xlfn.IFNA(IF('Interactive Selection Sheet'!A19 = "", VLOOKUP('Interactive Selection Sheet'!$B19, 'Master List Import'!$A$1:$P$519, 4, FALSE), ""), "")</f>
        <v>Clothing</v>
      </c>
      <c r="G30" s="69" t="str">
        <f>_xlfn.IFNA(IF('Interactive Selection Sheet'!A19 = "", VLOOKUP('Interactive Selection Sheet'!$B19, 'Master List Import'!$A$1:$P$519, 5, FALSE), ""), "")</f>
        <v>Clothing</v>
      </c>
      <c r="H30" s="69" t="str">
        <f>_xlfn.IFNA(IF('Interactive Selection Sheet'!A19 = "", VLOOKUP('Interactive Selection Sheet'!$B19, 'Master List Import'!$A$1:$P$519, 6, FALSE), ""), "")</f>
        <v>Both</v>
      </c>
      <c r="I30" s="72">
        <f>_xlfn.IFNA(IF('Interactive Selection Sheet'!A19 = "", VLOOKUP('Interactive Selection Sheet'!$B19, 'Master List Import'!$A$1:$P$519, 7, FALSE), ""), "")</f>
        <v>9.25</v>
      </c>
      <c r="J30" s="69" t="str">
        <f>_xlfn.IFNA(IF('Interactive Selection Sheet'!A19 = "", VLOOKUP('Interactive Selection Sheet'!$B19, 'Master List Import'!$A$1:$P$519, 8, FALSE), ""), "")</f>
        <v>REI</v>
      </c>
      <c r="K30" s="69" t="str">
        <f>_xlfn.IFNA(IF('Interactive Selection Sheet'!A19 = "", VLOOKUP('Interactive Selection Sheet'!$B19, 'Master List Import'!$A$1:$P$519, 9, FALSE), ""), "")</f>
        <v>901006</v>
      </c>
      <c r="L30" s="69">
        <f>_xlfn.IFNA(IF('Interactive Selection Sheet'!A19 = "", VLOOKUP('Interactive Selection Sheet'!$B19, 'Master List Import'!$A$1:$P$519, 10, FALSE), ""), "")</f>
        <v>0</v>
      </c>
      <c r="M30" s="69">
        <f>_xlfn.IFNA(IF('Interactive Selection Sheet'!A19 = "", VLOOKUP('Interactive Selection Sheet'!$B19, 'Master List Import'!$A$1:$P$519, 11, FALSE), ""), "")</f>
        <v>0</v>
      </c>
      <c r="N30" s="69">
        <f>_xlfn.IFNA(IF('Interactive Selection Sheet'!A19 = "", VLOOKUP('Interactive Selection Sheet'!$B19, 'Master List Import'!$A$1:$P$519, 12, FALSE), ""), "")</f>
        <v>1</v>
      </c>
      <c r="O30" s="69">
        <f>_xlfn.IFNA(IF('Interactive Selection Sheet'!A19 = "", VLOOKUP('Interactive Selection Sheet'!$B19, 'Master List Import'!$A$1:$P$519, 13, FALSE), ""), "")</f>
        <v>1065</v>
      </c>
      <c r="P30" s="69" t="str">
        <f>_xlfn.IFNA(IF('Interactive Selection Sheet'!A19 = "", VLOOKUP('Interactive Selection Sheet'!$B19, 'Master List Import'!$A$1:$P$519, 14, FALSE), ""), "")</f>
        <v>Grey Sweatshirt (3X)</v>
      </c>
      <c r="Q30" s="69">
        <f>_xlfn.IFNA(IF('Interactive Selection Sheet'!A19 = "", VLOOKUP('Interactive Selection Sheet'!$B19, 'Master List Import'!$A$1:$P$519, 15, FALSE), ""), "")</f>
        <v>1</v>
      </c>
      <c r="R30" s="74">
        <f>_xlfn.IFNA(IF('Interactive Selection Sheet'!A19 = "", VLOOKUP('Interactive Selection Sheet'!$B19, 'Master List Import'!$A$1:$P$519, 16, FALSE), ""), "")</f>
        <v>28</v>
      </c>
    </row>
    <row r="31" spans="1:18" ht="21.75" customHeight="1" x14ac:dyDescent="0.25">
      <c r="A31" s="69">
        <f>_xlfn.IFNA(IF('Interactive Selection Sheet'!A20 = "", VLOOKUP('Interactive Selection Sheet'!$B20, 'Master List Import'!$A$1:$P$519, 2, FALSE), ""), "")</f>
        <v>1066</v>
      </c>
      <c r="B31" s="69" t="str">
        <f>_xlfn.IFNA(IF('Interactive Selection Sheet'!A20 = "", VLOOKUP('Interactive Selection Sheet'!$B20, 'Master List Import'!$A$1:$P$519, 3, FALSE), ""), "")</f>
        <v>Sweatshirt, Grey (4X)</v>
      </c>
      <c r="C31" s="76">
        <f>IF('Interactive Selection Sheet'!$T$2="", "", IF(B31="","",'Interactive Selection Sheet'!$T$2))</f>
        <v>3.5000000000000003E-2</v>
      </c>
      <c r="D31" s="70">
        <f>IF(B31 = "", "", 'Interactive Selection Sheet'!$Q$2)</f>
        <v>4.4999999999999998E-2</v>
      </c>
      <c r="E31" s="70">
        <f>IF(B31="","", 'Interactive Selection Sheet'!$R$2)</f>
        <v>0.02</v>
      </c>
      <c r="F31" s="69" t="str">
        <f>_xlfn.IFNA(IF('Interactive Selection Sheet'!A20 = "", VLOOKUP('Interactive Selection Sheet'!$B20, 'Master List Import'!$A$1:$P$519, 4, FALSE), ""), "")</f>
        <v>Clothing</v>
      </c>
      <c r="G31" s="69" t="str">
        <f>_xlfn.IFNA(IF('Interactive Selection Sheet'!A20 = "", VLOOKUP('Interactive Selection Sheet'!$B20, 'Master List Import'!$A$1:$P$519, 5, FALSE), ""), "")</f>
        <v>Clothing</v>
      </c>
      <c r="H31" s="69" t="str">
        <f>_xlfn.IFNA(IF('Interactive Selection Sheet'!A20 = "", VLOOKUP('Interactive Selection Sheet'!$B20, 'Master List Import'!$A$1:$P$519, 6, FALSE), ""), "")</f>
        <v>Both</v>
      </c>
      <c r="I31" s="72">
        <f>_xlfn.IFNA(IF('Interactive Selection Sheet'!A20 = "", VLOOKUP('Interactive Selection Sheet'!$B20, 'Master List Import'!$A$1:$P$519, 7, FALSE), ""), "")</f>
        <v>10.5</v>
      </c>
      <c r="J31" s="69" t="str">
        <f>_xlfn.IFNA(IF('Interactive Selection Sheet'!A20 = "", VLOOKUP('Interactive Selection Sheet'!$B20, 'Master List Import'!$A$1:$P$519, 8, FALSE), ""), "")</f>
        <v>REI</v>
      </c>
      <c r="K31" s="69" t="str">
        <f>_xlfn.IFNA(IF('Interactive Selection Sheet'!A20 = "", VLOOKUP('Interactive Selection Sheet'!$B20, 'Master List Import'!$A$1:$P$519, 9, FALSE), ""), "")</f>
        <v>901007</v>
      </c>
      <c r="L31" s="69">
        <f>_xlfn.IFNA(IF('Interactive Selection Sheet'!A20 = "", VLOOKUP('Interactive Selection Sheet'!$B20, 'Master List Import'!$A$1:$P$519, 10, FALSE), ""), "")</f>
        <v>0</v>
      </c>
      <c r="M31" s="69">
        <f>_xlfn.IFNA(IF('Interactive Selection Sheet'!A20 = "", VLOOKUP('Interactive Selection Sheet'!$B20, 'Master List Import'!$A$1:$P$519, 11, FALSE), ""), "")</f>
        <v>0</v>
      </c>
      <c r="N31" s="69">
        <f>_xlfn.IFNA(IF('Interactive Selection Sheet'!A20 = "", VLOOKUP('Interactive Selection Sheet'!$B20, 'Master List Import'!$A$1:$P$519, 12, FALSE), ""), "")</f>
        <v>1</v>
      </c>
      <c r="O31" s="69">
        <f>_xlfn.IFNA(IF('Interactive Selection Sheet'!A20 = "", VLOOKUP('Interactive Selection Sheet'!$B20, 'Master List Import'!$A$1:$P$519, 13, FALSE), ""), "")</f>
        <v>1066</v>
      </c>
      <c r="P31" s="69" t="str">
        <f>_xlfn.IFNA(IF('Interactive Selection Sheet'!A20 = "", VLOOKUP('Interactive Selection Sheet'!$B20, 'Master List Import'!$A$1:$P$519, 14, FALSE), ""), "")</f>
        <v>Grey Sweatshirt (4X)</v>
      </c>
      <c r="Q31" s="69">
        <f>_xlfn.IFNA(IF('Interactive Selection Sheet'!A20 = "", VLOOKUP('Interactive Selection Sheet'!$B20, 'Master List Import'!$A$1:$P$519, 15, FALSE), ""), "")</f>
        <v>1</v>
      </c>
      <c r="R31" s="74">
        <f>_xlfn.IFNA(IF('Interactive Selection Sheet'!A20 = "", VLOOKUP('Interactive Selection Sheet'!$B20, 'Master List Import'!$A$1:$P$519, 16, FALSE), ""), "")</f>
        <v>32</v>
      </c>
    </row>
    <row r="32" spans="1:18" ht="21.75" customHeight="1" x14ac:dyDescent="0.25">
      <c r="A32" s="69">
        <f>_xlfn.IFNA(IF('Interactive Selection Sheet'!A21 = "", VLOOKUP('Interactive Selection Sheet'!$B21, 'Master List Import'!$A$1:$P$519, 2, FALSE), ""), "")</f>
        <v>1067</v>
      </c>
      <c r="B32" s="69" t="str">
        <f>_xlfn.IFNA(IF('Interactive Selection Sheet'!A21 = "", VLOOKUP('Interactive Selection Sheet'!$B21, 'Master List Import'!$A$1:$P$519, 3, FALSE), ""), "")</f>
        <v>Sweatshirt, Grey (5XL)</v>
      </c>
      <c r="C32" s="76">
        <f>IF('Interactive Selection Sheet'!$T$2="", "", IF(B32="","",'Interactive Selection Sheet'!$T$2))</f>
        <v>3.5000000000000003E-2</v>
      </c>
      <c r="D32" s="70">
        <f>IF(B32 = "", "", 'Interactive Selection Sheet'!$Q$2)</f>
        <v>4.4999999999999998E-2</v>
      </c>
      <c r="E32" s="70">
        <f>IF(B32="","", 'Interactive Selection Sheet'!$R$2)</f>
        <v>0.02</v>
      </c>
      <c r="F32" s="69" t="str">
        <f>_xlfn.IFNA(IF('Interactive Selection Sheet'!A21 = "", VLOOKUP('Interactive Selection Sheet'!$B21, 'Master List Import'!$A$1:$P$519, 4, FALSE), ""), "")</f>
        <v>Clothing</v>
      </c>
      <c r="G32" s="69" t="str">
        <f>_xlfn.IFNA(IF('Interactive Selection Sheet'!A21 = "", VLOOKUP('Interactive Selection Sheet'!$B21, 'Master List Import'!$A$1:$P$519, 5, FALSE), ""), "")</f>
        <v>Clothing</v>
      </c>
      <c r="H32" s="69" t="str">
        <f>_xlfn.IFNA(IF('Interactive Selection Sheet'!A21 = "", VLOOKUP('Interactive Selection Sheet'!$B21, 'Master List Import'!$A$1:$P$519, 6, FALSE), ""), "")</f>
        <v>Both</v>
      </c>
      <c r="I32" s="72">
        <f>_xlfn.IFNA(IF('Interactive Selection Sheet'!A21 = "", VLOOKUP('Interactive Selection Sheet'!$B21, 'Master List Import'!$A$1:$P$519, 7, FALSE), ""), "")</f>
        <v>16.8</v>
      </c>
      <c r="J32" s="69" t="str">
        <f>_xlfn.IFNA(IF('Interactive Selection Sheet'!A21 = "", VLOOKUP('Interactive Selection Sheet'!$B21, 'Master List Import'!$A$1:$P$519, 8, FALSE), ""), "")</f>
        <v>Claiborne Parish</v>
      </c>
      <c r="K32" s="69" t="str">
        <f>_xlfn.IFNA(IF('Interactive Selection Sheet'!A21 = "", VLOOKUP('Interactive Selection Sheet'!$B21, 'Master List Import'!$A$1:$P$519, 9, FALSE), ""), "")</f>
        <v>60133</v>
      </c>
      <c r="L32" s="69">
        <f>_xlfn.IFNA(IF('Interactive Selection Sheet'!A21 = "", VLOOKUP('Interactive Selection Sheet'!$B21, 'Master List Import'!$A$1:$P$519, 10, FALSE), ""), "")</f>
        <v>0</v>
      </c>
      <c r="M32" s="69">
        <f>_xlfn.IFNA(IF('Interactive Selection Sheet'!A21 = "", VLOOKUP('Interactive Selection Sheet'!$B21, 'Master List Import'!$A$1:$P$519, 11, FALSE), ""), "")</f>
        <v>0</v>
      </c>
      <c r="N32" s="69">
        <f>_xlfn.IFNA(IF('Interactive Selection Sheet'!A21 = "", VLOOKUP('Interactive Selection Sheet'!$B21, 'Master List Import'!$A$1:$P$519, 12, FALSE), ""), "")</f>
        <v>1</v>
      </c>
      <c r="O32" s="69">
        <f>_xlfn.IFNA(IF('Interactive Selection Sheet'!A21 = "", VLOOKUP('Interactive Selection Sheet'!$B21, 'Master List Import'!$A$1:$P$519, 13, FALSE), ""), "")</f>
        <v>1067</v>
      </c>
      <c r="P32" s="69" t="str">
        <f>_xlfn.IFNA(IF('Interactive Selection Sheet'!A21 = "", VLOOKUP('Interactive Selection Sheet'!$B21, 'Master List Import'!$A$1:$P$519, 14, FALSE), ""), "")</f>
        <v>Grey Sweatshirt (5XL)</v>
      </c>
      <c r="Q32" s="69">
        <f>_xlfn.IFNA(IF('Interactive Selection Sheet'!A21 = "", VLOOKUP('Interactive Selection Sheet'!$B21, 'Master List Import'!$A$1:$P$519, 15, FALSE), ""), "")</f>
        <v>1</v>
      </c>
      <c r="R32" s="74">
        <f>_xlfn.IFNA(IF('Interactive Selection Sheet'!A21 = "", VLOOKUP('Interactive Selection Sheet'!$B21, 'Master List Import'!$A$1:$P$519, 16, FALSE), ""), "")</f>
        <v>33.5</v>
      </c>
    </row>
    <row r="33" spans="1:18" ht="21.75" customHeight="1" x14ac:dyDescent="0.25">
      <c r="A33" s="69">
        <f>_xlfn.IFNA(IF('Interactive Selection Sheet'!A22 = "", VLOOKUP('Interactive Selection Sheet'!$B22, 'Master List Import'!$A$1:$P$519, 2, FALSE), ""), "")</f>
        <v>1068</v>
      </c>
      <c r="B33" s="69" t="str">
        <f>_xlfn.IFNA(IF('Interactive Selection Sheet'!A22 = "", VLOOKUP('Interactive Selection Sheet'!$B22, 'Master List Import'!$A$1:$P$519, 3, FALSE), ""), "")</f>
        <v>Sweatshirt, Grey (6XL)</v>
      </c>
      <c r="C33" s="76">
        <f>IF('Interactive Selection Sheet'!$T$2="", "", IF(B33="","",'Interactive Selection Sheet'!$T$2))</f>
        <v>3.5000000000000003E-2</v>
      </c>
      <c r="D33" s="70">
        <f>IF(B33 = "", "", 'Interactive Selection Sheet'!$Q$2)</f>
        <v>4.4999999999999998E-2</v>
      </c>
      <c r="E33" s="70">
        <f>IF(B33="","", 'Interactive Selection Sheet'!$R$2)</f>
        <v>0.02</v>
      </c>
      <c r="F33" s="69" t="str">
        <f>_xlfn.IFNA(IF('Interactive Selection Sheet'!A22 = "", VLOOKUP('Interactive Selection Sheet'!$B22, 'Master List Import'!$A$1:$P$519, 4, FALSE), ""), "")</f>
        <v>Clothing</v>
      </c>
      <c r="G33" s="69" t="str">
        <f>_xlfn.IFNA(IF('Interactive Selection Sheet'!A22 = "", VLOOKUP('Interactive Selection Sheet'!$B22, 'Master List Import'!$A$1:$P$519, 5, FALSE), ""), "")</f>
        <v>Clothing</v>
      </c>
      <c r="H33" s="69" t="str">
        <f>_xlfn.IFNA(IF('Interactive Selection Sheet'!A22 = "", VLOOKUP('Interactive Selection Sheet'!$B22, 'Master List Import'!$A$1:$P$519, 6, FALSE), ""), "")</f>
        <v>Both</v>
      </c>
      <c r="I33" s="72">
        <f>_xlfn.IFNA(IF('Interactive Selection Sheet'!A22 = "", VLOOKUP('Interactive Selection Sheet'!$B22, 'Master List Import'!$A$1:$P$519, 7, FALSE), ""), "")</f>
        <v>16.8</v>
      </c>
      <c r="J33" s="69" t="str">
        <f>_xlfn.IFNA(IF('Interactive Selection Sheet'!A22 = "", VLOOKUP('Interactive Selection Sheet'!$B22, 'Master List Import'!$A$1:$P$519, 8, FALSE), ""), "")</f>
        <v>Claiborne Parish</v>
      </c>
      <c r="K33" s="69" t="str">
        <f>_xlfn.IFNA(IF('Interactive Selection Sheet'!A22 = "", VLOOKUP('Interactive Selection Sheet'!$B22, 'Master List Import'!$A$1:$P$519, 9, FALSE), ""), "")</f>
        <v>60134</v>
      </c>
      <c r="L33" s="69">
        <f>_xlfn.IFNA(IF('Interactive Selection Sheet'!A22 = "", VLOOKUP('Interactive Selection Sheet'!$B22, 'Master List Import'!$A$1:$P$519, 10, FALSE), ""), "")</f>
        <v>0</v>
      </c>
      <c r="M33" s="69">
        <f>_xlfn.IFNA(IF('Interactive Selection Sheet'!A22 = "", VLOOKUP('Interactive Selection Sheet'!$B22, 'Master List Import'!$A$1:$P$519, 11, FALSE), ""), "")</f>
        <v>0</v>
      </c>
      <c r="N33" s="69">
        <f>_xlfn.IFNA(IF('Interactive Selection Sheet'!A22 = "", VLOOKUP('Interactive Selection Sheet'!$B22, 'Master List Import'!$A$1:$P$519, 12, FALSE), ""), "")</f>
        <v>1</v>
      </c>
      <c r="O33" s="69">
        <f>_xlfn.IFNA(IF('Interactive Selection Sheet'!A22 = "", VLOOKUP('Interactive Selection Sheet'!$B22, 'Master List Import'!$A$1:$P$519, 13, FALSE), ""), "")</f>
        <v>1068</v>
      </c>
      <c r="P33" s="69" t="str">
        <f>_xlfn.IFNA(IF('Interactive Selection Sheet'!A22 = "", VLOOKUP('Interactive Selection Sheet'!$B22, 'Master List Import'!$A$1:$P$519, 14, FALSE), ""), "")</f>
        <v>Grey Sweatshirt (6XL)</v>
      </c>
      <c r="Q33" s="69">
        <f>_xlfn.IFNA(IF('Interactive Selection Sheet'!A22 = "", VLOOKUP('Interactive Selection Sheet'!$B22, 'Master List Import'!$A$1:$P$519, 15, FALSE), ""), "")</f>
        <v>1</v>
      </c>
      <c r="R33" s="74">
        <f>_xlfn.IFNA(IF('Interactive Selection Sheet'!A22 = "", VLOOKUP('Interactive Selection Sheet'!$B22, 'Master List Import'!$A$1:$P$519, 16, FALSE), ""), "")</f>
        <v>36.5</v>
      </c>
    </row>
    <row r="34" spans="1:18" ht="21.75" customHeight="1" x14ac:dyDescent="0.25">
      <c r="A34" s="69">
        <f>_xlfn.IFNA(IF('Interactive Selection Sheet'!F15= "", VLOOKUP('Interactive Selection Sheet'!$G15, 'Master List Import'!$A$1:$P$519, 2, FALSE), ""), "")</f>
        <v>1071</v>
      </c>
      <c r="B34" s="69" t="str">
        <f>_xlfn.IFNA(IF('Interactive Selection Sheet'!F15= "", VLOOKUP('Interactive Selection Sheet'!$G15, 'Master List Import'!$A$1:$P$519, 3, FALSE), ""), "")</f>
        <v>Sweatpants, Grey (Md)</v>
      </c>
      <c r="C34" s="76">
        <f>IF('Interactive Selection Sheet'!$T$2="", "", IF(B34="","",'Interactive Selection Sheet'!$T$2))</f>
        <v>3.5000000000000003E-2</v>
      </c>
      <c r="D34" s="70">
        <f>IF(B34 = "", "", 'Interactive Selection Sheet'!$Q$2)</f>
        <v>4.4999999999999998E-2</v>
      </c>
      <c r="E34" s="70">
        <f>IF(B34="","", 'Interactive Selection Sheet'!$R$2)</f>
        <v>0.02</v>
      </c>
      <c r="F34" s="69" t="str">
        <f>_xlfn.IFNA(IF('Interactive Selection Sheet'!F15= "", VLOOKUP('Interactive Selection Sheet'!$G15, 'Master List Import'!$A$1:$P$519, 4, FALSE), ""), "")</f>
        <v>Clothing</v>
      </c>
      <c r="G34" s="69" t="str">
        <f>_xlfn.IFNA(IF('Interactive Selection Sheet'!F15= "", VLOOKUP('Interactive Selection Sheet'!$G15, 'Master List Import'!$A$1:$P$519, 5, FALSE), ""), "")</f>
        <v>Clothing</v>
      </c>
      <c r="H34" s="69" t="str">
        <f>_xlfn.IFNA(IF('Interactive Selection Sheet'!F15= "", VLOOKUP('Interactive Selection Sheet'!$G15, 'Master List Import'!$A$1:$P$519, 6, FALSE), ""), "")</f>
        <v>Both</v>
      </c>
      <c r="I34" s="72">
        <f>_xlfn.IFNA(IF('Interactive Selection Sheet'!F15= "", VLOOKUP('Interactive Selection Sheet'!$G15, 'Master List Import'!$A$1:$P$519, 7, FALSE), ""), "")</f>
        <v>8.15</v>
      </c>
      <c r="J34" s="69" t="str">
        <f>_xlfn.IFNA(IF('Interactive Selection Sheet'!F15= "", VLOOKUP('Interactive Selection Sheet'!$G15, 'Master List Import'!$A$1:$P$519, 8, FALSE), ""), "")</f>
        <v>REI</v>
      </c>
      <c r="K34" s="69" t="str">
        <f>_xlfn.IFNA(IF('Interactive Selection Sheet'!F15= "", VLOOKUP('Interactive Selection Sheet'!$G15, 'Master List Import'!$A$1:$P$519, 9, FALSE), ""), "")</f>
        <v>901102</v>
      </c>
      <c r="L34" s="69">
        <f>_xlfn.IFNA(IF('Interactive Selection Sheet'!F15= "", VLOOKUP('Interactive Selection Sheet'!$G15, 'Master List Import'!$A$1:$P$519, 10, FALSE), ""), "")</f>
        <v>0</v>
      </c>
      <c r="M34" s="69">
        <f>_xlfn.IFNA(IF('Interactive Selection Sheet'!F15= "", VLOOKUP('Interactive Selection Sheet'!$G15, 'Master List Import'!$A$1:$P$519, 11, FALSE), ""), "")</f>
        <v>0</v>
      </c>
      <c r="N34" s="69">
        <f>_xlfn.IFNA(IF('Interactive Selection Sheet'!F15= "", VLOOKUP('Interactive Selection Sheet'!$G15, 'Master List Import'!$A$1:$P$519, 12, FALSE), ""), "")</f>
        <v>1</v>
      </c>
      <c r="O34" s="69">
        <f>_xlfn.IFNA(IF('Interactive Selection Sheet'!F15= "", VLOOKUP('Interactive Selection Sheet'!$G15, 'Master List Import'!$A$1:$P$519, 13, FALSE), ""), "")</f>
        <v>1071</v>
      </c>
      <c r="P34" s="69" t="str">
        <f>_xlfn.IFNA(IF('Interactive Selection Sheet'!F15= "", VLOOKUP('Interactive Selection Sheet'!$G15, 'Master List Import'!$A$1:$P$519, 14, FALSE), ""), "")</f>
        <v>Grey Sweatpants (Md)</v>
      </c>
      <c r="Q34" s="69">
        <f>_xlfn.IFNA(IF('Interactive Selection Sheet'!F15= "", VLOOKUP('Interactive Selection Sheet'!$G15, 'Master List Import'!$A$1:$P$519, 15, FALSE), ""), "")</f>
        <v>1</v>
      </c>
      <c r="R34" s="74">
        <f>_xlfn.IFNA(IF('Interactive Selection Sheet'!F15= "", VLOOKUP('Interactive Selection Sheet'!$G15, 'Master List Import'!$A$1:$P$519, 16, FALSE), ""), "")</f>
        <v>25</v>
      </c>
    </row>
    <row r="35" spans="1:18" ht="21.75" customHeight="1" x14ac:dyDescent="0.25">
      <c r="A35" s="69">
        <f>_xlfn.IFNA(IF('Interactive Selection Sheet'!F16= "", VLOOKUP('Interactive Selection Sheet'!$G16, 'Master List Import'!$A$1:$P$519, 2, FALSE), ""), "")</f>
        <v>1072</v>
      </c>
      <c r="B35" s="69" t="str">
        <f>_xlfn.IFNA(IF('Interactive Selection Sheet'!F16= "", VLOOKUP('Interactive Selection Sheet'!$G16, 'Master List Import'!$A$1:$P$519, 3, FALSE), ""), "")</f>
        <v>Sweatpants, Grey (Lg)</v>
      </c>
      <c r="C35" s="76">
        <f>IF('Interactive Selection Sheet'!$T$2="", "", IF(B35="","",'Interactive Selection Sheet'!$T$2))</f>
        <v>3.5000000000000003E-2</v>
      </c>
      <c r="D35" s="70">
        <f>IF(B35 = "", "", 'Interactive Selection Sheet'!$Q$2)</f>
        <v>4.4999999999999998E-2</v>
      </c>
      <c r="E35" s="70">
        <f>IF(B35="","", 'Interactive Selection Sheet'!$R$2)</f>
        <v>0.02</v>
      </c>
      <c r="F35" s="69" t="str">
        <f>_xlfn.IFNA(IF('Interactive Selection Sheet'!F16= "", VLOOKUP('Interactive Selection Sheet'!$G16, 'Master List Import'!$A$1:$P$519, 4, FALSE), ""), "")</f>
        <v>Clothing</v>
      </c>
      <c r="G35" s="69" t="str">
        <f>_xlfn.IFNA(IF('Interactive Selection Sheet'!F16= "", VLOOKUP('Interactive Selection Sheet'!$G16, 'Master List Import'!$A$1:$P$519, 5, FALSE), ""), "")</f>
        <v>Clothing</v>
      </c>
      <c r="H35" s="69" t="str">
        <f>_xlfn.IFNA(IF('Interactive Selection Sheet'!F16= "", VLOOKUP('Interactive Selection Sheet'!$G16, 'Master List Import'!$A$1:$P$519, 6, FALSE), ""), "")</f>
        <v>Both</v>
      </c>
      <c r="I35" s="72">
        <f>_xlfn.IFNA(IF('Interactive Selection Sheet'!F16= "", VLOOKUP('Interactive Selection Sheet'!$G16, 'Master List Import'!$A$1:$P$519, 7, FALSE), ""), "")</f>
        <v>8.15</v>
      </c>
      <c r="J35" s="69" t="str">
        <f>_xlfn.IFNA(IF('Interactive Selection Sheet'!F16= "", VLOOKUP('Interactive Selection Sheet'!$G16, 'Master List Import'!$A$1:$P$519, 8, FALSE), ""), "")</f>
        <v>REI</v>
      </c>
      <c r="K35" s="69" t="str">
        <f>_xlfn.IFNA(IF('Interactive Selection Sheet'!F16= "", VLOOKUP('Interactive Selection Sheet'!$G16, 'Master List Import'!$A$1:$P$519, 9, FALSE), ""), "")</f>
        <v>901103</v>
      </c>
      <c r="L35" s="69">
        <f>_xlfn.IFNA(IF('Interactive Selection Sheet'!F16= "", VLOOKUP('Interactive Selection Sheet'!$G16, 'Master List Import'!$A$1:$P$519, 10, FALSE), ""), "")</f>
        <v>0</v>
      </c>
      <c r="M35" s="69">
        <f>_xlfn.IFNA(IF('Interactive Selection Sheet'!F16= "", VLOOKUP('Interactive Selection Sheet'!$G16, 'Master List Import'!$A$1:$P$519, 11, FALSE), ""), "")</f>
        <v>0</v>
      </c>
      <c r="N35" s="69">
        <f>_xlfn.IFNA(IF('Interactive Selection Sheet'!F16= "", VLOOKUP('Interactive Selection Sheet'!$G16, 'Master List Import'!$A$1:$P$519, 12, FALSE), ""), "")</f>
        <v>1</v>
      </c>
      <c r="O35" s="69">
        <f>_xlfn.IFNA(IF('Interactive Selection Sheet'!F16= "", VLOOKUP('Interactive Selection Sheet'!$G16, 'Master List Import'!$A$1:$P$519, 13, FALSE), ""), "")</f>
        <v>1072</v>
      </c>
      <c r="P35" s="69" t="str">
        <f>_xlfn.IFNA(IF('Interactive Selection Sheet'!F16= "", VLOOKUP('Interactive Selection Sheet'!$G16, 'Master List Import'!$A$1:$P$519, 14, FALSE), ""), "")</f>
        <v>Grey Sweatpants (Lg)</v>
      </c>
      <c r="Q35" s="69">
        <f>_xlfn.IFNA(IF('Interactive Selection Sheet'!F16= "", VLOOKUP('Interactive Selection Sheet'!$G16, 'Master List Import'!$A$1:$P$519, 15, FALSE), ""), "")</f>
        <v>1</v>
      </c>
      <c r="R35" s="74">
        <f>_xlfn.IFNA(IF('Interactive Selection Sheet'!F16= "", VLOOKUP('Interactive Selection Sheet'!$G16, 'Master List Import'!$A$1:$P$519, 16, FALSE), ""), "")</f>
        <v>25</v>
      </c>
    </row>
    <row r="36" spans="1:18" ht="21.75" customHeight="1" x14ac:dyDescent="0.25">
      <c r="A36" s="69">
        <f>_xlfn.IFNA(IF('Interactive Selection Sheet'!F17= "", VLOOKUP('Interactive Selection Sheet'!$G17, 'Master List Import'!$A$1:$P$519, 2, FALSE), ""), "")</f>
        <v>1073</v>
      </c>
      <c r="B36" s="69" t="str">
        <f>_xlfn.IFNA(IF('Interactive Selection Sheet'!F17= "", VLOOKUP('Interactive Selection Sheet'!$G17, 'Master List Import'!$A$1:$P$519, 3, FALSE), ""), "")</f>
        <v>Sweatpants, Grey (XL)</v>
      </c>
      <c r="C36" s="76">
        <f>IF('Interactive Selection Sheet'!$T$2="", "", IF(B36="","",'Interactive Selection Sheet'!$T$2))</f>
        <v>3.5000000000000003E-2</v>
      </c>
      <c r="D36" s="70">
        <f>IF(B36 = "", "", 'Interactive Selection Sheet'!$Q$2)</f>
        <v>4.4999999999999998E-2</v>
      </c>
      <c r="E36" s="70">
        <f>IF(B36="","", 'Interactive Selection Sheet'!$R$2)</f>
        <v>0.02</v>
      </c>
      <c r="F36" s="69" t="str">
        <f>_xlfn.IFNA(IF('Interactive Selection Sheet'!F17= "", VLOOKUP('Interactive Selection Sheet'!$G17, 'Master List Import'!$A$1:$P$519, 4, FALSE), ""), "")</f>
        <v>Clothing</v>
      </c>
      <c r="G36" s="69" t="str">
        <f>_xlfn.IFNA(IF('Interactive Selection Sheet'!F17= "", VLOOKUP('Interactive Selection Sheet'!$G17, 'Master List Import'!$A$1:$P$519, 5, FALSE), ""), "")</f>
        <v>Clothing</v>
      </c>
      <c r="H36" s="69" t="str">
        <f>_xlfn.IFNA(IF('Interactive Selection Sheet'!F17= "", VLOOKUP('Interactive Selection Sheet'!$G17, 'Master List Import'!$A$1:$P$519, 6, FALSE), ""), "")</f>
        <v>Both</v>
      </c>
      <c r="I36" s="72">
        <f>_xlfn.IFNA(IF('Interactive Selection Sheet'!F17= "", VLOOKUP('Interactive Selection Sheet'!$G17, 'Master List Import'!$A$1:$P$519, 7, FALSE), ""), "")</f>
        <v>8.15</v>
      </c>
      <c r="J36" s="69" t="str">
        <f>_xlfn.IFNA(IF('Interactive Selection Sheet'!F17= "", VLOOKUP('Interactive Selection Sheet'!$G17, 'Master List Import'!$A$1:$P$519, 8, FALSE), ""), "")</f>
        <v>REI</v>
      </c>
      <c r="K36" s="69" t="str">
        <f>_xlfn.IFNA(IF('Interactive Selection Sheet'!F17= "", VLOOKUP('Interactive Selection Sheet'!$G17, 'Master List Import'!$A$1:$P$519, 9, FALSE), ""), "")</f>
        <v>901104</v>
      </c>
      <c r="L36" s="69">
        <f>_xlfn.IFNA(IF('Interactive Selection Sheet'!F17= "", VLOOKUP('Interactive Selection Sheet'!$G17, 'Master List Import'!$A$1:$P$519, 10, FALSE), ""), "")</f>
        <v>0</v>
      </c>
      <c r="M36" s="69">
        <f>_xlfn.IFNA(IF('Interactive Selection Sheet'!F17= "", VLOOKUP('Interactive Selection Sheet'!$G17, 'Master List Import'!$A$1:$P$519, 11, FALSE), ""), "")</f>
        <v>0</v>
      </c>
      <c r="N36" s="69">
        <f>_xlfn.IFNA(IF('Interactive Selection Sheet'!F17= "", VLOOKUP('Interactive Selection Sheet'!$G17, 'Master List Import'!$A$1:$P$519, 12, FALSE), ""), "")</f>
        <v>1</v>
      </c>
      <c r="O36" s="69">
        <f>_xlfn.IFNA(IF('Interactive Selection Sheet'!F17= "", VLOOKUP('Interactive Selection Sheet'!$G17, 'Master List Import'!$A$1:$P$519, 13, FALSE), ""), "")</f>
        <v>1073</v>
      </c>
      <c r="P36" s="69" t="str">
        <f>_xlfn.IFNA(IF('Interactive Selection Sheet'!F17= "", VLOOKUP('Interactive Selection Sheet'!$G17, 'Master List Import'!$A$1:$P$519, 14, FALSE), ""), "")</f>
        <v>Grey Sweatpants (XL)</v>
      </c>
      <c r="Q36" s="69">
        <f>_xlfn.IFNA(IF('Interactive Selection Sheet'!F17= "", VLOOKUP('Interactive Selection Sheet'!$G17, 'Master List Import'!$A$1:$P$519, 15, FALSE), ""), "")</f>
        <v>1</v>
      </c>
      <c r="R36" s="74">
        <f>_xlfn.IFNA(IF('Interactive Selection Sheet'!F17= "", VLOOKUP('Interactive Selection Sheet'!$G17, 'Master List Import'!$A$1:$P$519, 16, FALSE), ""), "")</f>
        <v>25</v>
      </c>
    </row>
    <row r="37" spans="1:18" ht="21.75" customHeight="1" x14ac:dyDescent="0.25">
      <c r="A37" s="69">
        <f>_xlfn.IFNA(IF('Interactive Selection Sheet'!F18= "", VLOOKUP('Interactive Selection Sheet'!$G18, 'Master List Import'!$A$1:$P$519, 2, FALSE), ""), "")</f>
        <v>1074</v>
      </c>
      <c r="B37" s="69" t="str">
        <f>_xlfn.IFNA(IF('Interactive Selection Sheet'!F18= "", VLOOKUP('Interactive Selection Sheet'!$G18, 'Master List Import'!$A$1:$P$519, 3, FALSE), ""), "")</f>
        <v>Sweatpants, Grey (2X)</v>
      </c>
      <c r="C37" s="76">
        <f>IF('Interactive Selection Sheet'!$T$2="", "", IF(B37="","",'Interactive Selection Sheet'!$T$2))</f>
        <v>3.5000000000000003E-2</v>
      </c>
      <c r="D37" s="70">
        <f>IF(B37 = "", "", 'Interactive Selection Sheet'!$Q$2)</f>
        <v>4.4999999999999998E-2</v>
      </c>
      <c r="E37" s="70">
        <f>IF(B37="","", 'Interactive Selection Sheet'!$R$2)</f>
        <v>0.02</v>
      </c>
      <c r="F37" s="69" t="str">
        <f>_xlfn.IFNA(IF('Interactive Selection Sheet'!F18= "", VLOOKUP('Interactive Selection Sheet'!$G18, 'Master List Import'!$A$1:$P$519, 4, FALSE), ""), "")</f>
        <v>Clothing</v>
      </c>
      <c r="G37" s="69" t="str">
        <f>_xlfn.IFNA(IF('Interactive Selection Sheet'!F18= "", VLOOKUP('Interactive Selection Sheet'!$G18, 'Master List Import'!$A$1:$P$519, 5, FALSE), ""), "")</f>
        <v>Clothing</v>
      </c>
      <c r="H37" s="69" t="str">
        <f>_xlfn.IFNA(IF('Interactive Selection Sheet'!F18= "", VLOOKUP('Interactive Selection Sheet'!$G18, 'Master List Import'!$A$1:$P$519, 6, FALSE), ""), "")</f>
        <v>Both</v>
      </c>
      <c r="I37" s="72">
        <f>_xlfn.IFNA(IF('Interactive Selection Sheet'!F18= "", VLOOKUP('Interactive Selection Sheet'!$G18, 'Master List Import'!$A$1:$P$519, 7, FALSE), ""), "")</f>
        <v>9.25</v>
      </c>
      <c r="J37" s="69" t="str">
        <f>_xlfn.IFNA(IF('Interactive Selection Sheet'!F18= "", VLOOKUP('Interactive Selection Sheet'!$G18, 'Master List Import'!$A$1:$P$519, 8, FALSE), ""), "")</f>
        <v>REI</v>
      </c>
      <c r="K37" s="69" t="str">
        <f>_xlfn.IFNA(IF('Interactive Selection Sheet'!F18= "", VLOOKUP('Interactive Selection Sheet'!$G18, 'Master List Import'!$A$1:$P$519, 9, FALSE), ""), "")</f>
        <v>901105</v>
      </c>
      <c r="L37" s="69">
        <f>_xlfn.IFNA(IF('Interactive Selection Sheet'!F18= "", VLOOKUP('Interactive Selection Sheet'!$G18, 'Master List Import'!$A$1:$P$519, 10, FALSE), ""), "")</f>
        <v>0</v>
      </c>
      <c r="M37" s="69">
        <f>_xlfn.IFNA(IF('Interactive Selection Sheet'!F18= "", VLOOKUP('Interactive Selection Sheet'!$G18, 'Master List Import'!$A$1:$P$519, 11, FALSE), ""), "")</f>
        <v>0</v>
      </c>
      <c r="N37" s="69">
        <f>_xlfn.IFNA(IF('Interactive Selection Sheet'!F18= "", VLOOKUP('Interactive Selection Sheet'!$G18, 'Master List Import'!$A$1:$P$519, 12, FALSE), ""), "")</f>
        <v>1</v>
      </c>
      <c r="O37" s="69">
        <f>_xlfn.IFNA(IF('Interactive Selection Sheet'!F18= "", VLOOKUP('Interactive Selection Sheet'!$G18, 'Master List Import'!$A$1:$P$519, 13, FALSE), ""), "")</f>
        <v>1074</v>
      </c>
      <c r="P37" s="69" t="str">
        <f>_xlfn.IFNA(IF('Interactive Selection Sheet'!F18= "", VLOOKUP('Interactive Selection Sheet'!$G18, 'Master List Import'!$A$1:$P$519, 14, FALSE), ""), "")</f>
        <v>Grey Sweatpants (2X)</v>
      </c>
      <c r="Q37" s="69">
        <f>_xlfn.IFNA(IF('Interactive Selection Sheet'!F18= "", VLOOKUP('Interactive Selection Sheet'!$G18, 'Master List Import'!$A$1:$P$519, 15, FALSE), ""), "")</f>
        <v>1</v>
      </c>
      <c r="R37" s="74">
        <f>_xlfn.IFNA(IF('Interactive Selection Sheet'!F18= "", VLOOKUP('Interactive Selection Sheet'!$G18, 'Master List Import'!$A$1:$P$519, 16, FALSE), ""), "")</f>
        <v>28</v>
      </c>
    </row>
    <row r="38" spans="1:18" ht="21.75" customHeight="1" x14ac:dyDescent="0.25">
      <c r="A38" s="69">
        <f>_xlfn.IFNA(IF('Interactive Selection Sheet'!F19= "", VLOOKUP('Interactive Selection Sheet'!$G19, 'Master List Import'!$A$1:$P$519, 2, FALSE), ""), "")</f>
        <v>1075</v>
      </c>
      <c r="B38" s="69" t="str">
        <f>_xlfn.IFNA(IF('Interactive Selection Sheet'!F19= "", VLOOKUP('Interactive Selection Sheet'!$G19, 'Master List Import'!$A$1:$P$519, 3, FALSE), ""), "")</f>
        <v>Sweatpants, Grey (3X)</v>
      </c>
      <c r="C38" s="76">
        <f>IF('Interactive Selection Sheet'!$T$2="", "", IF(B38="","",'Interactive Selection Sheet'!$T$2))</f>
        <v>3.5000000000000003E-2</v>
      </c>
      <c r="D38" s="70">
        <f>IF(B38 = "", "", 'Interactive Selection Sheet'!$Q$2)</f>
        <v>4.4999999999999998E-2</v>
      </c>
      <c r="E38" s="70">
        <f>IF(B38="","", 'Interactive Selection Sheet'!$R$2)</f>
        <v>0.02</v>
      </c>
      <c r="F38" s="69" t="str">
        <f>_xlfn.IFNA(IF('Interactive Selection Sheet'!F19= "", VLOOKUP('Interactive Selection Sheet'!$G19, 'Master List Import'!$A$1:$P$519, 4, FALSE), ""), "")</f>
        <v>Clothing</v>
      </c>
      <c r="G38" s="69" t="str">
        <f>_xlfn.IFNA(IF('Interactive Selection Sheet'!F19= "", VLOOKUP('Interactive Selection Sheet'!$G19, 'Master List Import'!$A$1:$P$519, 5, FALSE), ""), "")</f>
        <v>Clothing</v>
      </c>
      <c r="H38" s="69" t="str">
        <f>_xlfn.IFNA(IF('Interactive Selection Sheet'!F19= "", VLOOKUP('Interactive Selection Sheet'!$G19, 'Master List Import'!$A$1:$P$519, 6, FALSE), ""), "")</f>
        <v>Both</v>
      </c>
      <c r="I38" s="72">
        <f>_xlfn.IFNA(IF('Interactive Selection Sheet'!F19= "", VLOOKUP('Interactive Selection Sheet'!$G19, 'Master List Import'!$A$1:$P$519, 7, FALSE), ""), "")</f>
        <v>10</v>
      </c>
      <c r="J38" s="69" t="str">
        <f>_xlfn.IFNA(IF('Interactive Selection Sheet'!F19= "", VLOOKUP('Interactive Selection Sheet'!$G19, 'Master List Import'!$A$1:$P$519, 8, FALSE), ""), "")</f>
        <v>REI</v>
      </c>
      <c r="K38" s="69" t="str">
        <f>_xlfn.IFNA(IF('Interactive Selection Sheet'!F19= "", VLOOKUP('Interactive Selection Sheet'!$G19, 'Master List Import'!$A$1:$P$519, 9, FALSE), ""), "")</f>
        <v>901106</v>
      </c>
      <c r="L38" s="69">
        <f>_xlfn.IFNA(IF('Interactive Selection Sheet'!F19= "", VLOOKUP('Interactive Selection Sheet'!$G19, 'Master List Import'!$A$1:$P$519, 10, FALSE), ""), "")</f>
        <v>0</v>
      </c>
      <c r="M38" s="69">
        <f>_xlfn.IFNA(IF('Interactive Selection Sheet'!F19= "", VLOOKUP('Interactive Selection Sheet'!$G19, 'Master List Import'!$A$1:$P$519, 11, FALSE), ""), "")</f>
        <v>0</v>
      </c>
      <c r="N38" s="69">
        <f>_xlfn.IFNA(IF('Interactive Selection Sheet'!F19= "", VLOOKUP('Interactive Selection Sheet'!$G19, 'Master List Import'!$A$1:$P$519, 12, FALSE), ""), "")</f>
        <v>1</v>
      </c>
      <c r="O38" s="69">
        <f>_xlfn.IFNA(IF('Interactive Selection Sheet'!F19= "", VLOOKUP('Interactive Selection Sheet'!$G19, 'Master List Import'!$A$1:$P$519, 13, FALSE), ""), "")</f>
        <v>1075</v>
      </c>
      <c r="P38" s="69" t="str">
        <f>_xlfn.IFNA(IF('Interactive Selection Sheet'!F19= "", VLOOKUP('Interactive Selection Sheet'!$G19, 'Master List Import'!$A$1:$P$519, 14, FALSE), ""), "")</f>
        <v>Grey Sweatpants (3X)</v>
      </c>
      <c r="Q38" s="69">
        <f>_xlfn.IFNA(IF('Interactive Selection Sheet'!F19= "", VLOOKUP('Interactive Selection Sheet'!$G19, 'Master List Import'!$A$1:$P$519, 15, FALSE), ""), "")</f>
        <v>1</v>
      </c>
      <c r="R38" s="74">
        <f>_xlfn.IFNA(IF('Interactive Selection Sheet'!F19= "", VLOOKUP('Interactive Selection Sheet'!$G19, 'Master List Import'!$A$1:$P$519, 16, FALSE), ""), "")</f>
        <v>32</v>
      </c>
    </row>
    <row r="39" spans="1:18" ht="21.75" customHeight="1" x14ac:dyDescent="0.25">
      <c r="A39" s="69">
        <f>_xlfn.IFNA(IF('Interactive Selection Sheet'!F20= "", VLOOKUP('Interactive Selection Sheet'!$G20, 'Master List Import'!$A$1:$P$519, 2, FALSE), ""), "")</f>
        <v>1076</v>
      </c>
      <c r="B39" s="69" t="str">
        <f>_xlfn.IFNA(IF('Interactive Selection Sheet'!F20= "", VLOOKUP('Interactive Selection Sheet'!$G20, 'Master List Import'!$A$1:$P$519, 3, FALSE), ""), "")</f>
        <v>Sweatpants, Grey (4X)</v>
      </c>
      <c r="C39" s="76">
        <f>IF('Interactive Selection Sheet'!$T$2="", "", IF(B39="","",'Interactive Selection Sheet'!$T$2))</f>
        <v>3.5000000000000003E-2</v>
      </c>
      <c r="D39" s="70">
        <f>IF(B39 = "", "", 'Interactive Selection Sheet'!$Q$2)</f>
        <v>4.4999999999999998E-2</v>
      </c>
      <c r="E39" s="70">
        <f>IF(B39="","", 'Interactive Selection Sheet'!$R$2)</f>
        <v>0.02</v>
      </c>
      <c r="F39" s="69" t="str">
        <f>_xlfn.IFNA(IF('Interactive Selection Sheet'!F20= "", VLOOKUP('Interactive Selection Sheet'!$G20, 'Master List Import'!$A$1:$P$519, 4, FALSE), ""), "")</f>
        <v>Clothing</v>
      </c>
      <c r="G39" s="69" t="str">
        <f>_xlfn.IFNA(IF('Interactive Selection Sheet'!F20= "", VLOOKUP('Interactive Selection Sheet'!$G20, 'Master List Import'!$A$1:$P$519, 5, FALSE), ""), "")</f>
        <v>Clothing</v>
      </c>
      <c r="H39" s="69" t="str">
        <f>_xlfn.IFNA(IF('Interactive Selection Sheet'!F20= "", VLOOKUP('Interactive Selection Sheet'!$G20, 'Master List Import'!$A$1:$P$519, 6, FALSE), ""), "")</f>
        <v>Both</v>
      </c>
      <c r="I39" s="72">
        <f>_xlfn.IFNA(IF('Interactive Selection Sheet'!F20= "", VLOOKUP('Interactive Selection Sheet'!$G20, 'Master List Import'!$A$1:$P$519, 7, FALSE), ""), "")</f>
        <v>11</v>
      </c>
      <c r="J39" s="69" t="str">
        <f>_xlfn.IFNA(IF('Interactive Selection Sheet'!F20= "", VLOOKUP('Interactive Selection Sheet'!$G20, 'Master List Import'!$A$1:$P$519, 8, FALSE), ""), "")</f>
        <v>REI</v>
      </c>
      <c r="K39" s="69" t="str">
        <f>_xlfn.IFNA(IF('Interactive Selection Sheet'!F20= "", VLOOKUP('Interactive Selection Sheet'!$G20, 'Master List Import'!$A$1:$P$519, 9, FALSE), ""), "")</f>
        <v>901107</v>
      </c>
      <c r="L39" s="69">
        <f>_xlfn.IFNA(IF('Interactive Selection Sheet'!F20= "", VLOOKUP('Interactive Selection Sheet'!$G20, 'Master List Import'!$A$1:$P$519, 10, FALSE), ""), "")</f>
        <v>0</v>
      </c>
      <c r="M39" s="69">
        <f>_xlfn.IFNA(IF('Interactive Selection Sheet'!F20= "", VLOOKUP('Interactive Selection Sheet'!$G20, 'Master List Import'!$A$1:$P$519, 11, FALSE), ""), "")</f>
        <v>0</v>
      </c>
      <c r="N39" s="69">
        <f>_xlfn.IFNA(IF('Interactive Selection Sheet'!F20= "", VLOOKUP('Interactive Selection Sheet'!$G20, 'Master List Import'!$A$1:$P$519, 12, FALSE), ""), "")</f>
        <v>1</v>
      </c>
      <c r="O39" s="69">
        <f>_xlfn.IFNA(IF('Interactive Selection Sheet'!F20= "", VLOOKUP('Interactive Selection Sheet'!$G20, 'Master List Import'!$A$1:$P$519, 13, FALSE), ""), "")</f>
        <v>1076</v>
      </c>
      <c r="P39" s="69" t="str">
        <f>_xlfn.IFNA(IF('Interactive Selection Sheet'!F20= "", VLOOKUP('Interactive Selection Sheet'!$G20, 'Master List Import'!$A$1:$P$519, 14, FALSE), ""), "")</f>
        <v>Grey Sweatpants (4X)</v>
      </c>
      <c r="Q39" s="69">
        <f>_xlfn.IFNA(IF('Interactive Selection Sheet'!F20= "", VLOOKUP('Interactive Selection Sheet'!$G20, 'Master List Import'!$A$1:$P$519, 15, FALSE), ""), "")</f>
        <v>1</v>
      </c>
      <c r="R39" s="74">
        <f>_xlfn.IFNA(IF('Interactive Selection Sheet'!F20= "", VLOOKUP('Interactive Selection Sheet'!$G20, 'Master List Import'!$A$1:$P$519, 16, FALSE), ""), "")</f>
        <v>34.5</v>
      </c>
    </row>
    <row r="40" spans="1:18" ht="21.75" customHeight="1" x14ac:dyDescent="0.25">
      <c r="A40" s="69">
        <f>_xlfn.IFNA(IF('Interactive Selection Sheet'!F21= "", VLOOKUP('Interactive Selection Sheet'!$G21, 'Master List Import'!$A$1:$P$519, 2, FALSE), ""), "")</f>
        <v>1077</v>
      </c>
      <c r="B40" s="69" t="str">
        <f>_xlfn.IFNA(IF('Interactive Selection Sheet'!F21= "", VLOOKUP('Interactive Selection Sheet'!$G21, 'Master List Import'!$A$1:$P$519, 3, FALSE), ""), "")</f>
        <v>Sweatpants, Grey (5XL)</v>
      </c>
      <c r="C40" s="76">
        <f>IF('Interactive Selection Sheet'!$T$2="", "", IF(B40="","",'Interactive Selection Sheet'!$T$2))</f>
        <v>3.5000000000000003E-2</v>
      </c>
      <c r="D40" s="70">
        <f>IF(B40 = "", "", 'Interactive Selection Sheet'!$Q$2)</f>
        <v>4.4999999999999998E-2</v>
      </c>
      <c r="E40" s="70">
        <f>IF(B40="","", 'Interactive Selection Sheet'!$R$2)</f>
        <v>0.02</v>
      </c>
      <c r="F40" s="69" t="str">
        <f>_xlfn.IFNA(IF('Interactive Selection Sheet'!F21= "", VLOOKUP('Interactive Selection Sheet'!$G21, 'Master List Import'!$A$1:$P$519, 4, FALSE), ""), "")</f>
        <v>Clothing</v>
      </c>
      <c r="G40" s="69" t="str">
        <f>_xlfn.IFNA(IF('Interactive Selection Sheet'!F21= "", VLOOKUP('Interactive Selection Sheet'!$G21, 'Master List Import'!$A$1:$P$519, 5, FALSE), ""), "")</f>
        <v>Clothing</v>
      </c>
      <c r="H40" s="69" t="str">
        <f>_xlfn.IFNA(IF('Interactive Selection Sheet'!F21= "", VLOOKUP('Interactive Selection Sheet'!$G21, 'Master List Import'!$A$1:$P$519, 6, FALSE), ""), "")</f>
        <v>Both</v>
      </c>
      <c r="I40" s="72">
        <f>_xlfn.IFNA(IF('Interactive Selection Sheet'!F21= "", VLOOKUP('Interactive Selection Sheet'!$G21, 'Master List Import'!$A$1:$P$519, 7, FALSE), ""), "")</f>
        <v>16.78</v>
      </c>
      <c r="J40" s="69" t="str">
        <f>_xlfn.IFNA(IF('Interactive Selection Sheet'!F21= "", VLOOKUP('Interactive Selection Sheet'!$G21, 'Master List Import'!$A$1:$P$519, 8, FALSE), ""), "")</f>
        <v>Claiborne Parish</v>
      </c>
      <c r="K40" s="69" t="str">
        <f>_xlfn.IFNA(IF('Interactive Selection Sheet'!F21= "", VLOOKUP('Interactive Selection Sheet'!$G21, 'Master List Import'!$A$1:$P$519, 9, FALSE), ""), "")</f>
        <v>60153</v>
      </c>
      <c r="L40" s="69">
        <f>_xlfn.IFNA(IF('Interactive Selection Sheet'!F21= "", VLOOKUP('Interactive Selection Sheet'!$G21, 'Master List Import'!$A$1:$P$519, 10, FALSE), ""), "")</f>
        <v>0</v>
      </c>
      <c r="M40" s="69">
        <f>_xlfn.IFNA(IF('Interactive Selection Sheet'!F21= "", VLOOKUP('Interactive Selection Sheet'!$G21, 'Master List Import'!$A$1:$P$519, 11, FALSE), ""), "")</f>
        <v>0</v>
      </c>
      <c r="N40" s="69">
        <f>_xlfn.IFNA(IF('Interactive Selection Sheet'!F21= "", VLOOKUP('Interactive Selection Sheet'!$G21, 'Master List Import'!$A$1:$P$519, 12, FALSE), ""), "")</f>
        <v>1</v>
      </c>
      <c r="O40" s="69">
        <f>_xlfn.IFNA(IF('Interactive Selection Sheet'!F21= "", VLOOKUP('Interactive Selection Sheet'!$G21, 'Master List Import'!$A$1:$P$519, 13, FALSE), ""), "")</f>
        <v>1077</v>
      </c>
      <c r="P40" s="69" t="str">
        <f>_xlfn.IFNA(IF('Interactive Selection Sheet'!F21= "", VLOOKUP('Interactive Selection Sheet'!$G21, 'Master List Import'!$A$1:$P$519, 14, FALSE), ""), "")</f>
        <v>Grey Sweatpants (5XL)</v>
      </c>
      <c r="Q40" s="69">
        <f>_xlfn.IFNA(IF('Interactive Selection Sheet'!F21= "", VLOOKUP('Interactive Selection Sheet'!$G21, 'Master List Import'!$A$1:$P$519, 15, FALSE), ""), "")</f>
        <v>1</v>
      </c>
      <c r="R40" s="74">
        <f>_xlfn.IFNA(IF('Interactive Selection Sheet'!F21= "", VLOOKUP('Interactive Selection Sheet'!$G21, 'Master List Import'!$A$1:$P$519, 16, FALSE), ""), "")</f>
        <v>35.5</v>
      </c>
    </row>
    <row r="41" spans="1:18" ht="21.75" customHeight="1" x14ac:dyDescent="0.25">
      <c r="A41" s="69">
        <f>_xlfn.IFNA(IF('Interactive Selection Sheet'!F22= "", VLOOKUP('Interactive Selection Sheet'!$G22, 'Master List Import'!$A$1:$P$519, 2, FALSE), ""), "")</f>
        <v>1078</v>
      </c>
      <c r="B41" s="69" t="str">
        <f>_xlfn.IFNA(IF('Interactive Selection Sheet'!F22= "", VLOOKUP('Interactive Selection Sheet'!$G22, 'Master List Import'!$A$1:$P$519, 3, FALSE), ""), "")</f>
        <v>Sweatpants, Grey (6XL)</v>
      </c>
      <c r="C41" s="76">
        <f>IF('Interactive Selection Sheet'!$T$2="", "", IF(B41="","",'Interactive Selection Sheet'!$T$2))</f>
        <v>3.5000000000000003E-2</v>
      </c>
      <c r="D41" s="70">
        <f>IF(B41 = "", "", 'Interactive Selection Sheet'!$Q$2)</f>
        <v>4.4999999999999998E-2</v>
      </c>
      <c r="E41" s="70">
        <f>IF(B41="","", 'Interactive Selection Sheet'!$R$2)</f>
        <v>0.02</v>
      </c>
      <c r="F41" s="69" t="str">
        <f>_xlfn.IFNA(IF('Interactive Selection Sheet'!F22= "", VLOOKUP('Interactive Selection Sheet'!$G22, 'Master List Import'!$A$1:$P$519, 4, FALSE), ""), "")</f>
        <v>Clothing</v>
      </c>
      <c r="G41" s="69" t="str">
        <f>_xlfn.IFNA(IF('Interactive Selection Sheet'!F22= "", VLOOKUP('Interactive Selection Sheet'!$G22, 'Master List Import'!$A$1:$P$519, 5, FALSE), ""), "")</f>
        <v>Clothing</v>
      </c>
      <c r="H41" s="69" t="str">
        <f>_xlfn.IFNA(IF('Interactive Selection Sheet'!F22= "", VLOOKUP('Interactive Selection Sheet'!$G22, 'Master List Import'!$A$1:$P$519, 6, FALSE), ""), "")</f>
        <v>Both</v>
      </c>
      <c r="I41" s="72">
        <f>_xlfn.IFNA(IF('Interactive Selection Sheet'!F22= "", VLOOKUP('Interactive Selection Sheet'!$G22, 'Master List Import'!$A$1:$P$519, 7, FALSE), ""), "")</f>
        <v>16.78</v>
      </c>
      <c r="J41" s="69" t="str">
        <f>_xlfn.IFNA(IF('Interactive Selection Sheet'!F22= "", VLOOKUP('Interactive Selection Sheet'!$G22, 'Master List Import'!$A$1:$P$519, 8, FALSE), ""), "")</f>
        <v>Claiborne Parish</v>
      </c>
      <c r="K41" s="69" t="str">
        <f>_xlfn.IFNA(IF('Interactive Selection Sheet'!F22= "", VLOOKUP('Interactive Selection Sheet'!$G22, 'Master List Import'!$A$1:$P$519, 9, FALSE), ""), "")</f>
        <v>60154</v>
      </c>
      <c r="L41" s="69">
        <f>_xlfn.IFNA(IF('Interactive Selection Sheet'!F22= "", VLOOKUP('Interactive Selection Sheet'!$G22, 'Master List Import'!$A$1:$P$519, 10, FALSE), ""), "")</f>
        <v>0</v>
      </c>
      <c r="M41" s="69">
        <f>_xlfn.IFNA(IF('Interactive Selection Sheet'!F22= "", VLOOKUP('Interactive Selection Sheet'!$G22, 'Master List Import'!$A$1:$P$519, 11, FALSE), ""), "")</f>
        <v>0</v>
      </c>
      <c r="N41" s="69">
        <f>_xlfn.IFNA(IF('Interactive Selection Sheet'!F22= "", VLOOKUP('Interactive Selection Sheet'!$G22, 'Master List Import'!$A$1:$P$519, 12, FALSE), ""), "")</f>
        <v>1</v>
      </c>
      <c r="O41" s="69">
        <f>_xlfn.IFNA(IF('Interactive Selection Sheet'!F22= "", VLOOKUP('Interactive Selection Sheet'!$G22, 'Master List Import'!$A$1:$P$519, 13, FALSE), ""), "")</f>
        <v>1078</v>
      </c>
      <c r="P41" s="69" t="str">
        <f>_xlfn.IFNA(IF('Interactive Selection Sheet'!F22= "", VLOOKUP('Interactive Selection Sheet'!$G22, 'Master List Import'!$A$1:$P$519, 14, FALSE), ""), "")</f>
        <v>Grey Sweatpants (6XL)</v>
      </c>
      <c r="Q41" s="69">
        <f>_xlfn.IFNA(IF('Interactive Selection Sheet'!F22= "", VLOOKUP('Interactive Selection Sheet'!$G22, 'Master List Import'!$A$1:$P$519, 15, FALSE), ""), "")</f>
        <v>1</v>
      </c>
      <c r="R41" s="74">
        <f>_xlfn.IFNA(IF('Interactive Selection Sheet'!F22= "", VLOOKUP('Interactive Selection Sheet'!$G22, 'Master List Import'!$A$1:$P$519, 16, FALSE), ""), "")</f>
        <v>38.5</v>
      </c>
    </row>
    <row r="42" spans="1:18" ht="21.75" customHeight="1" x14ac:dyDescent="0.25">
      <c r="A42" s="69">
        <f>_xlfn.IFNA(IF('Interactive Selection Sheet'!A26 = "", VLOOKUP('Interactive Selection Sheet'!$B26, 'Master List Import'!$A$1:$P$519, 2, FALSE), ""), "")</f>
        <v>1111</v>
      </c>
      <c r="B42" s="69" t="str">
        <f>_xlfn.IFNA(IF('Interactive Selection Sheet'!A26 = "", VLOOKUP('Interactive Selection Sheet'!$B26, 'Master List Import'!$A$1:$P$519, 3, FALSE), ""), "")</f>
        <v>Crew Socks, White - Sizes 10-13</v>
      </c>
      <c r="C42" s="76">
        <f>IF('Interactive Selection Sheet'!$T$2="", "", IF(B42="","",'Interactive Selection Sheet'!$T$2))</f>
        <v>3.5000000000000003E-2</v>
      </c>
      <c r="D42" s="70">
        <f>IF(B42 = "", "", 'Interactive Selection Sheet'!$Q$2)</f>
        <v>4.4999999999999998E-2</v>
      </c>
      <c r="E42" s="70">
        <f>IF(B42="","", 'Interactive Selection Sheet'!$R$2)</f>
        <v>0.02</v>
      </c>
      <c r="F42" s="69" t="str">
        <f>_xlfn.IFNA(IF('Interactive Selection Sheet'!A26 = "", VLOOKUP('Interactive Selection Sheet'!$B26, 'Master List Import'!$A$1:$P$519, 4, FALSE), ""), "")</f>
        <v>Clothing</v>
      </c>
      <c r="G42" s="69" t="str">
        <f>_xlfn.IFNA(IF('Interactive Selection Sheet'!A26 = "", VLOOKUP('Interactive Selection Sheet'!$B26, 'Master List Import'!$A$1:$P$519, 5, FALSE), ""), "")</f>
        <v>Clothing</v>
      </c>
      <c r="H42" s="69" t="str">
        <f>_xlfn.IFNA(IF('Interactive Selection Sheet'!A26 = "", VLOOKUP('Interactive Selection Sheet'!$B26, 'Master List Import'!$A$1:$P$519, 6, FALSE), ""), "")</f>
        <v>Both</v>
      </c>
      <c r="I42" s="72">
        <f>_xlfn.IFNA(IF('Interactive Selection Sheet'!A26 = "", VLOOKUP('Interactive Selection Sheet'!$B26, 'Master List Import'!$A$1:$P$519, 7, FALSE), ""), "")</f>
        <v>0.47</v>
      </c>
      <c r="J42" s="69" t="str">
        <f>_xlfn.IFNA(IF('Interactive Selection Sheet'!A26 = "", VLOOKUP('Interactive Selection Sheet'!$B26, 'Master List Import'!$A$1:$P$519, 8, FALSE), ""), "")</f>
        <v>REI</v>
      </c>
      <c r="K42" s="69" t="str">
        <f>_xlfn.IFNA(IF('Interactive Selection Sheet'!A26 = "", VLOOKUP('Interactive Selection Sheet'!$B26, 'Master List Import'!$A$1:$P$519, 9, FALSE), ""), "")</f>
        <v>901200</v>
      </c>
      <c r="L42" s="69">
        <f>_xlfn.IFNA(IF('Interactive Selection Sheet'!A26 = "", VLOOKUP('Interactive Selection Sheet'!$B26, 'Master List Import'!$A$1:$P$519, 10, FALSE), ""), "")</f>
        <v>0</v>
      </c>
      <c r="M42" s="69">
        <f>_xlfn.IFNA(IF('Interactive Selection Sheet'!A26 = "", VLOOKUP('Interactive Selection Sheet'!$B26, 'Master List Import'!$A$1:$P$519, 11, FALSE), ""), "")</f>
        <v>0</v>
      </c>
      <c r="N42" s="69">
        <f>_xlfn.IFNA(IF('Interactive Selection Sheet'!A26 = "", VLOOKUP('Interactive Selection Sheet'!$B26, 'Master List Import'!$A$1:$P$519, 12, FALSE), ""), "")</f>
        <v>1</v>
      </c>
      <c r="O42" s="69">
        <f>_xlfn.IFNA(IF('Interactive Selection Sheet'!A26 = "", VLOOKUP('Interactive Selection Sheet'!$B26, 'Master List Import'!$A$1:$P$519, 13, FALSE), ""), "")</f>
        <v>1111</v>
      </c>
      <c r="P42" s="69" t="str">
        <f>_xlfn.IFNA(IF('Interactive Selection Sheet'!A26 = "", VLOOKUP('Interactive Selection Sheet'!$B26, 'Master List Import'!$A$1:$P$519, 14, FALSE), ""), "")</f>
        <v>White Crew Socks</v>
      </c>
      <c r="Q42" s="69">
        <f>_xlfn.IFNA(IF('Interactive Selection Sheet'!A26 = "", VLOOKUP('Interactive Selection Sheet'!$B26, 'Master List Import'!$A$1:$P$519, 15, FALSE), ""), "")</f>
        <v>1</v>
      </c>
      <c r="R42" s="74">
        <f>_xlfn.IFNA(IF('Interactive Selection Sheet'!A26 = "", VLOOKUP('Interactive Selection Sheet'!$B26, 'Master List Import'!$A$1:$P$519, 16, FALSE), ""), "")</f>
        <v>2.1</v>
      </c>
    </row>
    <row r="43" spans="1:18" ht="21.75" customHeight="1" x14ac:dyDescent="0.25">
      <c r="A43" s="69">
        <f>_xlfn.IFNA(IF('Interactive Selection Sheet'!$K15= "", VLOOKUP('Interactive Selection Sheet'!$L15, 'Master List Import'!$A$1:$P$519, 2, FALSE), ""), "")</f>
        <v>1201</v>
      </c>
      <c r="B43" s="69" t="str">
        <f>_xlfn.IFNA(IF('Interactive Selection Sheet'!$K15= "", VLOOKUP('Interactive Selection Sheet'!$L15, 'Master List Import'!$A$1:$P$519, 3, FALSE), ""), "")</f>
        <v>White T-Shirt - Sm</v>
      </c>
      <c r="C43" s="76">
        <f>IF('Interactive Selection Sheet'!$T$2="", "", IF(B43="","",'Interactive Selection Sheet'!$T$2))</f>
        <v>3.5000000000000003E-2</v>
      </c>
      <c r="D43" s="70">
        <f>IF(B43 = "", "", 'Interactive Selection Sheet'!$Q$2)</f>
        <v>4.4999999999999998E-2</v>
      </c>
      <c r="E43" s="70">
        <f>IF(B43="","", 'Interactive Selection Sheet'!$R$2)</f>
        <v>0.02</v>
      </c>
      <c r="F43" s="69" t="str">
        <f>_xlfn.IFNA(IF('Interactive Selection Sheet'!K15= "", VLOOKUP('Interactive Selection Sheet'!$L15, 'Master List Import'!$A$1:$P$519, 4, FALSE), ""), "")</f>
        <v>Clothing</v>
      </c>
      <c r="G43" s="69" t="str">
        <f>_xlfn.IFNA(IF('Interactive Selection Sheet'!K15= "", VLOOKUP('Interactive Selection Sheet'!$L15, 'Master List Import'!$A$1:$P$519, 5, FALSE), ""), "")</f>
        <v>Clothing</v>
      </c>
      <c r="H43" s="69" t="str">
        <f>_xlfn.IFNA(IF('Interactive Selection Sheet'!K15= "", VLOOKUP('Interactive Selection Sheet'!$L15, 'Master List Import'!$A$1:$P$519, 6, FALSE), ""), "")</f>
        <v>Both</v>
      </c>
      <c r="I43" s="72">
        <f>_xlfn.IFNA(IF('Interactive Selection Sheet'!K15= "", VLOOKUP('Interactive Selection Sheet'!$L15, 'Master List Import'!$A$1:$P$519, 7, FALSE), ""), "")</f>
        <v>1.59</v>
      </c>
      <c r="J43" s="69" t="str">
        <f>_xlfn.IFNA(IF('Interactive Selection Sheet'!K15= "", VLOOKUP('Interactive Selection Sheet'!$L15, 'Master List Import'!$A$1:$P$519, 8, FALSE), ""), "")</f>
        <v>REI</v>
      </c>
      <c r="K43" s="69" t="str">
        <f>_xlfn.IFNA(IF('Interactive Selection Sheet'!K15= "", VLOOKUP('Interactive Selection Sheet'!$L15, 'Master List Import'!$A$1:$P$519, 9, FALSE), ""), "")</f>
        <v>900101</v>
      </c>
      <c r="L43" s="69">
        <f>_xlfn.IFNA(IF('Interactive Selection Sheet'!K15= "", VLOOKUP('Interactive Selection Sheet'!$L15, 'Master List Import'!$A$1:$P$519, 10, FALSE), ""), "")</f>
        <v>0</v>
      </c>
      <c r="M43" s="69">
        <f>_xlfn.IFNA(IF('Interactive Selection Sheet'!K15= "", VLOOKUP('Interactive Selection Sheet'!$L15, 'Master List Import'!$A$1:$P$519, 11, FALSE), ""), "")</f>
        <v>0</v>
      </c>
      <c r="N43" s="69">
        <f>_xlfn.IFNA(IF('Interactive Selection Sheet'!K15= "", VLOOKUP('Interactive Selection Sheet'!$L15, 'Master List Import'!$A$1:$P$519, 12, FALSE), ""), "")</f>
        <v>1</v>
      </c>
      <c r="O43" s="69">
        <f>_xlfn.IFNA(IF('Interactive Selection Sheet'!K15= "", VLOOKUP('Interactive Selection Sheet'!$L15, 'Master List Import'!$A$1:$P$519, 13, FALSE), ""), "")</f>
        <v>1201</v>
      </c>
      <c r="P43" s="69" t="str">
        <f>_xlfn.IFNA(IF('Interactive Selection Sheet'!K15= "", VLOOKUP('Interactive Selection Sheet'!$L15, 'Master List Import'!$A$1:$P$519, 14, FALSE), ""), "")</f>
        <v>White T-Shirt (Sm)</v>
      </c>
      <c r="Q43" s="69">
        <f>_xlfn.IFNA(IF('Interactive Selection Sheet'!K15= "", VLOOKUP('Interactive Selection Sheet'!$L15, 'Master List Import'!$A$1:$P$519, 15, FALSE), ""), "")</f>
        <v>1</v>
      </c>
      <c r="R43" s="74">
        <f>_xlfn.IFNA(IF('Interactive Selection Sheet'!K15= "", VLOOKUP('Interactive Selection Sheet'!$L15, 'Master List Import'!$A$1:$P$519, 16, FALSE), ""), "")</f>
        <v>5.05</v>
      </c>
    </row>
    <row r="44" spans="1:18" ht="21.75" customHeight="1" x14ac:dyDescent="0.25">
      <c r="A44" s="69">
        <f>_xlfn.IFNA(IF('Interactive Selection Sheet'!$K16= "", VLOOKUP('Interactive Selection Sheet'!$L16, 'Master List Import'!$A$1:$P$519, 2, FALSE), ""), "")</f>
        <v>1202</v>
      </c>
      <c r="B44" s="69" t="str">
        <f>_xlfn.IFNA(IF('Interactive Selection Sheet'!$K16= "", VLOOKUP('Interactive Selection Sheet'!$L16, 'Master List Import'!$A$1:$P$519, 3, FALSE), ""), "")</f>
        <v>White T-Shirt - Md</v>
      </c>
      <c r="C44" s="76">
        <f>IF('Interactive Selection Sheet'!$T$2="", "", IF(B44="","",'Interactive Selection Sheet'!$T$2))</f>
        <v>3.5000000000000003E-2</v>
      </c>
      <c r="D44" s="70">
        <f>IF(B44 = "", "", 'Interactive Selection Sheet'!$Q$2)</f>
        <v>4.4999999999999998E-2</v>
      </c>
      <c r="E44" s="70">
        <f>IF(B44="","", 'Interactive Selection Sheet'!$R$2)</f>
        <v>0.02</v>
      </c>
      <c r="F44" s="69" t="str">
        <f>_xlfn.IFNA(IF('Interactive Selection Sheet'!K16= "", VLOOKUP('Interactive Selection Sheet'!$L16, 'Master List Import'!$A$1:$P$519, 4, FALSE), ""), "")</f>
        <v>Clothing</v>
      </c>
      <c r="G44" s="69" t="str">
        <f>_xlfn.IFNA(IF('Interactive Selection Sheet'!K16= "", VLOOKUP('Interactive Selection Sheet'!$L16, 'Master List Import'!$A$1:$P$519, 5, FALSE), ""), "")</f>
        <v>Clothing</v>
      </c>
      <c r="H44" s="69" t="str">
        <f>_xlfn.IFNA(IF('Interactive Selection Sheet'!K16= "", VLOOKUP('Interactive Selection Sheet'!$L16, 'Master List Import'!$A$1:$P$519, 6, FALSE), ""), "")</f>
        <v>Both</v>
      </c>
      <c r="I44" s="72">
        <f>_xlfn.IFNA(IF('Interactive Selection Sheet'!K16= "", VLOOKUP('Interactive Selection Sheet'!$L16, 'Master List Import'!$A$1:$P$519, 7, FALSE), ""), "")</f>
        <v>1.59</v>
      </c>
      <c r="J44" s="69" t="str">
        <f>_xlfn.IFNA(IF('Interactive Selection Sheet'!K16= "", VLOOKUP('Interactive Selection Sheet'!$L16, 'Master List Import'!$A$1:$P$519, 8, FALSE), ""), "")</f>
        <v>REI</v>
      </c>
      <c r="K44" s="69" t="str">
        <f>_xlfn.IFNA(IF('Interactive Selection Sheet'!K16= "", VLOOKUP('Interactive Selection Sheet'!$L16, 'Master List Import'!$A$1:$P$519, 9, FALSE), ""), "")</f>
        <v>900102</v>
      </c>
      <c r="L44" s="69">
        <f>_xlfn.IFNA(IF('Interactive Selection Sheet'!K16= "", VLOOKUP('Interactive Selection Sheet'!$L16, 'Master List Import'!$A$1:$P$519, 10, FALSE), ""), "")</f>
        <v>0</v>
      </c>
      <c r="M44" s="69">
        <f>_xlfn.IFNA(IF('Interactive Selection Sheet'!K16= "", VLOOKUP('Interactive Selection Sheet'!$L16, 'Master List Import'!$A$1:$P$519, 11, FALSE), ""), "")</f>
        <v>0</v>
      </c>
      <c r="N44" s="69">
        <f>_xlfn.IFNA(IF('Interactive Selection Sheet'!K16= "", VLOOKUP('Interactive Selection Sheet'!$L16, 'Master List Import'!$A$1:$P$519, 12, FALSE), ""), "")</f>
        <v>1</v>
      </c>
      <c r="O44" s="69">
        <f>_xlfn.IFNA(IF('Interactive Selection Sheet'!K16= "", VLOOKUP('Interactive Selection Sheet'!$L16, 'Master List Import'!$A$1:$P$519, 13, FALSE), ""), "")</f>
        <v>1202</v>
      </c>
      <c r="P44" s="69" t="str">
        <f>_xlfn.IFNA(IF('Interactive Selection Sheet'!K16= "", VLOOKUP('Interactive Selection Sheet'!$L16, 'Master List Import'!$A$1:$P$519, 14, FALSE), ""), "")</f>
        <v>White T-Shirt (Md)</v>
      </c>
      <c r="Q44" s="69">
        <f>_xlfn.IFNA(IF('Interactive Selection Sheet'!K16= "", VLOOKUP('Interactive Selection Sheet'!$L16, 'Master List Import'!$A$1:$P$519, 15, FALSE), ""), "")</f>
        <v>1</v>
      </c>
      <c r="R44" s="74">
        <f>_xlfn.IFNA(IF('Interactive Selection Sheet'!K16= "", VLOOKUP('Interactive Selection Sheet'!$L16, 'Master List Import'!$A$1:$P$519, 16, FALSE), ""), "")</f>
        <v>5.05</v>
      </c>
    </row>
    <row r="45" spans="1:18" ht="21.75" customHeight="1" x14ac:dyDescent="0.25">
      <c r="A45" s="69">
        <f>_xlfn.IFNA(IF('Interactive Selection Sheet'!$K17= "", VLOOKUP('Interactive Selection Sheet'!$L17, 'Master List Import'!$A$1:$P$519, 2, FALSE), ""), "")</f>
        <v>1203</v>
      </c>
      <c r="B45" s="69" t="str">
        <f>_xlfn.IFNA(IF('Interactive Selection Sheet'!$K17= "", VLOOKUP('Interactive Selection Sheet'!$L17, 'Master List Import'!$A$1:$P$519, 3, FALSE), ""), "")</f>
        <v>White T-Shirt - Lg</v>
      </c>
      <c r="C45" s="76">
        <f>IF('Interactive Selection Sheet'!$T$2="", "", IF(B45="","",'Interactive Selection Sheet'!$T$2))</f>
        <v>3.5000000000000003E-2</v>
      </c>
      <c r="D45" s="70">
        <f>IF(B45 = "", "", 'Interactive Selection Sheet'!$Q$2)</f>
        <v>4.4999999999999998E-2</v>
      </c>
      <c r="E45" s="70">
        <f>IF(B45="","", 'Interactive Selection Sheet'!$R$2)</f>
        <v>0.02</v>
      </c>
      <c r="F45" s="69" t="str">
        <f>_xlfn.IFNA(IF('Interactive Selection Sheet'!K17= "", VLOOKUP('Interactive Selection Sheet'!$L17, 'Master List Import'!$A$1:$P$519, 4, FALSE), ""), "")</f>
        <v>Clothing</v>
      </c>
      <c r="G45" s="69" t="str">
        <f>_xlfn.IFNA(IF('Interactive Selection Sheet'!K17= "", VLOOKUP('Interactive Selection Sheet'!$L17, 'Master List Import'!$A$1:$P$519, 5, FALSE), ""), "")</f>
        <v>Clothing</v>
      </c>
      <c r="H45" s="69" t="str">
        <f>_xlfn.IFNA(IF('Interactive Selection Sheet'!K17= "", VLOOKUP('Interactive Selection Sheet'!$L17, 'Master List Import'!$A$1:$P$519, 6, FALSE), ""), "")</f>
        <v>Both</v>
      </c>
      <c r="I45" s="72">
        <f>_xlfn.IFNA(IF('Interactive Selection Sheet'!K17= "", VLOOKUP('Interactive Selection Sheet'!$L17, 'Master List Import'!$A$1:$P$519, 7, FALSE), ""), "")</f>
        <v>1.59</v>
      </c>
      <c r="J45" s="69" t="str">
        <f>_xlfn.IFNA(IF('Interactive Selection Sheet'!K17= "", VLOOKUP('Interactive Selection Sheet'!$L17, 'Master List Import'!$A$1:$P$519, 8, FALSE), ""), "")</f>
        <v>REI</v>
      </c>
      <c r="K45" s="69" t="str">
        <f>_xlfn.IFNA(IF('Interactive Selection Sheet'!K17= "", VLOOKUP('Interactive Selection Sheet'!$L17, 'Master List Import'!$A$1:$P$519, 9, FALSE), ""), "")</f>
        <v>900103</v>
      </c>
      <c r="L45" s="69">
        <f>_xlfn.IFNA(IF('Interactive Selection Sheet'!K17= "", VLOOKUP('Interactive Selection Sheet'!$L17, 'Master List Import'!$A$1:$P$519, 10, FALSE), ""), "")</f>
        <v>0</v>
      </c>
      <c r="M45" s="69">
        <f>_xlfn.IFNA(IF('Interactive Selection Sheet'!K17= "", VLOOKUP('Interactive Selection Sheet'!$L17, 'Master List Import'!$A$1:$P$519, 11, FALSE), ""), "")</f>
        <v>0</v>
      </c>
      <c r="N45" s="69">
        <f>_xlfn.IFNA(IF('Interactive Selection Sheet'!K17= "", VLOOKUP('Interactive Selection Sheet'!$L17, 'Master List Import'!$A$1:$P$519, 12, FALSE), ""), "")</f>
        <v>1</v>
      </c>
      <c r="O45" s="69">
        <f>_xlfn.IFNA(IF('Interactive Selection Sheet'!K17= "", VLOOKUP('Interactive Selection Sheet'!$L17, 'Master List Import'!$A$1:$P$519, 13, FALSE), ""), "")</f>
        <v>1203</v>
      </c>
      <c r="P45" s="69" t="str">
        <f>_xlfn.IFNA(IF('Interactive Selection Sheet'!K17= "", VLOOKUP('Interactive Selection Sheet'!$L17, 'Master List Import'!$A$1:$P$519, 14, FALSE), ""), "")</f>
        <v>White T-Shirt (Lg)</v>
      </c>
      <c r="Q45" s="69">
        <f>_xlfn.IFNA(IF('Interactive Selection Sheet'!K17= "", VLOOKUP('Interactive Selection Sheet'!$L17, 'Master List Import'!$A$1:$P$519, 15, FALSE), ""), "")</f>
        <v>1</v>
      </c>
      <c r="R45" s="74">
        <f>_xlfn.IFNA(IF('Interactive Selection Sheet'!K17= "", VLOOKUP('Interactive Selection Sheet'!$L17, 'Master List Import'!$A$1:$P$519, 16, FALSE), ""), "")</f>
        <v>5.05</v>
      </c>
    </row>
    <row r="46" spans="1:18" ht="21.75" customHeight="1" x14ac:dyDescent="0.25">
      <c r="A46" s="69">
        <f>_xlfn.IFNA(IF('Interactive Selection Sheet'!$K18= "", VLOOKUP('Interactive Selection Sheet'!$L18, 'Master List Import'!$A$1:$P$519, 2, FALSE), ""), "")</f>
        <v>1204</v>
      </c>
      <c r="B46" s="69" t="str">
        <f>_xlfn.IFNA(IF('Interactive Selection Sheet'!$K18= "", VLOOKUP('Interactive Selection Sheet'!$L18, 'Master List Import'!$A$1:$P$519, 3, FALSE), ""), "")</f>
        <v>White T-Shirt - XL</v>
      </c>
      <c r="C46" s="76">
        <f>IF('Interactive Selection Sheet'!$T$2="", "", IF(B46="","",'Interactive Selection Sheet'!$T$2))</f>
        <v>3.5000000000000003E-2</v>
      </c>
      <c r="D46" s="70">
        <f>IF(B46 = "", "", 'Interactive Selection Sheet'!$Q$2)</f>
        <v>4.4999999999999998E-2</v>
      </c>
      <c r="E46" s="70">
        <f>IF(B46="","", 'Interactive Selection Sheet'!$R$2)</f>
        <v>0.02</v>
      </c>
      <c r="F46" s="69" t="str">
        <f>_xlfn.IFNA(IF('Interactive Selection Sheet'!K18= "", VLOOKUP('Interactive Selection Sheet'!$L18, 'Master List Import'!$A$1:$P$519, 4, FALSE), ""), "")</f>
        <v>Clothing</v>
      </c>
      <c r="G46" s="69" t="str">
        <f>_xlfn.IFNA(IF('Interactive Selection Sheet'!K18= "", VLOOKUP('Interactive Selection Sheet'!$L18, 'Master List Import'!$A$1:$P$519, 5, FALSE), ""), "")</f>
        <v>Clothing</v>
      </c>
      <c r="H46" s="69" t="str">
        <f>_xlfn.IFNA(IF('Interactive Selection Sheet'!K18= "", VLOOKUP('Interactive Selection Sheet'!$L18, 'Master List Import'!$A$1:$P$519, 6, FALSE), ""), "")</f>
        <v>Both</v>
      </c>
      <c r="I46" s="72">
        <f>_xlfn.IFNA(IF('Interactive Selection Sheet'!K18= "", VLOOKUP('Interactive Selection Sheet'!$L18, 'Master List Import'!$A$1:$P$519, 7, FALSE), ""), "")</f>
        <v>1.59</v>
      </c>
      <c r="J46" s="69" t="str">
        <f>_xlfn.IFNA(IF('Interactive Selection Sheet'!K18= "", VLOOKUP('Interactive Selection Sheet'!$L18, 'Master List Import'!$A$1:$P$519, 8, FALSE), ""), "")</f>
        <v>REI</v>
      </c>
      <c r="K46" s="69" t="str">
        <f>_xlfn.IFNA(IF('Interactive Selection Sheet'!K18= "", VLOOKUP('Interactive Selection Sheet'!$L18, 'Master List Import'!$A$1:$P$519, 9, FALSE), ""), "")</f>
        <v>900104</v>
      </c>
      <c r="L46" s="69">
        <f>_xlfn.IFNA(IF('Interactive Selection Sheet'!K18= "", VLOOKUP('Interactive Selection Sheet'!$L18, 'Master List Import'!$A$1:$P$519, 10, FALSE), ""), "")</f>
        <v>0</v>
      </c>
      <c r="M46" s="69">
        <f>_xlfn.IFNA(IF('Interactive Selection Sheet'!K18= "", VLOOKUP('Interactive Selection Sheet'!$L18, 'Master List Import'!$A$1:$P$519, 11, FALSE), ""), "")</f>
        <v>0</v>
      </c>
      <c r="N46" s="69">
        <f>_xlfn.IFNA(IF('Interactive Selection Sheet'!K18= "", VLOOKUP('Interactive Selection Sheet'!$L18, 'Master List Import'!$A$1:$P$519, 12, FALSE), ""), "")</f>
        <v>1</v>
      </c>
      <c r="O46" s="69">
        <f>_xlfn.IFNA(IF('Interactive Selection Sheet'!K18= "", VLOOKUP('Interactive Selection Sheet'!$L18, 'Master List Import'!$A$1:$P$519, 13, FALSE), ""), "")</f>
        <v>1204</v>
      </c>
      <c r="P46" s="69" t="str">
        <f>_xlfn.IFNA(IF('Interactive Selection Sheet'!K18= "", VLOOKUP('Interactive Selection Sheet'!$L18, 'Master List Import'!$A$1:$P$519, 14, FALSE), ""), "")</f>
        <v>White T-Shirt (XL)</v>
      </c>
      <c r="Q46" s="69">
        <f>_xlfn.IFNA(IF('Interactive Selection Sheet'!K18= "", VLOOKUP('Interactive Selection Sheet'!$L18, 'Master List Import'!$A$1:$P$519, 15, FALSE), ""), "")</f>
        <v>1</v>
      </c>
      <c r="R46" s="74">
        <f>_xlfn.IFNA(IF('Interactive Selection Sheet'!K18= "", VLOOKUP('Interactive Selection Sheet'!$L18, 'Master List Import'!$A$1:$P$519, 16, FALSE), ""), "")</f>
        <v>5.05</v>
      </c>
    </row>
    <row r="47" spans="1:18" ht="21.75" customHeight="1" x14ac:dyDescent="0.25">
      <c r="A47" s="69">
        <f>_xlfn.IFNA(IF('Interactive Selection Sheet'!$K19= "", VLOOKUP('Interactive Selection Sheet'!$L19, 'Master List Import'!$A$1:$P$519, 2, FALSE), ""), "")</f>
        <v>1205</v>
      </c>
      <c r="B47" s="69" t="str">
        <f>_xlfn.IFNA(IF('Interactive Selection Sheet'!$K19= "", VLOOKUP('Interactive Selection Sheet'!$L19, 'Master List Import'!$A$1:$P$519, 3, FALSE), ""), "")</f>
        <v>White T-Shirt - 2X</v>
      </c>
      <c r="C47" s="76">
        <f>IF('Interactive Selection Sheet'!$T$2="", "", IF(B47="","",'Interactive Selection Sheet'!$T$2))</f>
        <v>3.5000000000000003E-2</v>
      </c>
      <c r="D47" s="70">
        <f>IF(B47 = "", "", 'Interactive Selection Sheet'!$Q$2)</f>
        <v>4.4999999999999998E-2</v>
      </c>
      <c r="E47" s="70">
        <f>IF(B47="","", 'Interactive Selection Sheet'!$R$2)</f>
        <v>0.02</v>
      </c>
      <c r="F47" s="69" t="str">
        <f>_xlfn.IFNA(IF('Interactive Selection Sheet'!K19= "", VLOOKUP('Interactive Selection Sheet'!$L19, 'Master List Import'!$A$1:$P$519, 4, FALSE), ""), "")</f>
        <v>Clothing</v>
      </c>
      <c r="G47" s="69" t="str">
        <f>_xlfn.IFNA(IF('Interactive Selection Sheet'!K19= "", VLOOKUP('Interactive Selection Sheet'!$L19, 'Master List Import'!$A$1:$P$519, 5, FALSE), ""), "")</f>
        <v>Clothing</v>
      </c>
      <c r="H47" s="69" t="str">
        <f>_xlfn.IFNA(IF('Interactive Selection Sheet'!K19= "", VLOOKUP('Interactive Selection Sheet'!$L19, 'Master List Import'!$A$1:$P$519, 6, FALSE), ""), "")</f>
        <v>Both</v>
      </c>
      <c r="I47" s="72">
        <f>_xlfn.IFNA(IF('Interactive Selection Sheet'!K19= "", VLOOKUP('Interactive Selection Sheet'!$L19, 'Master List Import'!$A$1:$P$519, 7, FALSE), ""), "")</f>
        <v>2.35</v>
      </c>
      <c r="J47" s="69" t="str">
        <f>_xlfn.IFNA(IF('Interactive Selection Sheet'!K19= "", VLOOKUP('Interactive Selection Sheet'!$L19, 'Master List Import'!$A$1:$P$519, 8, FALSE), ""), "")</f>
        <v>REI</v>
      </c>
      <c r="K47" s="69" t="str">
        <f>_xlfn.IFNA(IF('Interactive Selection Sheet'!K19= "", VLOOKUP('Interactive Selection Sheet'!$L19, 'Master List Import'!$A$1:$P$519, 9, FALSE), ""), "")</f>
        <v>900105</v>
      </c>
      <c r="L47" s="69">
        <f>_xlfn.IFNA(IF('Interactive Selection Sheet'!K19= "", VLOOKUP('Interactive Selection Sheet'!$L19, 'Master List Import'!$A$1:$P$519, 10, FALSE), ""), "")</f>
        <v>0</v>
      </c>
      <c r="M47" s="69">
        <f>_xlfn.IFNA(IF('Interactive Selection Sheet'!K19= "", VLOOKUP('Interactive Selection Sheet'!$L19, 'Master List Import'!$A$1:$P$519, 11, FALSE), ""), "")</f>
        <v>0</v>
      </c>
      <c r="N47" s="69">
        <f>_xlfn.IFNA(IF('Interactive Selection Sheet'!K19= "", VLOOKUP('Interactive Selection Sheet'!$L19, 'Master List Import'!$A$1:$P$519, 12, FALSE), ""), "")</f>
        <v>1</v>
      </c>
      <c r="O47" s="69">
        <f>_xlfn.IFNA(IF('Interactive Selection Sheet'!K19= "", VLOOKUP('Interactive Selection Sheet'!$L19, 'Master List Import'!$A$1:$P$519, 13, FALSE), ""), "")</f>
        <v>1205</v>
      </c>
      <c r="P47" s="69" t="str">
        <f>_xlfn.IFNA(IF('Interactive Selection Sheet'!K19= "", VLOOKUP('Interactive Selection Sheet'!$L19, 'Master List Import'!$A$1:$P$519, 14, FALSE), ""), "")</f>
        <v>White T-Shirt (2X)</v>
      </c>
      <c r="Q47" s="69">
        <f>_xlfn.IFNA(IF('Interactive Selection Sheet'!K19= "", VLOOKUP('Interactive Selection Sheet'!$L19, 'Master List Import'!$A$1:$P$519, 15, FALSE), ""), "")</f>
        <v>1</v>
      </c>
      <c r="R47" s="74">
        <f>_xlfn.IFNA(IF('Interactive Selection Sheet'!K19= "", VLOOKUP('Interactive Selection Sheet'!$L19, 'Master List Import'!$A$1:$P$519, 16, FALSE), ""), "")</f>
        <v>7.25</v>
      </c>
    </row>
    <row r="48" spans="1:18" ht="21.75" customHeight="1" x14ac:dyDescent="0.25">
      <c r="A48" s="69">
        <f>_xlfn.IFNA(IF('Interactive Selection Sheet'!$K20= "", VLOOKUP('Interactive Selection Sheet'!$L20, 'Master List Import'!$A$1:$P$519, 2, FALSE), ""), "")</f>
        <v>1206</v>
      </c>
      <c r="B48" s="69" t="str">
        <f>_xlfn.IFNA(IF('Interactive Selection Sheet'!$K20= "", VLOOKUP('Interactive Selection Sheet'!$L20, 'Master List Import'!$A$1:$P$519, 3, FALSE), ""), "")</f>
        <v>White T-Shirt - 3X</v>
      </c>
      <c r="C48" s="76">
        <f>IF('Interactive Selection Sheet'!$T$2="", "", IF(B48="","",'Interactive Selection Sheet'!$T$2))</f>
        <v>3.5000000000000003E-2</v>
      </c>
      <c r="D48" s="70">
        <f>IF(B48 = "", "", 'Interactive Selection Sheet'!$Q$2)</f>
        <v>4.4999999999999998E-2</v>
      </c>
      <c r="E48" s="70">
        <f>IF(B48="","", 'Interactive Selection Sheet'!$R$2)</f>
        <v>0.02</v>
      </c>
      <c r="F48" s="69" t="str">
        <f>_xlfn.IFNA(IF('Interactive Selection Sheet'!K20= "", VLOOKUP('Interactive Selection Sheet'!$L20, 'Master List Import'!$A$1:$P$519, 4, FALSE), ""), "")</f>
        <v>Clothing</v>
      </c>
      <c r="G48" s="69" t="str">
        <f>_xlfn.IFNA(IF('Interactive Selection Sheet'!K20= "", VLOOKUP('Interactive Selection Sheet'!$L20, 'Master List Import'!$A$1:$P$519, 5, FALSE), ""), "")</f>
        <v>Clothing</v>
      </c>
      <c r="H48" s="69" t="str">
        <f>_xlfn.IFNA(IF('Interactive Selection Sheet'!K20= "", VLOOKUP('Interactive Selection Sheet'!$L20, 'Master List Import'!$A$1:$P$519, 6, FALSE), ""), "")</f>
        <v>Both</v>
      </c>
      <c r="I48" s="72">
        <f>_xlfn.IFNA(IF('Interactive Selection Sheet'!K20= "", VLOOKUP('Interactive Selection Sheet'!$L20, 'Master List Import'!$A$1:$P$519, 7, FALSE), ""), "")</f>
        <v>2.35</v>
      </c>
      <c r="J48" s="69" t="str">
        <f>_xlfn.IFNA(IF('Interactive Selection Sheet'!K20= "", VLOOKUP('Interactive Selection Sheet'!$L20, 'Master List Import'!$A$1:$P$519, 8, FALSE), ""), "")</f>
        <v>REI</v>
      </c>
      <c r="K48" s="69" t="str">
        <f>_xlfn.IFNA(IF('Interactive Selection Sheet'!K20= "", VLOOKUP('Interactive Selection Sheet'!$L20, 'Master List Import'!$A$1:$P$519, 9, FALSE), ""), "")</f>
        <v>900106</v>
      </c>
      <c r="L48" s="69">
        <f>_xlfn.IFNA(IF('Interactive Selection Sheet'!K20= "", VLOOKUP('Interactive Selection Sheet'!$L20, 'Master List Import'!$A$1:$P$519, 10, FALSE), ""), "")</f>
        <v>0</v>
      </c>
      <c r="M48" s="69">
        <f>_xlfn.IFNA(IF('Interactive Selection Sheet'!K20= "", VLOOKUP('Interactive Selection Sheet'!$L20, 'Master List Import'!$A$1:$P$519, 11, FALSE), ""), "")</f>
        <v>0</v>
      </c>
      <c r="N48" s="69">
        <f>_xlfn.IFNA(IF('Interactive Selection Sheet'!K20= "", VLOOKUP('Interactive Selection Sheet'!$L20, 'Master List Import'!$A$1:$P$519, 12, FALSE), ""), "")</f>
        <v>1</v>
      </c>
      <c r="O48" s="69">
        <f>_xlfn.IFNA(IF('Interactive Selection Sheet'!K20= "", VLOOKUP('Interactive Selection Sheet'!$L20, 'Master List Import'!$A$1:$P$519, 13, FALSE), ""), "")</f>
        <v>1206</v>
      </c>
      <c r="P48" s="69" t="str">
        <f>_xlfn.IFNA(IF('Interactive Selection Sheet'!K20= "", VLOOKUP('Interactive Selection Sheet'!$L20, 'Master List Import'!$A$1:$P$519, 14, FALSE), ""), "")</f>
        <v>White T-Shirt (3X)</v>
      </c>
      <c r="Q48" s="69">
        <f>_xlfn.IFNA(IF('Interactive Selection Sheet'!K20= "", VLOOKUP('Interactive Selection Sheet'!$L20, 'Master List Import'!$A$1:$P$519, 15, FALSE), ""), "")</f>
        <v>1</v>
      </c>
      <c r="R48" s="74">
        <f>_xlfn.IFNA(IF('Interactive Selection Sheet'!K20= "", VLOOKUP('Interactive Selection Sheet'!$L20, 'Master List Import'!$A$1:$P$519, 16, FALSE), ""), "")</f>
        <v>7.25</v>
      </c>
    </row>
    <row r="49" spans="1:18" ht="21.75" customHeight="1" x14ac:dyDescent="0.25">
      <c r="A49" s="69">
        <f>_xlfn.IFNA(IF('Interactive Selection Sheet'!$K21= "", VLOOKUP('Interactive Selection Sheet'!$L21, 'Master List Import'!$A$1:$P$519, 2, FALSE), ""), "")</f>
        <v>1207</v>
      </c>
      <c r="B49" s="69" t="str">
        <f>_xlfn.IFNA(IF('Interactive Selection Sheet'!$K21= "", VLOOKUP('Interactive Selection Sheet'!$L21, 'Master List Import'!$A$1:$P$519, 3, FALSE), ""), "")</f>
        <v>White T-Shirt - 4X</v>
      </c>
      <c r="C49" s="76">
        <f>IF('Interactive Selection Sheet'!$T$2="", "", IF(B49="","",'Interactive Selection Sheet'!$T$2))</f>
        <v>3.5000000000000003E-2</v>
      </c>
      <c r="D49" s="70">
        <f>IF(B49 = "", "", 'Interactive Selection Sheet'!$Q$2)</f>
        <v>4.4999999999999998E-2</v>
      </c>
      <c r="E49" s="70">
        <f>IF(B49="","", 'Interactive Selection Sheet'!$R$2)</f>
        <v>0.02</v>
      </c>
      <c r="F49" s="69" t="str">
        <f>_xlfn.IFNA(IF('Interactive Selection Sheet'!K21= "", VLOOKUP('Interactive Selection Sheet'!$L21, 'Master List Import'!$A$1:$P$519, 4, FALSE), ""), "")</f>
        <v>Clothing</v>
      </c>
      <c r="G49" s="69" t="str">
        <f>_xlfn.IFNA(IF('Interactive Selection Sheet'!K21= "", VLOOKUP('Interactive Selection Sheet'!$L21, 'Master List Import'!$A$1:$P$519, 5, FALSE), ""), "")</f>
        <v>Clothing</v>
      </c>
      <c r="H49" s="69" t="str">
        <f>_xlfn.IFNA(IF('Interactive Selection Sheet'!K21= "", VLOOKUP('Interactive Selection Sheet'!$L21, 'Master List Import'!$A$1:$P$519, 6, FALSE), ""), "")</f>
        <v>Both</v>
      </c>
      <c r="I49" s="72">
        <f>_xlfn.IFNA(IF('Interactive Selection Sheet'!K21= "", VLOOKUP('Interactive Selection Sheet'!$L21, 'Master List Import'!$A$1:$P$519, 7, FALSE), ""), "")</f>
        <v>2.7</v>
      </c>
      <c r="J49" s="69" t="str">
        <f>_xlfn.IFNA(IF('Interactive Selection Sheet'!K21= "", VLOOKUP('Interactive Selection Sheet'!$L21, 'Master List Import'!$A$1:$P$519, 8, FALSE), ""), "")</f>
        <v>REI</v>
      </c>
      <c r="K49" s="69" t="str">
        <f>_xlfn.IFNA(IF('Interactive Selection Sheet'!K21= "", VLOOKUP('Interactive Selection Sheet'!$L21, 'Master List Import'!$A$1:$P$519, 9, FALSE), ""), "")</f>
        <v>900107</v>
      </c>
      <c r="L49" s="69">
        <f>_xlfn.IFNA(IF('Interactive Selection Sheet'!K21= "", VLOOKUP('Interactive Selection Sheet'!$L21, 'Master List Import'!$A$1:$P$519, 10, FALSE), ""), "")</f>
        <v>0</v>
      </c>
      <c r="M49" s="69">
        <f>_xlfn.IFNA(IF('Interactive Selection Sheet'!K21= "", VLOOKUP('Interactive Selection Sheet'!$L21, 'Master List Import'!$A$1:$P$519, 11, FALSE), ""), "")</f>
        <v>0</v>
      </c>
      <c r="N49" s="69">
     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VLOOKUP('Interactive Selection Sheet'!$L21, 'Master List Import'!$A$1:$P$519, 13, FALSE), ""), "")</f>
        <v>1207</v>
      </c>
      <c r="P49" s="69" t="str">
        <f>_xlfn.IFNA(IF('Interactive Selection Sheet'!K21= "", VLOOKUP('Interactive Selection Sheet'!$L21, 'Master List Import'!$A$1:$P$519, 14, FALSE), ""), "")</f>
        <v>White T-Shirt (4X)</v>
      </c>
      <c r="Q49" s="69">
        <f>_xlfn.IFNA(IF('Interactive Selection Sheet'!K21= "", VLOOKUP('Interactive Selection Sheet'!$L21, 'Master List Import'!$A$1:$P$519, 15, FALSE), ""), "")</f>
        <v>1</v>
      </c>
      <c r="R49" s="74">
        <f>_xlfn.IFNA(IF('Interactive Selection Sheet'!K21= "", VLOOKUP('Interactive Selection Sheet'!$L21, 'Master List Import'!$A$1:$P$519, 16, FALSE), ""), "")</f>
        <v>8.25</v>
      </c>
    </row>
    <row r="50" spans="1:18" ht="21.75" customHeight="1" x14ac:dyDescent="0.25">
      <c r="A50" s="69">
        <f>_xlfn.IFNA(IF('Interactive Selection Sheet'!$K22= "", VLOOKUP('Interactive Selection Sheet'!$L22, 'Master List Import'!$A$1:$P$519, 2, FALSE), ""), "")</f>
        <v>1208</v>
      </c>
      <c r="B50" s="69" t="str">
        <f>_xlfn.IFNA(IF('Interactive Selection Sheet'!$K22= "", VLOOKUP('Interactive Selection Sheet'!$L22, 'Master List Import'!$A$1:$P$519, 3, FALSE), ""), "")</f>
        <v>White T-Shirt - 5X</v>
      </c>
      <c r="C50" s="76">
        <f>IF('Interactive Selection Sheet'!$T$2="", "", IF(B50="","",'Interactive Selection Sheet'!$T$2))</f>
        <v>3.5000000000000003E-2</v>
      </c>
      <c r="D50" s="70">
        <f>IF(B50 = "", "", 'Interactive Selection Sheet'!$Q$2)</f>
        <v>4.4999999999999998E-2</v>
      </c>
      <c r="E50" s="70">
        <f>IF(B50="","", 'Interactive Selection Sheet'!$R$2)</f>
        <v>0.02</v>
      </c>
      <c r="F50" s="69" t="str">
        <f>_xlfn.IFNA(IF('Interactive Selection Sheet'!K22= "", VLOOKUP('Interactive Selection Sheet'!$L22, 'Master List Import'!$A$1:$P$519, 4, FALSE), ""), "")</f>
        <v>Clothing</v>
      </c>
      <c r="G50" s="69" t="str">
        <f>_xlfn.IFNA(IF('Interactive Selection Sheet'!K22= "", VLOOKUP('Interactive Selection Sheet'!$L22, 'Master List Import'!$A$1:$P$519, 5, FALSE), ""), "")</f>
        <v>Clothing</v>
      </c>
      <c r="H50" s="69" t="str">
        <f>_xlfn.IFNA(IF('Interactive Selection Sheet'!K22= "", VLOOKUP('Interactive Selection Sheet'!$L22, 'Master List Import'!$A$1:$P$519, 6, FALSE), ""), "")</f>
        <v>Both</v>
      </c>
      <c r="I50" s="72">
        <f>_xlfn.IFNA(IF('Interactive Selection Sheet'!K22= "", VLOOKUP('Interactive Selection Sheet'!$L22, 'Master List Import'!$A$1:$P$519, 7, FALSE), ""), "")</f>
        <v>3.35</v>
      </c>
      <c r="J50" s="69" t="str">
        <f>_xlfn.IFNA(IF('Interactive Selection Sheet'!K22= "", VLOOKUP('Interactive Selection Sheet'!$L22, 'Master List Import'!$A$1:$P$519, 8, FALSE), ""), "")</f>
        <v>REI</v>
      </c>
      <c r="K50" s="69" t="str">
        <f>_xlfn.IFNA(IF('Interactive Selection Sheet'!K22= "", VLOOKUP('Interactive Selection Sheet'!$L22, 'Master List Import'!$A$1:$P$519, 9, FALSE), ""), "")</f>
        <v>900108</v>
      </c>
      <c r="L50" s="69">
        <f>_xlfn.IFNA(IF('Interactive Selection Sheet'!K22= "", VLOOKUP('Interactive Selection Sheet'!$L22, 'Master List Import'!$A$1:$P$519, 10, FALSE), ""), "")</f>
        <v>0</v>
      </c>
      <c r="M50" s="69">
        <f>_xlfn.IFNA(IF('Interactive Selection Sheet'!K22= "", VLOOKUP('Interactive Selection Sheet'!$L22, 'Master List Import'!$A$1:$P$519, 11, FALSE), ""), "")</f>
        <v>0</v>
      </c>
      <c r="N50" s="69">
        <f>_xlfn.IFNA(IF('Interactive Selection Sheet'!K22= "", VLOOKUP('Interactive Selection Sheet'!$L22, 'Master List Import'!$A$1:$P$519, 12, FALSE), ""), "")</f>
        <v>1</v>
      </c>
      <c r="O50" s="69">
        <f>_xlfn.IFNA(IF('Interactive Selection Sheet'!K22= "", VLOOKUP('Interactive Selection Sheet'!$L22, 'Master List Import'!$A$1:$P$519, 13, FALSE), ""), "")</f>
        <v>1208</v>
      </c>
      <c r="P50" s="69" t="str">
        <f>_xlfn.IFNA(IF('Interactive Selection Sheet'!K22= "", VLOOKUP('Interactive Selection Sheet'!$L22, 'Master List Import'!$A$1:$P$519, 14, FALSE), ""), "")</f>
        <v>White T-Shirt (5X)</v>
      </c>
      <c r="Q50" s="69">
        <f>_xlfn.IFNA(IF('Interactive Selection Sheet'!K22= "", VLOOKUP('Interactive Selection Sheet'!$L22, 'Master List Import'!$A$1:$P$519, 15, FALSE), ""), "")</f>
        <v>1</v>
      </c>
      <c r="R50" s="74">
        <f>_xlfn.IFNA(IF('Interactive Selection Sheet'!K22= "", VLOOKUP('Interactive Selection Sheet'!$L22, 'Master List Import'!$A$1:$P$519, 16, FALSE), ""), "")</f>
        <v>10.15</v>
      </c>
    </row>
    <row r="51" spans="1:18" ht="21.75" customHeight="1" x14ac:dyDescent="0.25">
      <c r="A51" s="69">
        <f>_xlfn.IFNA(IF('Interactive Selection Sheet'!$K23= "", VLOOKUP('Interactive Selection Sheet'!$L23, 'Master List Import'!$A$1:$P$519, 2, FALSE), ""), "")</f>
        <v>1209</v>
      </c>
      <c r="B51" s="69" t="str">
        <f>_xlfn.IFNA(IF('Interactive Selection Sheet'!$K23= "", VLOOKUP('Interactive Selection Sheet'!$L23, 'Master List Import'!$A$1:$P$519, 3, FALSE), ""), "")</f>
        <v>White T-Shirt - 6X</v>
      </c>
      <c r="C51" s="76">
        <f>IF('Interactive Selection Sheet'!$T$2="", "", IF(B51="","",'Interactive Selection Sheet'!$T$2))</f>
        <v>3.5000000000000003E-2</v>
      </c>
      <c r="D51" s="70">
        <f>IF(B51 = "", "", 'Interactive Selection Sheet'!$Q$2)</f>
        <v>4.4999999999999998E-2</v>
      </c>
      <c r="E51" s="70">
        <f>IF(B51="","", 'Interactive Selection Sheet'!$R$2)</f>
        <v>0.02</v>
      </c>
      <c r="F51" s="69" t="str">
        <f>_xlfn.IFNA(IF('Interactive Selection Sheet'!K23= "", VLOOKUP('Interactive Selection Sheet'!$L23, 'Master List Import'!$A$1:$P$519, 4, FALSE), ""), "")</f>
        <v>Clothing</v>
      </c>
      <c r="G51" s="69" t="str">
        <f>_xlfn.IFNA(IF('Interactive Selection Sheet'!K23= "", VLOOKUP('Interactive Selection Sheet'!$L23, 'Master List Import'!$A$1:$P$519, 5, FALSE), ""), "")</f>
        <v>Clothing</v>
      </c>
      <c r="H51" s="69" t="str">
        <f>_xlfn.IFNA(IF('Interactive Selection Sheet'!K23= "", VLOOKUP('Interactive Selection Sheet'!$L23, 'Master List Import'!$A$1:$P$519, 6, FALSE), ""), "")</f>
        <v>Both</v>
      </c>
      <c r="I51" s="72">
        <f>_xlfn.IFNA(IF('Interactive Selection Sheet'!K23= "", VLOOKUP('Interactive Selection Sheet'!$L23, 'Master List Import'!$A$1:$P$519, 7, FALSE), ""), "")</f>
        <v>4.0199999999999996</v>
      </c>
      <c r="J51" s="69" t="str">
        <f>_xlfn.IFNA(IF('Interactive Selection Sheet'!K23= "", VLOOKUP('Interactive Selection Sheet'!$L23, 'Master List Import'!$A$1:$P$519, 8, FALSE), ""), "")</f>
        <v>REI</v>
      </c>
      <c r="K51" s="69" t="str">
        <f>_xlfn.IFNA(IF('Interactive Selection Sheet'!K23= "", VLOOKUP('Interactive Selection Sheet'!$L23, 'Master List Import'!$A$1:$P$519, 9, FALSE), ""), "")</f>
        <v>900109</v>
      </c>
      <c r="L51" s="69">
        <f>_xlfn.IFNA(IF('Interactive Selection Sheet'!K23= "", VLOOKUP('Interactive Selection Sheet'!$L23, 'Master List Import'!$A$1:$P$519, 10, FALSE), ""), "")</f>
        <v>0</v>
      </c>
      <c r="M51" s="69">
        <f>_xlfn.IFNA(IF('Interactive Selection Sheet'!K23= "", VLOOKUP('Interactive Selection Sheet'!$L23, 'Master List Import'!$A$1:$P$519, 11, FALSE), ""), "")</f>
        <v>0</v>
      </c>
      <c r="N51" s="69">
        <f>_xlfn.IFNA(IF('Interactive Selection Sheet'!K23= "", VLOOKUP('Interactive Selection Sheet'!$L23, 'Master List Import'!$A$1:$P$519, 12, FALSE), ""), "")</f>
        <v>1</v>
      </c>
      <c r="O51" s="69">
        <f>_xlfn.IFNA(IF('Interactive Selection Sheet'!K23= "", VLOOKUP('Interactive Selection Sheet'!$L23, 'Master List Import'!$A$1:$P$519, 13, FALSE), ""), "")</f>
        <v>1209</v>
      </c>
      <c r="P51" s="69" t="str">
        <f>_xlfn.IFNA(IF('Interactive Selection Sheet'!K23= "", VLOOKUP('Interactive Selection Sheet'!$L23, 'Master List Import'!$A$1:$P$519, 14, FALSE), ""), "")</f>
        <v>White T-Shirt (6X)</v>
      </c>
      <c r="Q51" s="69">
        <f>_xlfn.IFNA(IF('Interactive Selection Sheet'!K23= "", VLOOKUP('Interactive Selection Sheet'!$L23, 'Master List Import'!$A$1:$P$519, 15, FALSE), ""), "")</f>
        <v>1</v>
      </c>
      <c r="R51" s="74">
        <f>_xlfn.IFNA(IF('Interactive Selection Sheet'!K23= "", VLOOKUP('Interactive Selection Sheet'!$L23, 'Master List Import'!$A$1:$P$519, 16, FALSE), ""), "")</f>
        <v>12.15</v>
      </c>
    </row>
    <row r="52" spans="1:18" ht="21.75" customHeight="1" x14ac:dyDescent="0.25">
      <c r="A52" s="69">
        <f>_xlfn.IFNA(IF('Interactive Selection Sheet'!F26= "", VLOOKUP('Interactive Selection Sheet'!$G26, 'Master List Import'!$A$1:$P$519, 2, FALSE), ""), "")</f>
        <v>1301</v>
      </c>
      <c r="B52" s="69" t="str">
        <f>_xlfn.IFNA(IF('Interactive Selection Sheet'!F26= "", VLOOKUP('Interactive Selection Sheet'!$G26, 'Master List Import'!$A$1:$P$519, 3, FALSE), ""), "")</f>
        <v>Boxer Shorts - Sm</v>
      </c>
      <c r="C52" s="76">
        <f>IF('Interactive Selection Sheet'!$T$2="", "", IF(B52="","",'Interactive Selection Sheet'!$T$2))</f>
        <v>3.5000000000000003E-2</v>
      </c>
      <c r="D52" s="70">
        <f>IF(B52 = "", "", 'Interactive Selection Sheet'!$Q$2)</f>
        <v>4.4999999999999998E-2</v>
      </c>
      <c r="E52" s="70">
        <f>IF(B52="","", 'Interactive Selection Sheet'!$R$2)</f>
        <v>0.02</v>
      </c>
      <c r="F52" s="69" t="str">
        <f>_xlfn.IFNA(IF('Interactive Selection Sheet'!F26= "", VLOOKUP('Interactive Selection Sheet'!$G26, 'Master List Import'!$A$1:$P$519, 4, FALSE), ""), "")</f>
        <v>Clothing</v>
      </c>
      <c r="G52" s="69" t="str">
        <f>_xlfn.IFNA(IF('Interactive Selection Sheet'!F26= "", VLOOKUP('Interactive Selection Sheet'!$G26, 'Master List Import'!$A$1:$P$519, 5, FALSE), ""), "")</f>
        <v>Clothing</v>
      </c>
      <c r="H52" s="69" t="str">
        <f>_xlfn.IFNA(IF('Interactive Selection Sheet'!F26= "", VLOOKUP('Interactive Selection Sheet'!$G26, 'Master List Import'!$A$1:$P$519, 6, FALSE), ""), "")</f>
        <v>Both</v>
      </c>
      <c r="I52" s="72">
        <f>_xlfn.IFNA(IF('Interactive Selection Sheet'!F26= "", VLOOKUP('Interactive Selection Sheet'!$G26, 'Master List Import'!$A$1:$P$519, 7, FALSE), ""), "")</f>
        <v>1.1499999999999999</v>
      </c>
      <c r="J52" s="69" t="str">
        <f>_xlfn.IFNA(IF('Interactive Selection Sheet'!F26= "", VLOOKUP('Interactive Selection Sheet'!$G26, 'Master List Import'!$A$1:$P$519, 8, FALSE), ""), "")</f>
        <v>REI</v>
      </c>
      <c r="K52" s="69" t="str">
        <f>_xlfn.IFNA(IF('Interactive Selection Sheet'!F26= "", VLOOKUP('Interactive Selection Sheet'!$G26, 'Master List Import'!$A$1:$P$519, 9, FALSE), ""), "")</f>
        <v>900201</v>
      </c>
      <c r="L52" s="69">
        <f>_xlfn.IFNA(IF('Interactive Selection Sheet'!F26= "", VLOOKUP('Interactive Selection Sheet'!$G26, 'Master List Import'!$A$1:$P$519, 10, FALSE), ""), "")</f>
        <v>0</v>
      </c>
      <c r="M52" s="69">
        <f>_xlfn.IFNA(IF('Interactive Selection Sheet'!F26= "", VLOOKUP('Interactive Selection Sheet'!$G26, 'Master List Import'!$A$1:$P$519, 11, FALSE), ""), "")</f>
        <v>0</v>
      </c>
      <c r="N52" s="69">
        <f>_xlfn.IFNA(IF('Interactive Selection Sheet'!F26= "", VLOOKUP('Interactive Selection Sheet'!$G26, 'Master List Import'!$A$1:$P$519, 12, FALSE), ""), "")</f>
        <v>1</v>
      </c>
      <c r="O52" s="69">
        <f>_xlfn.IFNA(IF('Interactive Selection Sheet'!F26= "", VLOOKUP('Interactive Selection Sheet'!$G26, 'Master List Import'!$A$1:$P$519, 13, FALSE), ""), "")</f>
        <v>1301</v>
      </c>
      <c r="P52" s="69" t="str">
        <f>_xlfn.IFNA(IF('Interactive Selection Sheet'!F26= "", VLOOKUP('Interactive Selection Sheet'!$G26, 'Master List Import'!$A$1:$P$519, 14, FALSE), ""), "")</f>
        <v>White Boxers (Sm)</v>
      </c>
      <c r="Q52" s="69">
        <f>_xlfn.IFNA(IF('Interactive Selection Sheet'!F26= "", VLOOKUP('Interactive Selection Sheet'!$G26, 'Master List Import'!$A$1:$P$519, 15, FALSE), ""), "")</f>
        <v>1</v>
      </c>
      <c r="R52" s="74">
        <f>_xlfn.IFNA(IF('Interactive Selection Sheet'!F26= "", VLOOKUP('Interactive Selection Sheet'!$G26, 'Master List Import'!$A$1:$P$519, 16, FALSE), ""), "")</f>
        <v>4.3</v>
      </c>
    </row>
    <row r="53" spans="1:18" ht="21.75" customHeight="1" x14ac:dyDescent="0.25">
      <c r="A53" s="69">
        <f>_xlfn.IFNA(IF('Interactive Selection Sheet'!F27= "", VLOOKUP('Interactive Selection Sheet'!$G27, 'Master List Import'!$A$1:$P$519, 2, FALSE), ""), "")</f>
        <v>1302</v>
      </c>
      <c r="B53" s="69" t="str">
        <f>_xlfn.IFNA(IF('Interactive Selection Sheet'!F27= "", VLOOKUP('Interactive Selection Sheet'!$G27, 'Master List Import'!$A$1:$P$519, 3, FALSE), ""), "")</f>
        <v>Boxer Shorts - Md</v>
      </c>
      <c r="C53" s="76">
        <f>IF('Interactive Selection Sheet'!$T$2="", "", IF(B53="","",'Interactive Selection Sheet'!$T$2))</f>
        <v>3.5000000000000003E-2</v>
      </c>
      <c r="D53" s="70">
        <f>IF(B53 = "", "", 'Interactive Selection Sheet'!$Q$2)</f>
        <v>4.4999999999999998E-2</v>
      </c>
      <c r="E53" s="70">
        <f>IF(B53="","", 'Interactive Selection Sheet'!$R$2)</f>
        <v>0.02</v>
      </c>
      <c r="F53" s="69" t="str">
        <f>_xlfn.IFNA(IF('Interactive Selection Sheet'!F27= "", VLOOKUP('Interactive Selection Sheet'!$G27, 'Master List Import'!$A$1:$P$519, 4, FALSE), ""), "")</f>
        <v>Clothing</v>
      </c>
      <c r="G53" s="69" t="str">
        <f>_xlfn.IFNA(IF('Interactive Selection Sheet'!F27= "", VLOOKUP('Interactive Selection Sheet'!$G27, 'Master List Import'!$A$1:$P$519, 5, FALSE), ""), "")</f>
        <v>Clothing</v>
      </c>
      <c r="H53" s="69" t="str">
        <f>_xlfn.IFNA(IF('Interactive Selection Sheet'!F27= "", VLOOKUP('Interactive Selection Sheet'!$G27, 'Master List Import'!$A$1:$P$519, 6, FALSE), ""), "")</f>
        <v>Both</v>
      </c>
      <c r="I53" s="72">
        <f>_xlfn.IFNA(IF('Interactive Selection Sheet'!F27= "", VLOOKUP('Interactive Selection Sheet'!$G27, 'Master List Import'!$A$1:$P$519, 7, FALSE), ""), "")</f>
        <v>1.1499999999999999</v>
      </c>
      <c r="J53" s="69" t="str">
        <f>_xlfn.IFNA(IF('Interactive Selection Sheet'!F27= "", VLOOKUP('Interactive Selection Sheet'!$G27, 'Master List Import'!$A$1:$P$519, 8, FALSE), ""), "")</f>
        <v>REI</v>
      </c>
      <c r="K53" s="69" t="str">
        <f>_xlfn.IFNA(IF('Interactive Selection Sheet'!F27= "", VLOOKUP('Interactive Selection Sheet'!$G27, 'Master List Import'!$A$1:$P$519, 9, FALSE), ""), "")</f>
        <v>900202</v>
      </c>
      <c r="L53" s="69">
        <f>_xlfn.IFNA(IF('Interactive Selection Sheet'!F27= "", VLOOKUP('Interactive Selection Sheet'!$G27, 'Master List Import'!$A$1:$P$519, 10, FALSE), ""), "")</f>
        <v>0</v>
      </c>
      <c r="M53" s="69">
        <f>_xlfn.IFNA(IF('Interactive Selection Sheet'!F27= "", VLOOKUP('Interactive Selection Sheet'!$G27, 'Master List Import'!$A$1:$P$519, 11, FALSE), ""), "")</f>
        <v>0</v>
      </c>
      <c r="N53" s="69">
        <f>_xlfn.IFNA(IF('Interactive Selection Sheet'!F27= "", VLOOKUP('Interactive Selection Sheet'!$G27, 'Master List Import'!$A$1:$P$519, 12, FALSE), ""), "")</f>
        <v>1</v>
      </c>
      <c r="O53" s="69">
        <f>_xlfn.IFNA(IF('Interactive Selection Sheet'!F27= "", VLOOKUP('Interactive Selection Sheet'!$G27, 'Master List Import'!$A$1:$P$519, 13, FALSE), ""), "")</f>
        <v>1302</v>
      </c>
      <c r="P53" s="69" t="str">
        <f>_xlfn.IFNA(IF('Interactive Selection Sheet'!F27= "", VLOOKUP('Interactive Selection Sheet'!$G27, 'Master List Import'!$A$1:$P$519, 14, FALSE), ""), "")</f>
        <v>White Boxers (Md)</v>
      </c>
      <c r="Q53" s="69">
        <f>_xlfn.IFNA(IF('Interactive Selection Sheet'!F27= "", VLOOKUP('Interactive Selection Sheet'!$G27, 'Master List Import'!$A$1:$P$519, 15, FALSE), ""), "")</f>
        <v>1</v>
      </c>
      <c r="R53" s="74">
        <f>_xlfn.IFNA(IF('Interactive Selection Sheet'!F27= "", VLOOKUP('Interactive Selection Sheet'!$G27, 'Master List Import'!$A$1:$P$519, 16, FALSE), ""), "")</f>
        <v>4.3</v>
      </c>
    </row>
    <row r="54" spans="1:18" ht="21.75" customHeight="1" x14ac:dyDescent="0.25">
      <c r="A54" s="69">
        <f>_xlfn.IFNA(IF('Interactive Selection Sheet'!F28= "", VLOOKUP('Interactive Selection Sheet'!$G28, 'Master List Import'!$A$1:$P$519, 2, FALSE), ""), "")</f>
        <v>1303</v>
      </c>
      <c r="B54" s="69" t="str">
        <f>_xlfn.IFNA(IF('Interactive Selection Sheet'!F28= "", VLOOKUP('Interactive Selection Sheet'!$G28, 'Master List Import'!$A$1:$P$519, 3, FALSE), ""), "")</f>
        <v>Boxer Shorts - Lg</v>
      </c>
      <c r="C54" s="76">
        <f>IF('Interactive Selection Sheet'!$T$2="", "", IF(B54="","",'Interactive Selection Sheet'!$T$2))</f>
        <v>3.5000000000000003E-2</v>
      </c>
      <c r="D54" s="70">
        <f>IF(B54 = "", "", 'Interactive Selection Sheet'!$Q$2)</f>
        <v>4.4999999999999998E-2</v>
      </c>
      <c r="E54" s="70">
        <f>IF(B54="","", 'Interactive Selection Sheet'!$R$2)</f>
        <v>0.02</v>
      </c>
      <c r="F54" s="69" t="str">
        <f>_xlfn.IFNA(IF('Interactive Selection Sheet'!F28= "", VLOOKUP('Interactive Selection Sheet'!$G28, 'Master List Import'!$A$1:$P$519, 4, FALSE), ""), "")</f>
        <v>Clothing</v>
      </c>
      <c r="G54" s="69" t="str">
        <f>_xlfn.IFNA(IF('Interactive Selection Sheet'!F28= "", VLOOKUP('Interactive Selection Sheet'!$G28, 'Master List Import'!$A$1:$P$519, 5, FALSE), ""), "")</f>
        <v>Clothing</v>
      </c>
      <c r="H54" s="69" t="str">
        <f>_xlfn.IFNA(IF('Interactive Selection Sheet'!F28= "", VLOOKUP('Interactive Selection Sheet'!$G28, 'Master List Import'!$A$1:$P$519, 6, FALSE), ""), "")</f>
        <v>Both</v>
      </c>
      <c r="I54" s="72">
        <f>_xlfn.IFNA(IF('Interactive Selection Sheet'!F28= "", VLOOKUP('Interactive Selection Sheet'!$G28, 'Master List Import'!$A$1:$P$519, 7, FALSE), ""), "")</f>
        <v>1.1499999999999999</v>
      </c>
      <c r="J54" s="69" t="str">
        <f>_xlfn.IFNA(IF('Interactive Selection Sheet'!F28= "", VLOOKUP('Interactive Selection Sheet'!$G28, 'Master List Import'!$A$1:$P$519, 8, FALSE), ""), "")</f>
        <v>REI</v>
      </c>
      <c r="K54" s="69" t="str">
        <f>_xlfn.IFNA(IF('Interactive Selection Sheet'!F28= "", VLOOKUP('Interactive Selection Sheet'!$G28, 'Master List Import'!$A$1:$P$519, 9, FALSE), ""), "")</f>
        <v>900203</v>
      </c>
      <c r="L54" s="69">
        <f>_xlfn.IFNA(IF('Interactive Selection Sheet'!F28= "", VLOOKUP('Interactive Selection Sheet'!$G28, 'Master List Import'!$A$1:$P$519, 10, FALSE), ""), "")</f>
        <v>0</v>
      </c>
      <c r="M54" s="69">
        <f>_xlfn.IFNA(IF('Interactive Selection Sheet'!F28= "", VLOOKUP('Interactive Selection Sheet'!$G28, 'Master List Import'!$A$1:$P$519, 11, FALSE), ""), "")</f>
        <v>0</v>
      </c>
      <c r="N54" s="69">
        <f>_xlfn.IFNA(IF('Interactive Selection Sheet'!F28= "", VLOOKUP('Interactive Selection Sheet'!$G28, 'Master List Import'!$A$1:$P$519, 12, FALSE), ""), "")</f>
        <v>1</v>
      </c>
      <c r="O54" s="69">
        <f>_xlfn.IFNA(IF('Interactive Selection Sheet'!F28= "", VLOOKUP('Interactive Selection Sheet'!$G28, 'Master List Import'!$A$1:$P$519, 13, FALSE), ""), "")</f>
        <v>1303</v>
      </c>
      <c r="P54" s="69" t="str">
        <f>_xlfn.IFNA(IF('Interactive Selection Sheet'!F28= "", VLOOKUP('Interactive Selection Sheet'!$G28, 'Master List Import'!$A$1:$P$519, 14, FALSE), ""), "")</f>
        <v>White Boxers (Lg)</v>
      </c>
      <c r="Q54" s="69">
        <f>_xlfn.IFNA(IF('Interactive Selection Sheet'!F28= "", VLOOKUP('Interactive Selection Sheet'!$G28, 'Master List Import'!$A$1:$P$519, 15, FALSE), ""), "")</f>
        <v>1</v>
      </c>
      <c r="R54" s="74">
        <f>_xlfn.IFNA(IF('Interactive Selection Sheet'!F28= "", VLOOKUP('Interactive Selection Sheet'!$G28, 'Master List Import'!$A$1:$P$519, 16, FALSE), ""), "")</f>
        <v>4.3</v>
      </c>
    </row>
    <row r="55" spans="1:18" ht="21.75" customHeight="1" x14ac:dyDescent="0.25">
      <c r="A55" s="69">
        <f>_xlfn.IFNA(IF('Interactive Selection Sheet'!F29= "", VLOOKUP('Interactive Selection Sheet'!$G29, 'Master List Import'!$A$1:$P$519, 2, FALSE), ""), "")</f>
        <v>1304</v>
      </c>
      <c r="B55" s="69" t="str">
        <f>_xlfn.IFNA(IF('Interactive Selection Sheet'!F29= "", VLOOKUP('Interactive Selection Sheet'!$G29, 'Master List Import'!$A$1:$P$519, 3, FALSE), ""), "")</f>
        <v>Boxer Shorts - XL</v>
      </c>
      <c r="C55" s="76">
        <f>IF('Interactive Selection Sheet'!$T$2="", "", IF(B55="","",'Interactive Selection Sheet'!$T$2))</f>
        <v>3.5000000000000003E-2</v>
      </c>
      <c r="D55" s="70">
        <f>IF(B55 = "", "", 'Interactive Selection Sheet'!$Q$2)</f>
        <v>4.4999999999999998E-2</v>
      </c>
      <c r="E55" s="70">
        <f>IF(B55="","", 'Interactive Selection Sheet'!$R$2)</f>
        <v>0.02</v>
      </c>
      <c r="F55" s="69" t="str">
        <f>_xlfn.IFNA(IF('Interactive Selection Sheet'!F29= "", VLOOKUP('Interactive Selection Sheet'!$G29, 'Master List Import'!$A$1:$P$519, 4, FALSE), ""), "")</f>
        <v>Clothing</v>
      </c>
      <c r="G55" s="69" t="str">
        <f>_xlfn.IFNA(IF('Interactive Selection Sheet'!F29= "", VLOOKUP('Interactive Selection Sheet'!$G29, 'Master List Import'!$A$1:$P$519, 5, FALSE), ""), "")</f>
        <v>Clothing</v>
      </c>
      <c r="H55" s="69" t="str">
        <f>_xlfn.IFNA(IF('Interactive Selection Sheet'!F29= "", VLOOKUP('Interactive Selection Sheet'!$G29, 'Master List Import'!$A$1:$P$519, 6, FALSE), ""), "")</f>
        <v>Both</v>
      </c>
      <c r="I55" s="72">
        <f>_xlfn.IFNA(IF('Interactive Selection Sheet'!F29= "", VLOOKUP('Interactive Selection Sheet'!$G29, 'Master List Import'!$A$1:$P$519, 7, FALSE), ""), "")</f>
        <v>1.1499999999999999</v>
      </c>
      <c r="J55" s="69" t="str">
        <f>_xlfn.IFNA(IF('Interactive Selection Sheet'!F29= "", VLOOKUP('Interactive Selection Sheet'!$G29, 'Master List Import'!$A$1:$P$519, 8, FALSE), ""), "")</f>
        <v>REI</v>
      </c>
      <c r="K55" s="69" t="str">
        <f>_xlfn.IFNA(IF('Interactive Selection Sheet'!F29= "", VLOOKUP('Interactive Selection Sheet'!$G29, 'Master List Import'!$A$1:$P$519, 9, FALSE), ""), "")</f>
        <v>900204</v>
      </c>
      <c r="L55" s="69">
        <f>_xlfn.IFNA(IF('Interactive Selection Sheet'!F29= "", VLOOKUP('Interactive Selection Sheet'!$G29, 'Master List Import'!$A$1:$P$519, 10, FALSE), ""), "")</f>
        <v>0</v>
      </c>
      <c r="M55" s="69">
        <f>_xlfn.IFNA(IF('Interactive Selection Sheet'!F29= "", VLOOKUP('Interactive Selection Sheet'!$G29, 'Master List Import'!$A$1:$P$519, 11, FALSE), ""), "")</f>
        <v>0</v>
      </c>
      <c r="N55" s="69">
        <f>_xlfn.IFNA(IF('Interactive Selection Sheet'!F29= "", VLOOKUP('Interactive Selection Sheet'!$G29, 'Master List Import'!$A$1:$P$519, 12, FALSE), ""), "")</f>
        <v>1</v>
      </c>
      <c r="O55" s="69">
        <f>_xlfn.IFNA(IF('Interactive Selection Sheet'!F29= "", VLOOKUP('Interactive Selection Sheet'!$G29, 'Master List Import'!$A$1:$P$519, 13, FALSE), ""), "")</f>
        <v>1304</v>
      </c>
      <c r="P55" s="69" t="str">
        <f>_xlfn.IFNA(IF('Interactive Selection Sheet'!F29= "", VLOOKUP('Interactive Selection Sheet'!$G29, 'Master List Import'!$A$1:$P$519, 14, FALSE), ""), "")</f>
        <v>White Boxers (XL)</v>
      </c>
      <c r="Q55" s="69">
        <f>_xlfn.IFNA(IF('Interactive Selection Sheet'!F29= "", VLOOKUP('Interactive Selection Sheet'!$G29, 'Master List Import'!$A$1:$P$519, 15, FALSE), ""), "")</f>
        <v>1</v>
      </c>
      <c r="R55" s="74">
        <f>_xlfn.IFNA(IF('Interactive Selection Sheet'!F29= "", VLOOKUP('Interactive Selection Sheet'!$G29, 'Master List Import'!$A$1:$P$519, 16, FALSE), ""), "")</f>
        <v>4.3</v>
      </c>
    </row>
    <row r="56" spans="1:18" ht="21.75" customHeight="1" x14ac:dyDescent="0.25">
      <c r="A56" s="69">
        <f>_xlfn.IFNA(IF('Interactive Selection Sheet'!F30= "", VLOOKUP('Interactive Selection Sheet'!$G30, 'Master List Import'!$A$1:$P$519, 2, FALSE), ""), "")</f>
        <v>1305</v>
      </c>
      <c r="B56" s="69" t="str">
        <f>_xlfn.IFNA(IF('Interactive Selection Sheet'!F30= "", VLOOKUP('Interactive Selection Sheet'!$G30, 'Master List Import'!$A$1:$P$519, 3, FALSE), ""), "")</f>
        <v>Boxer Shorts - 2X</v>
      </c>
      <c r="C56" s="76">
        <f>IF('Interactive Selection Sheet'!$T$2="", "", IF(B56="","",'Interactive Selection Sheet'!$T$2))</f>
        <v>3.5000000000000003E-2</v>
      </c>
      <c r="D56" s="70">
        <f>IF(B56 = "", "", 'Interactive Selection Sheet'!$Q$2)</f>
        <v>4.4999999999999998E-2</v>
      </c>
      <c r="E56" s="70">
        <f>IF(B56="","", 'Interactive Selection Sheet'!$R$2)</f>
        <v>0.02</v>
      </c>
      <c r="F56" s="69" t="str">
        <f>_xlfn.IFNA(IF('Interactive Selection Sheet'!F30= "", VLOOKUP('Interactive Selection Sheet'!$G30, 'Master List Import'!$A$1:$P$519, 4, FALSE), ""), "")</f>
        <v>Clothing</v>
      </c>
      <c r="G56" s="69" t="str">
        <f>_xlfn.IFNA(IF('Interactive Selection Sheet'!F30= "", VLOOKUP('Interactive Selection Sheet'!$G30, 'Master List Import'!$A$1:$P$519, 5, FALSE), ""), "")</f>
        <v>Clothing</v>
      </c>
      <c r="H56" s="69" t="str">
        <f>_xlfn.IFNA(IF('Interactive Selection Sheet'!F30= "", VLOOKUP('Interactive Selection Sheet'!$G30, 'Master List Import'!$A$1:$P$519, 6, FALSE), ""), "")</f>
        <v>Both</v>
      </c>
      <c r="I56" s="72">
        <f>_xlfn.IFNA(IF('Interactive Selection Sheet'!F30= "", VLOOKUP('Interactive Selection Sheet'!$G30, 'Master List Import'!$A$1:$P$519, 7, FALSE), ""), "")</f>
        <v>1.35</v>
      </c>
      <c r="J56" s="69" t="str">
        <f>_xlfn.IFNA(IF('Interactive Selection Sheet'!F30= "", VLOOKUP('Interactive Selection Sheet'!$G30, 'Master List Import'!$A$1:$P$519, 8, FALSE), ""), "")</f>
        <v>REI</v>
      </c>
      <c r="K56" s="69" t="str">
        <f>_xlfn.IFNA(IF('Interactive Selection Sheet'!F30= "", VLOOKUP('Interactive Selection Sheet'!$G30, 'Master List Import'!$A$1:$P$519, 9, FALSE), ""), "")</f>
        <v>900205</v>
      </c>
      <c r="L56" s="69">
        <f>_xlfn.IFNA(IF('Interactive Selection Sheet'!F30= "", VLOOKUP('Interactive Selection Sheet'!$G30, 'Master List Import'!$A$1:$P$519, 10, FALSE), ""), "")</f>
        <v>0</v>
      </c>
      <c r="M56" s="69">
        <f>_xlfn.IFNA(IF('Interactive Selection Sheet'!F30= "", VLOOKUP('Interactive Selection Sheet'!$G30, 'Master List Import'!$A$1:$P$519, 11, FALSE), ""), "")</f>
        <v>0</v>
      </c>
      <c r="N56" s="69">
        <f>_xlfn.IFNA(IF('Interactive Selection Sheet'!F30= "", VLOOKUP('Interactive Selection Sheet'!$G30, 'Master List Import'!$A$1:$P$519, 12, FALSE), ""), "")</f>
        <v>1</v>
      </c>
      <c r="O56" s="69">
        <f>_xlfn.IFNA(IF('Interactive Selection Sheet'!F30= "", VLOOKUP('Interactive Selection Sheet'!$G30, 'Master List Import'!$A$1:$P$519, 13, FALSE), ""), "")</f>
        <v>1305</v>
      </c>
      <c r="P56" s="69" t="str">
        <f>_xlfn.IFNA(IF('Interactive Selection Sheet'!F30= "", VLOOKUP('Interactive Selection Sheet'!$G30, 'Master List Import'!$A$1:$P$519, 14, FALSE), ""), "")</f>
        <v>White Boxers (2X)</v>
      </c>
      <c r="Q56" s="69">
        <f>_xlfn.IFNA(IF('Interactive Selection Sheet'!F30= "", VLOOKUP('Interactive Selection Sheet'!$G30, 'Master List Import'!$A$1:$P$519, 15, FALSE), ""), "")</f>
        <v>1</v>
      </c>
      <c r="R56" s="74">
        <f>_xlfn.IFNA(IF('Interactive Selection Sheet'!F30= "", VLOOKUP('Interactive Selection Sheet'!$G30, 'Master List Import'!$A$1:$P$519, 16, FALSE), ""), "")</f>
        <v>4.8</v>
      </c>
    </row>
    <row r="57" spans="1:18" ht="21.75" customHeight="1" x14ac:dyDescent="0.25">
      <c r="A57" s="69">
        <f>_xlfn.IFNA(IF('Interactive Selection Sheet'!F31= "", VLOOKUP('Interactive Selection Sheet'!$G31, 'Master List Import'!$A$1:$P$519, 2, FALSE), ""), "")</f>
        <v>1306</v>
      </c>
      <c r="B57" s="69" t="str">
        <f>_xlfn.IFNA(IF('Interactive Selection Sheet'!F31= "", VLOOKUP('Interactive Selection Sheet'!$G31, 'Master List Import'!$A$1:$P$519, 3, FALSE), ""), "")</f>
        <v>Boxer Shorts - 3X</v>
      </c>
      <c r="C57" s="76">
        <f>IF('Interactive Selection Sheet'!$T$2="", "", IF(B57="","",'Interactive Selection Sheet'!$T$2))</f>
        <v>3.5000000000000003E-2</v>
      </c>
      <c r="D57" s="70">
        <f>IF(B57 = "", "", 'Interactive Selection Sheet'!$Q$2)</f>
        <v>4.4999999999999998E-2</v>
      </c>
      <c r="E57" s="70">
        <f>IF(B57="","", 'Interactive Selection Sheet'!$R$2)</f>
        <v>0.02</v>
      </c>
      <c r="F57" s="69" t="str">
        <f>_xlfn.IFNA(IF('Interactive Selection Sheet'!F31= "", VLOOKUP('Interactive Selection Sheet'!$G31, 'Master List Import'!$A$1:$P$519, 4, FALSE), ""), "")</f>
        <v>Clothing</v>
      </c>
      <c r="G57" s="69" t="str">
        <f>_xlfn.IFNA(IF('Interactive Selection Sheet'!F31= "", VLOOKUP('Interactive Selection Sheet'!$G31, 'Master List Import'!$A$1:$P$519, 5, FALSE), ""), "")</f>
        <v>Clothing</v>
      </c>
      <c r="H57" s="69" t="str">
        <f>_xlfn.IFNA(IF('Interactive Selection Sheet'!F31= "", VLOOKUP('Interactive Selection Sheet'!$G31, 'Master List Import'!$A$1:$P$519, 6, FALSE), ""), "")</f>
        <v>Both</v>
      </c>
      <c r="I57" s="72">
        <f>_xlfn.IFNA(IF('Interactive Selection Sheet'!F31= "", VLOOKUP('Interactive Selection Sheet'!$G31, 'Master List Import'!$A$1:$P$519, 7, FALSE), ""), "")</f>
        <v>1.35</v>
      </c>
      <c r="J57" s="69" t="str">
        <f>_xlfn.IFNA(IF('Interactive Selection Sheet'!F31= "", VLOOKUP('Interactive Selection Sheet'!$G31, 'Master List Import'!$A$1:$P$519, 8, FALSE), ""), "")</f>
        <v>REI</v>
      </c>
      <c r="K57" s="69" t="str">
        <f>_xlfn.IFNA(IF('Interactive Selection Sheet'!F31= "", VLOOKUP('Interactive Selection Sheet'!$G31, 'Master List Import'!$A$1:$P$519, 9, FALSE), ""), "")</f>
        <v>900206</v>
      </c>
      <c r="L57" s="69">
        <f>_xlfn.IFNA(IF('Interactive Selection Sheet'!F31= "", VLOOKUP('Interactive Selection Sheet'!$G31, 'Master List Import'!$A$1:$P$519, 10, FALSE), ""), "")</f>
        <v>0</v>
      </c>
      <c r="M57" s="69">
        <f>_xlfn.IFNA(IF('Interactive Selection Sheet'!F31= "", VLOOKUP('Interactive Selection Sheet'!$G31, 'Master List Import'!$A$1:$P$519, 11, FALSE), ""), "")</f>
        <v>0</v>
      </c>
      <c r="N57" s="69">
        <f>_xlfn.IFNA(IF('Interactive Selection Sheet'!F31= "", VLOOKUP('Interactive Selection Sheet'!$G31, 'Master List Import'!$A$1:$P$519, 12, FALSE), ""), "")</f>
        <v>1</v>
      </c>
      <c r="O57" s="69">
        <f>_xlfn.IFNA(IF('Interactive Selection Sheet'!F31= "", VLOOKUP('Interactive Selection Sheet'!$G31, 'Master List Import'!$A$1:$P$519, 13, FALSE), ""), "")</f>
        <v>1306</v>
      </c>
      <c r="P57" s="69" t="str">
        <f>_xlfn.IFNA(IF('Interactive Selection Sheet'!F31= "", VLOOKUP('Interactive Selection Sheet'!$G31, 'Master List Import'!$A$1:$P$519, 14, FALSE), ""), "")</f>
        <v>White Boxers (3X)</v>
      </c>
      <c r="Q57" s="69">
        <f>_xlfn.IFNA(IF('Interactive Selection Sheet'!F31= "", VLOOKUP('Interactive Selection Sheet'!$G31, 'Master List Import'!$A$1:$P$519, 15, FALSE), ""), "")</f>
        <v>1</v>
      </c>
      <c r="R57" s="74">
        <f>_xlfn.IFNA(IF('Interactive Selection Sheet'!F31= "", VLOOKUP('Interactive Selection Sheet'!$G31, 'Master List Import'!$A$1:$P$519, 16, FALSE), ""), "")</f>
        <v>5.8</v>
      </c>
    </row>
    <row r="58" spans="1:18" ht="21.75" customHeight="1" x14ac:dyDescent="0.25">
      <c r="A58" s="69">
        <f>_xlfn.IFNA(IF('Interactive Selection Sheet'!F32= "", VLOOKUP('Interactive Selection Sheet'!$G32, 'Master List Import'!$A$1:$P$519, 2, FALSE), ""), "")</f>
        <v>1307</v>
      </c>
      <c r="B58" s="69" t="str">
        <f>_xlfn.IFNA(IF('Interactive Selection Sheet'!F32= "", VLOOKUP('Interactive Selection Sheet'!$G32, 'Master List Import'!$A$1:$P$519, 3, FALSE), ""), "")</f>
        <v>Boxer Shorts - 4X</v>
      </c>
      <c r="C58" s="76">
        <f>IF('Interactive Selection Sheet'!$T$2="", "", IF(B58="","",'Interactive Selection Sheet'!$T$2))</f>
        <v>3.5000000000000003E-2</v>
      </c>
      <c r="D58" s="70">
        <f>IF(B58 = "", "", 'Interactive Selection Sheet'!$Q$2)</f>
        <v>4.4999999999999998E-2</v>
      </c>
      <c r="E58" s="70">
        <f>IF(B58="","", 'Interactive Selection Sheet'!$R$2)</f>
        <v>0.02</v>
      </c>
      <c r="F58" s="69" t="str">
        <f>_xlfn.IFNA(IF('Interactive Selection Sheet'!F32= "", VLOOKUP('Interactive Selection Sheet'!$G32, 'Master List Import'!$A$1:$P$519, 4, FALSE), ""), "")</f>
        <v>Clothing</v>
      </c>
      <c r="G58" s="69" t="str">
        <f>_xlfn.IFNA(IF('Interactive Selection Sheet'!F32= "", VLOOKUP('Interactive Selection Sheet'!$G32, 'Master List Import'!$A$1:$P$519, 5, FALSE), ""), "")</f>
        <v>Clothing</v>
      </c>
      <c r="H58" s="69" t="str">
        <f>_xlfn.IFNA(IF('Interactive Selection Sheet'!F32= "", VLOOKUP('Interactive Selection Sheet'!$G32, 'Master List Import'!$A$1:$P$519, 6, FALSE), ""), "")</f>
        <v>Both</v>
      </c>
      <c r="I58" s="72">
        <f>_xlfn.IFNA(IF('Interactive Selection Sheet'!F32= "", VLOOKUP('Interactive Selection Sheet'!$G32, 'Master List Import'!$A$1:$P$519, 7, FALSE), ""), "")</f>
        <v>1.5</v>
      </c>
      <c r="J58" s="69" t="str">
        <f>_xlfn.IFNA(IF('Interactive Selection Sheet'!F32= "", VLOOKUP('Interactive Selection Sheet'!$G32, 'Master List Import'!$A$1:$P$519, 8, FALSE), ""), "")</f>
        <v>REI</v>
      </c>
      <c r="K58" s="69" t="str">
        <f>_xlfn.IFNA(IF('Interactive Selection Sheet'!F32= "", VLOOKUP('Interactive Selection Sheet'!$G32, 'Master List Import'!$A$1:$P$519, 9, FALSE), ""), "")</f>
        <v>900207</v>
      </c>
      <c r="L58" s="69">
        <f>_xlfn.IFNA(IF('Interactive Selection Sheet'!F32= "", VLOOKUP('Interactive Selection Sheet'!$G32, 'Master List Import'!$A$1:$P$519, 10, FALSE), ""), "")</f>
        <v>0</v>
      </c>
      <c r="M58" s="69">
        <f>_xlfn.IFNA(IF('Interactive Selection Sheet'!F32= "", VLOOKUP('Interactive Selection Sheet'!$G32, 'Master List Import'!$A$1:$P$519, 11, FALSE), ""), "")</f>
        <v>0</v>
      </c>
      <c r="N58" s="69">
        <f>_xlfn.IFNA(IF('Interactive Selection Sheet'!F32= "", VLOOKUP('Interactive Selection Sheet'!$G32, 'Master List Import'!$A$1:$P$519, 12, FALSE), ""), "")</f>
        <v>1</v>
      </c>
      <c r="O58" s="69">
        <f>_xlfn.IFNA(IF('Interactive Selection Sheet'!F32= "", VLOOKUP('Interactive Selection Sheet'!$G32, 'Master List Import'!$A$1:$P$519, 13, FALSE), ""), "")</f>
        <v>1307</v>
      </c>
      <c r="P58" s="69" t="str">
        <f>_xlfn.IFNA(IF('Interactive Selection Sheet'!F32= "", VLOOKUP('Interactive Selection Sheet'!$G32, 'Master List Import'!$A$1:$P$519, 14, FALSE), ""), "")</f>
        <v>White Boxers (4X)</v>
      </c>
      <c r="Q58" s="69">
        <f>_xlfn.IFNA(IF('Interactive Selection Sheet'!F32= "", VLOOKUP('Interactive Selection Sheet'!$G32, 'Master List Import'!$A$1:$P$519, 15, FALSE), ""), "")</f>
        <v>1</v>
      </c>
      <c r="R58" s="74">
        <f>_xlfn.IFNA(IF('Interactive Selection Sheet'!F32= "", VLOOKUP('Interactive Selection Sheet'!$G32, 'Master List Import'!$A$1:$P$519, 16, FALSE), ""), "")</f>
        <v>6.05</v>
      </c>
    </row>
    <row r="59" spans="1:18" ht="21.75" customHeight="1" x14ac:dyDescent="0.25">
      <c r="A59" s="69">
        <f>_xlfn.IFNA(IF('Interactive Selection Sheet'!F33= "", VLOOKUP('Interactive Selection Sheet'!$G33, 'Master List Import'!$A$1:$P$519, 2, FALSE), ""), "")</f>
        <v>1308</v>
      </c>
      <c r="B59" s="69" t="str">
        <f>_xlfn.IFNA(IF('Interactive Selection Sheet'!F33= "", VLOOKUP('Interactive Selection Sheet'!$G33, 'Master List Import'!$A$1:$P$519, 3, FALSE), ""), "")</f>
        <v>Boxer Shorts - 5X</v>
      </c>
      <c r="C59" s="76">
        <f>IF('Interactive Selection Sheet'!$T$2="", "", IF(B59="","",'Interactive Selection Sheet'!$T$2))</f>
        <v>3.5000000000000003E-2</v>
      </c>
      <c r="D59" s="70">
        <f>IF(B59 = "", "", 'Interactive Selection Sheet'!$Q$2)</f>
        <v>4.4999999999999998E-2</v>
      </c>
      <c r="E59" s="70">
        <f>IF(B59="","", 'Interactive Selection Sheet'!$R$2)</f>
        <v>0.02</v>
      </c>
      <c r="F59" s="69" t="str">
        <f>_xlfn.IFNA(IF('Interactive Selection Sheet'!F33= "", VLOOKUP('Interactive Selection Sheet'!$G33, 'Master List Import'!$A$1:$P$519, 4, FALSE), ""), "")</f>
        <v>Clothing</v>
      </c>
      <c r="G59" s="69" t="str">
        <f>_xlfn.IFNA(IF('Interactive Selection Sheet'!F33= "", VLOOKUP('Interactive Selection Sheet'!$G33, 'Master List Import'!$A$1:$P$519, 5, FALSE), ""), "")</f>
        <v>Clothing</v>
      </c>
      <c r="H59" s="69" t="str">
        <f>_xlfn.IFNA(IF('Interactive Selection Sheet'!F33= "", VLOOKUP('Interactive Selection Sheet'!$G33, 'Master List Import'!$A$1:$P$519, 6, FALSE), ""), "")</f>
        <v>Both</v>
      </c>
      <c r="I59" s="72">
        <f>_xlfn.IFNA(IF('Interactive Selection Sheet'!F33= "", VLOOKUP('Interactive Selection Sheet'!$G33, 'Master List Import'!$A$1:$P$519, 7, FALSE), ""), "")</f>
        <v>1.9</v>
      </c>
      <c r="J59" s="69" t="str">
        <f>_xlfn.IFNA(IF('Interactive Selection Sheet'!F33= "", VLOOKUP('Interactive Selection Sheet'!$G33, 'Master List Import'!$A$1:$P$519, 8, FALSE), ""), "")</f>
        <v>REI</v>
      </c>
      <c r="K59" s="69" t="str">
        <f>_xlfn.IFNA(IF('Interactive Selection Sheet'!F33= "", VLOOKUP('Interactive Selection Sheet'!$G33, 'Master List Import'!$A$1:$P$519, 9, FALSE), ""), "")</f>
        <v>900208</v>
      </c>
      <c r="L59" s="69">
        <f>_xlfn.IFNA(IF('Interactive Selection Sheet'!F33= "", VLOOKUP('Interactive Selection Sheet'!$G33, 'Master List Import'!$A$1:$P$519, 10, FALSE), ""), "")</f>
        <v>0</v>
      </c>
      <c r="M59" s="69">
        <f>_xlfn.IFNA(IF('Interactive Selection Sheet'!F33= "", VLOOKUP('Interactive Selection Sheet'!$G33, 'Master List Import'!$A$1:$P$519, 11, FALSE), ""), "")</f>
        <v>0</v>
      </c>
      <c r="N59" s="69">
        <f>_xlfn.IFNA(IF('Interactive Selection Sheet'!F33= "", VLOOKUP('Interactive Selection Sheet'!$G33, 'Master List Import'!$A$1:$P$519, 12, FALSE), ""), "")</f>
        <v>1</v>
      </c>
      <c r="O59" s="69">
        <f>_xlfn.IFNA(IF('Interactive Selection Sheet'!F33= "", VLOOKUP('Interactive Selection Sheet'!$G33, 'Master List Import'!$A$1:$P$519, 13, FALSE), ""), "")</f>
        <v>1308</v>
      </c>
      <c r="P59" s="69" t="str">
        <f>_xlfn.IFNA(IF('Interactive Selection Sheet'!F33= "", VLOOKUP('Interactive Selection Sheet'!$G33, 'Master List Import'!$A$1:$P$519, 14, FALSE), ""), "")</f>
        <v>White Boxers (5X)</v>
      </c>
      <c r="Q59" s="69">
        <f>_xlfn.IFNA(IF('Interactive Selection Sheet'!F33= "", VLOOKUP('Interactive Selection Sheet'!$G33, 'Master List Import'!$A$1:$P$519, 15, FALSE), ""), "")</f>
        <v>1</v>
      </c>
      <c r="R59" s="74">
        <f>_xlfn.IFNA(IF('Interactive Selection Sheet'!F33= "", VLOOKUP('Interactive Selection Sheet'!$G33, 'Master List Import'!$A$1:$P$519, 16, FALSE), ""), "")</f>
        <v>6.8</v>
      </c>
    </row>
    <row r="60" spans="1:18" ht="21.75" customHeight="1" x14ac:dyDescent="0.25">
      <c r="A60" s="69">
        <f>_xlfn.IFNA(IF('Interactive Selection Sheet'!F34= "", VLOOKUP('Interactive Selection Sheet'!$G34, 'Master List Import'!$A$1:$P$519, 2, FALSE), ""), "")</f>
        <v>1309</v>
      </c>
      <c r="B60" s="69" t="str">
        <f>_xlfn.IFNA(IF('Interactive Selection Sheet'!F34= "", VLOOKUP('Interactive Selection Sheet'!$G34, 'Master List Import'!$A$1:$P$519, 3, FALSE), ""), "")</f>
        <v>Boxer Shorts - 6X</v>
      </c>
      <c r="C60" s="76">
        <f>IF('Interactive Selection Sheet'!$T$2="", "", IF(B60="","",'Interactive Selection Sheet'!$T$2))</f>
        <v>3.5000000000000003E-2</v>
      </c>
      <c r="D60" s="70">
        <f>IF(B60 = "", "", 'Interactive Selection Sheet'!$Q$2)</f>
        <v>4.4999999999999998E-2</v>
      </c>
      <c r="E60" s="70">
        <f>IF(B60="","", 'Interactive Selection Sheet'!$R$2)</f>
        <v>0.02</v>
      </c>
      <c r="F60" s="69" t="str">
        <f>_xlfn.IFNA(IF('Interactive Selection Sheet'!F34= "", VLOOKUP('Interactive Selection Sheet'!$G34, 'Master List Import'!$A$1:$P$519, 4, FALSE), ""), "")</f>
        <v>Clothing</v>
      </c>
      <c r="G60" s="69" t="str">
        <f>_xlfn.IFNA(IF('Interactive Selection Sheet'!F34= "", VLOOKUP('Interactive Selection Sheet'!$G34, 'Master List Import'!$A$1:$P$519, 5, FALSE), ""), "")</f>
        <v>Clothing</v>
      </c>
      <c r="H60" s="69" t="str">
        <f>_xlfn.IFNA(IF('Interactive Selection Sheet'!F34= "", VLOOKUP('Interactive Selection Sheet'!$G34, 'Master List Import'!$A$1:$P$519, 6, FALSE), ""), "")</f>
        <v>Both</v>
      </c>
      <c r="I60" s="72">
        <f>_xlfn.IFNA(IF('Interactive Selection Sheet'!F34= "", VLOOKUP('Interactive Selection Sheet'!$G34, 'Master List Import'!$A$1:$P$519, 7, FALSE), ""), "")</f>
        <v>1.9</v>
      </c>
      <c r="J60" s="69" t="str">
        <f>_xlfn.IFNA(IF('Interactive Selection Sheet'!F34= "", VLOOKUP('Interactive Selection Sheet'!$G34, 'Master List Import'!$A$1:$P$519, 8, FALSE), ""), "")</f>
        <v>REI</v>
      </c>
      <c r="K60" s="69" t="str">
        <f>_xlfn.IFNA(IF('Interactive Selection Sheet'!F34= "", VLOOKUP('Interactive Selection Sheet'!$G34, 'Master List Import'!$A$1:$P$519, 9, FALSE), ""), "")</f>
        <v>900209</v>
      </c>
      <c r="L60" s="69">
        <f>_xlfn.IFNA(IF('Interactive Selection Sheet'!F34= "", VLOOKUP('Interactive Selection Sheet'!$G34, 'Master List Import'!$A$1:$P$519, 10, FALSE), ""), "")</f>
        <v>0</v>
      </c>
      <c r="M60" s="69">
        <f>_xlfn.IFNA(IF('Interactive Selection Sheet'!F34= "", VLOOKUP('Interactive Selection Sheet'!$G34, 'Master List Import'!$A$1:$P$519, 11, FALSE), ""), "")</f>
        <v>0</v>
      </c>
      <c r="N60" s="69">
        <f>_xlfn.IFNA(IF('Interactive Selection Sheet'!F34= "", VLOOKUP('Interactive Selection Sheet'!$G34, 'Master List Import'!$A$1:$P$519, 12, FALSE), ""), "")</f>
        <v>1</v>
      </c>
      <c r="O60" s="69">
        <f>_xlfn.IFNA(IF('Interactive Selection Sheet'!F34= "", VLOOKUP('Interactive Selection Sheet'!$G34, 'Master List Import'!$A$1:$P$519, 13, FALSE), ""), "")</f>
        <v>1309</v>
      </c>
      <c r="P60" s="69" t="str">
        <f>_xlfn.IFNA(IF('Interactive Selection Sheet'!F34= "", VLOOKUP('Interactive Selection Sheet'!$G34, 'Master List Import'!$A$1:$P$519, 14, FALSE), ""), "")</f>
        <v>White Boxers (6X)</v>
      </c>
      <c r="Q60" s="69">
        <f>_xlfn.IFNA(IF('Interactive Selection Sheet'!F34= "", VLOOKUP('Interactive Selection Sheet'!$G34, 'Master List Import'!$A$1:$P$519, 15, FALSE), ""), "")</f>
        <v>1</v>
      </c>
      <c r="R60" s="74">
        <f>_xlfn.IFNA(IF('Interactive Selection Sheet'!F34= "", VLOOKUP('Interactive Selection Sheet'!$G34, 'Master List Import'!$A$1:$P$519, 16, FALSE), ""), "")</f>
        <v>7.5</v>
      </c>
    </row>
    <row r="61" spans="1:18" ht="21.75" customHeight="1" x14ac:dyDescent="0.25">
      <c r="A61" s="69">
        <f>_xlfn.IFNA(IF('Interactive Selection Sheet'!F38= "", VLOOKUP('Interactive Selection Sheet'!$G38, 'Master List Import'!$A$1:$P$519, 2, FALSE), ""), "")</f>
        <v>1400</v>
      </c>
      <c r="B61" s="69" t="str">
        <f>_xlfn.IFNA(IF('Interactive Selection Sheet'!F38= "", VLOOKUP('Interactive Selection Sheet'!$G38, 'Master List Import'!$A$1:$P$519, 3, FALSE), ""), "")</f>
        <v>Women's Briefs - Size 05</v>
      </c>
      <c r="C61" s="76">
        <f>IF('Interactive Selection Sheet'!$T$2="", "", IF(B61="","",'Interactive Selection Sheet'!$T$2))</f>
        <v>3.5000000000000003E-2</v>
      </c>
      <c r="D61" s="70">
        <f>IF(B61 = "", "", 'Interactive Selection Sheet'!$Q$2)</f>
        <v>4.4999999999999998E-2</v>
      </c>
      <c r="E61" s="70">
        <f>IF(B61="","", 'Interactive Selection Sheet'!$R$2)</f>
        <v>0.02</v>
      </c>
      <c r="F61" s="69" t="str">
        <f>_xlfn.IFNA(IF('Interactive Selection Sheet'!F38= "", VLOOKUP('Interactive Selection Sheet'!$G38, 'Master List Import'!$A$1:$P$519, 4, FALSE), ""), "")</f>
        <v>Clothing</v>
      </c>
      <c r="G61" s="69" t="str">
        <f>_xlfn.IFNA(IF('Interactive Selection Sheet'!F38= "", VLOOKUP('Interactive Selection Sheet'!$G38, 'Master List Import'!$A$1:$P$519, 5, FALSE), ""), "")</f>
        <v>Clothing</v>
      </c>
      <c r="H61" s="69" t="str">
        <f>_xlfn.IFNA(IF('Interactive Selection Sheet'!F38= "", VLOOKUP('Interactive Selection Sheet'!$G38, 'Master List Import'!$A$1:$P$519, 6, FALSE), ""), "")</f>
        <v>Both</v>
      </c>
      <c r="I61" s="72">
        <f>_xlfn.IFNA(IF('Interactive Selection Sheet'!F38= "", VLOOKUP('Interactive Selection Sheet'!$G38, 'Master List Import'!$A$1:$P$519, 7, FALSE), ""), "")</f>
        <v>0.87</v>
      </c>
      <c r="J61" s="69" t="str">
        <f>_xlfn.IFNA(IF('Interactive Selection Sheet'!F38= "", VLOOKUP('Interactive Selection Sheet'!$G38, 'Master List Import'!$A$1:$P$519, 8, FALSE), ""), "")</f>
        <v>REI</v>
      </c>
      <c r="K61" s="69" t="str">
        <f>_xlfn.IFNA(IF('Interactive Selection Sheet'!F38= "", VLOOKUP('Interactive Selection Sheet'!$G38, 'Master List Import'!$A$1:$P$519, 9, FALSE), ""), "")</f>
        <v>900405</v>
      </c>
      <c r="L61" s="69">
        <f>_xlfn.IFNA(IF('Interactive Selection Sheet'!F38= "", VLOOKUP('Interactive Selection Sheet'!$G38, 'Master List Import'!$A$1:$P$519, 10, FALSE), ""), "")</f>
        <v>0</v>
      </c>
      <c r="M61" s="69">
        <f>_xlfn.IFNA(IF('Interactive Selection Sheet'!F38= "", VLOOKUP('Interactive Selection Sheet'!$G38, 'Master List Import'!$A$1:$P$519, 11, FALSE), ""), "")</f>
        <v>0</v>
      </c>
      <c r="N61" s="69">
        <f>_xlfn.IFNA(IF('Interactive Selection Sheet'!F38= "", VLOOKUP('Interactive Selection Sheet'!$G38, 'Master List Import'!$A$1:$P$519, 12, FALSE), ""), "")</f>
        <v>1</v>
      </c>
      <c r="O61" s="69">
        <f>_xlfn.IFNA(IF('Interactive Selection Sheet'!F38= "", VLOOKUP('Interactive Selection Sheet'!$G38, 'Master List Import'!$A$1:$P$519, 13, FALSE), ""), "")</f>
        <v>1400</v>
      </c>
      <c r="P61" s="69" t="str">
        <f>_xlfn.IFNA(IF('Interactive Selection Sheet'!F38= "", VLOOKUP('Interactive Selection Sheet'!$G38, 'Master List Import'!$A$1:$P$519, 14, FALSE), ""), "")</f>
        <v>White Panties (Sz 05)</v>
      </c>
      <c r="Q61" s="69">
        <f>_xlfn.IFNA(IF('Interactive Selection Sheet'!F38= "", VLOOKUP('Interactive Selection Sheet'!$G38, 'Master List Import'!$A$1:$P$519, 15, FALSE), ""), "")</f>
        <v>1</v>
      </c>
      <c r="R61" s="74">
        <f>_xlfn.IFNA(IF('Interactive Selection Sheet'!F38= "", VLOOKUP('Interactive Selection Sheet'!$G38, 'Master List Import'!$A$1:$P$519, 16, FALSE), ""), "")</f>
        <v>2.95</v>
      </c>
    </row>
    <row r="62" spans="1:18" ht="21.75" customHeight="1" x14ac:dyDescent="0.25">
      <c r="A62" s="69">
        <f>_xlfn.IFNA(IF('Interactive Selection Sheet'!F39= "", VLOOKUP('Interactive Selection Sheet'!$G39, 'Master List Import'!$A$1:$P$519, 2, FALSE), ""), "")</f>
        <v>1401</v>
      </c>
      <c r="B62" s="69" t="str">
        <f>_xlfn.IFNA(IF('Interactive Selection Sheet'!F39= "", VLOOKUP('Interactive Selection Sheet'!$G39, 'Master List Import'!$A$1:$P$519, 3, FALSE), ""), "")</f>
        <v>Women's Briefs - Size 06</v>
      </c>
      <c r="C62" s="76">
        <f>IF('Interactive Selection Sheet'!$T$2="", "", IF(B62="","",'Interactive Selection Sheet'!$T$2))</f>
        <v>3.5000000000000003E-2</v>
      </c>
      <c r="D62" s="70">
        <f>IF(B62 = "", "", 'Interactive Selection Sheet'!$Q$2)</f>
        <v>4.4999999999999998E-2</v>
      </c>
      <c r="E62" s="70">
        <f>IF(B62="","", 'Interactive Selection Sheet'!$R$2)</f>
        <v>0.02</v>
      </c>
      <c r="F62" s="69" t="str">
        <f>_xlfn.IFNA(IF('Interactive Selection Sheet'!F39= "", VLOOKUP('Interactive Selection Sheet'!$G39, 'Master List Import'!$A$1:$P$519, 4, FALSE), ""), "")</f>
        <v>Clothing</v>
      </c>
      <c r="G62" s="69" t="str">
        <f>_xlfn.IFNA(IF('Interactive Selection Sheet'!F39= "", VLOOKUP('Interactive Selection Sheet'!$G39, 'Master List Import'!$A$1:$P$519, 5, FALSE), ""), "")</f>
        <v>Clothing</v>
      </c>
      <c r="H62" s="69" t="str">
        <f>_xlfn.IFNA(IF('Interactive Selection Sheet'!F39= "", VLOOKUP('Interactive Selection Sheet'!$G39, 'Master List Import'!$A$1:$P$519, 6, FALSE), ""), "")</f>
        <v>Both</v>
      </c>
      <c r="I62" s="72">
        <f>_xlfn.IFNA(IF('Interactive Selection Sheet'!F39= "", VLOOKUP('Interactive Selection Sheet'!$G39, 'Master List Import'!$A$1:$P$519, 7, FALSE), ""), "")</f>
        <v>0.87</v>
      </c>
      <c r="J62" s="69" t="str">
        <f>_xlfn.IFNA(IF('Interactive Selection Sheet'!F39= "", VLOOKUP('Interactive Selection Sheet'!$G39, 'Master List Import'!$A$1:$P$519, 8, FALSE), ""), "")</f>
        <v>REI</v>
      </c>
      <c r="K62" s="69" t="str">
        <f>_xlfn.IFNA(IF('Interactive Selection Sheet'!F39= "", VLOOKUP('Interactive Selection Sheet'!$G39, 'Master List Import'!$A$1:$P$519, 9, FALSE), ""), "")</f>
        <v>900406</v>
      </c>
      <c r="L62" s="69">
        <f>_xlfn.IFNA(IF('Interactive Selection Sheet'!F39= "", VLOOKUP('Interactive Selection Sheet'!$G39, 'Master List Import'!$A$1:$P$519, 10, FALSE), ""), "")</f>
        <v>0</v>
      </c>
      <c r="M62" s="69">
        <f>_xlfn.IFNA(IF('Interactive Selection Sheet'!F39= "", VLOOKUP('Interactive Selection Sheet'!$G39, 'Master List Import'!$A$1:$P$519, 11, FALSE), ""), "")</f>
        <v>0</v>
      </c>
      <c r="N62" s="69">
        <f>_xlfn.IFNA(IF('Interactive Selection Sheet'!F39= "", VLOOKUP('Interactive Selection Sheet'!$G39, 'Master List Import'!$A$1:$P$519, 12, FALSE), ""), "")</f>
        <v>1</v>
      </c>
      <c r="O62" s="69">
        <f>_xlfn.IFNA(IF('Interactive Selection Sheet'!F39= "", VLOOKUP('Interactive Selection Sheet'!$G39, 'Master List Import'!$A$1:$P$519, 13, FALSE), ""), "")</f>
        <v>1401</v>
      </c>
      <c r="P62" s="69" t="str">
        <f>_xlfn.IFNA(IF('Interactive Selection Sheet'!F39= "", VLOOKUP('Interactive Selection Sheet'!$G39, 'Master List Import'!$A$1:$P$519, 14, FALSE), ""), "")</f>
        <v>White Panties (Sz 06)</v>
      </c>
      <c r="Q62" s="69">
        <f>_xlfn.IFNA(IF('Interactive Selection Sheet'!F39= "", VLOOKUP('Interactive Selection Sheet'!$G39, 'Master List Import'!$A$1:$P$519, 15, FALSE), ""), "")</f>
        <v>1</v>
      </c>
      <c r="R62" s="74">
        <f>_xlfn.IFNA(IF('Interactive Selection Sheet'!F39= "", VLOOKUP('Interactive Selection Sheet'!$G39, 'Master List Import'!$A$1:$P$519, 16, FALSE), ""), "")</f>
        <v>2.95</v>
      </c>
    </row>
    <row r="63" spans="1:18" ht="21.75" customHeight="1" x14ac:dyDescent="0.25">
      <c r="A63" s="69">
        <f>_xlfn.IFNA(IF('Interactive Selection Sheet'!F40= "", VLOOKUP('Interactive Selection Sheet'!$G40, 'Master List Import'!$A$1:$P$519, 2, FALSE), ""), "")</f>
        <v>1402</v>
      </c>
      <c r="B63" s="69" t="str">
        <f>_xlfn.IFNA(IF('Interactive Selection Sheet'!F40= "", VLOOKUP('Interactive Selection Sheet'!$G40, 'Master List Import'!$A$1:$P$519, 3, FALSE), ""), "")</f>
        <v>Women's Briefs - Size 07</v>
      </c>
      <c r="C63" s="76">
        <f>IF('Interactive Selection Sheet'!$T$2="", "", IF(B63="","",'Interactive Selection Sheet'!$T$2))</f>
        <v>3.5000000000000003E-2</v>
      </c>
      <c r="D63" s="70">
        <f>IF(B63 = "", "", 'Interactive Selection Sheet'!$Q$2)</f>
        <v>4.4999999999999998E-2</v>
      </c>
      <c r="E63" s="70">
        <f>IF(B63="","", 'Interactive Selection Sheet'!$R$2)</f>
        <v>0.02</v>
      </c>
      <c r="F63" s="69" t="str">
        <f>_xlfn.IFNA(IF('Interactive Selection Sheet'!F40= "", VLOOKUP('Interactive Selection Sheet'!$G40, 'Master List Import'!$A$1:$P$519, 4, FALSE), ""), "")</f>
        <v>Clothing</v>
      </c>
      <c r="G63" s="69" t="str">
        <f>_xlfn.IFNA(IF('Interactive Selection Sheet'!F40= "", VLOOKUP('Interactive Selection Sheet'!$G40, 'Master List Import'!$A$1:$P$519, 5, FALSE), ""), "")</f>
        <v>Clothing</v>
      </c>
      <c r="H63" s="69" t="str">
        <f>_xlfn.IFNA(IF('Interactive Selection Sheet'!F40= "", VLOOKUP('Interactive Selection Sheet'!$G40, 'Master List Import'!$A$1:$P$519, 6, FALSE), ""), "")</f>
        <v>Both</v>
      </c>
      <c r="I63" s="72">
        <f>_xlfn.IFNA(IF('Interactive Selection Sheet'!F40= "", VLOOKUP('Interactive Selection Sheet'!$G40, 'Master List Import'!$A$1:$P$519, 7, FALSE), ""), "")</f>
        <v>1.43</v>
      </c>
      <c r="J63" s="69" t="str">
        <f>_xlfn.IFNA(IF('Interactive Selection Sheet'!F40= "", VLOOKUP('Interactive Selection Sheet'!$G40, 'Master List Import'!$A$1:$P$519, 8, FALSE), ""), "")</f>
        <v>Claiborne Parish</v>
      </c>
      <c r="K63" s="69" t="str">
        <f>_xlfn.IFNA(IF('Interactive Selection Sheet'!F40= "", VLOOKUP('Interactive Selection Sheet'!$G40, 'Master List Import'!$A$1:$P$519, 9, FALSE), ""), "")</f>
        <v>60042</v>
      </c>
      <c r="L63" s="69">
        <f>_xlfn.IFNA(IF('Interactive Selection Sheet'!F40= "", VLOOKUP('Interactive Selection Sheet'!$G40, 'Master List Import'!$A$1:$P$519, 10, FALSE), ""), "")</f>
        <v>0</v>
      </c>
      <c r="M63" s="69">
        <f>_xlfn.IFNA(IF('Interactive Selection Sheet'!F40= "", VLOOKUP('Interactive Selection Sheet'!$G40, 'Master List Import'!$A$1:$P$519, 11, FALSE), ""), "")</f>
        <v>0</v>
      </c>
      <c r="N63" s="69">
        <f>_xlfn.IFNA(IF('Interactive Selection Sheet'!F40= "", VLOOKUP('Interactive Selection Sheet'!$G40, 'Master List Import'!$A$1:$P$519, 12, FALSE), ""), "")</f>
        <v>1</v>
      </c>
      <c r="O63" s="69">
        <f>_xlfn.IFNA(IF('Interactive Selection Sheet'!F40= "", VLOOKUP('Interactive Selection Sheet'!$G40, 'Master List Import'!$A$1:$P$519, 13, FALSE), ""), "")</f>
        <v>1402</v>
      </c>
      <c r="P63" s="69" t="str">
        <f>_xlfn.IFNA(IF('Interactive Selection Sheet'!F40= "", VLOOKUP('Interactive Selection Sheet'!$G40, 'Master List Import'!$A$1:$P$519, 14, FALSE), ""), "")</f>
        <v>White Panties (Sz 07)</v>
      </c>
      <c r="Q63" s="69">
        <f>_xlfn.IFNA(IF('Interactive Selection Sheet'!F40= "", VLOOKUP('Interactive Selection Sheet'!$G40, 'Master List Import'!$A$1:$P$519, 15, FALSE), ""), "")</f>
        <v>1</v>
      </c>
      <c r="R63" s="74">
        <f>_xlfn.IFNA(IF('Interactive Selection Sheet'!F40= "", VLOOKUP('Interactive Selection Sheet'!$G40, 'Master List Import'!$A$1:$P$519, 16, FALSE), ""), "")</f>
        <v>2.95</v>
      </c>
    </row>
    <row r="64" spans="1:18" ht="21.75" customHeight="1" x14ac:dyDescent="0.25">
      <c r="A64" s="69">
        <f>_xlfn.IFNA(IF('Interactive Selection Sheet'!F41= "", VLOOKUP('Interactive Selection Sheet'!$G41, 'Master List Import'!$A$1:$P$519, 2, FALSE), ""), "")</f>
        <v>1403</v>
      </c>
      <c r="B64" s="69" t="str">
        <f>_xlfn.IFNA(IF('Interactive Selection Sheet'!F41= "", VLOOKUP('Interactive Selection Sheet'!$G41, 'Master List Import'!$A$1:$P$519, 3, FALSE), ""), "")</f>
        <v>Women's Briefs - Size 08</v>
      </c>
      <c r="C64" s="76">
        <f>IF('Interactive Selection Sheet'!$T$2="", "", IF(B64="","",'Interactive Selection Sheet'!$T$2))</f>
        <v>3.5000000000000003E-2</v>
      </c>
      <c r="D64" s="70">
        <f>IF(B64 = "", "", 'Interactive Selection Sheet'!$Q$2)</f>
        <v>4.4999999999999998E-2</v>
      </c>
      <c r="E64" s="70">
        <f>IF(B64="","", 'Interactive Selection Sheet'!$R$2)</f>
        <v>0.02</v>
      </c>
      <c r="F64" s="69" t="str">
        <f>_xlfn.IFNA(IF('Interactive Selection Sheet'!F41= "", VLOOKUP('Interactive Selection Sheet'!$G41, 'Master List Import'!$A$1:$P$519, 4, FALSE), ""), "")</f>
        <v>Clothing</v>
      </c>
      <c r="G64" s="69" t="str">
        <f>_xlfn.IFNA(IF('Interactive Selection Sheet'!F41= "", VLOOKUP('Interactive Selection Sheet'!$G41, 'Master List Import'!$A$1:$P$519, 5, FALSE), ""), "")</f>
        <v>Clothing</v>
      </c>
      <c r="H64" s="69" t="str">
        <f>_xlfn.IFNA(IF('Interactive Selection Sheet'!F41= "", VLOOKUP('Interactive Selection Sheet'!$G41, 'Master List Import'!$A$1:$P$519, 6, FALSE), ""), "")</f>
        <v>Both</v>
      </c>
      <c r="I64" s="72">
        <f>_xlfn.IFNA(IF('Interactive Selection Sheet'!F41= "", VLOOKUP('Interactive Selection Sheet'!$G41, 'Master List Import'!$A$1:$P$519, 7, FALSE), ""), "")</f>
        <v>1.43</v>
      </c>
      <c r="J64" s="69" t="str">
        <f>_xlfn.IFNA(IF('Interactive Selection Sheet'!F41= "", VLOOKUP('Interactive Selection Sheet'!$G41, 'Master List Import'!$A$1:$P$519, 8, FALSE), ""), "")</f>
        <v>Buyback</v>
      </c>
      <c r="K64" s="69" t="str">
        <f>_xlfn.IFNA(IF('Interactive Selection Sheet'!F41= "", VLOOKUP('Interactive Selection Sheet'!$G41, 'Master List Import'!$A$1:$P$519, 9, FALSE), ""), "")</f>
        <v>60043</v>
      </c>
      <c r="L64" s="69">
        <f>_xlfn.IFNA(IF('Interactive Selection Sheet'!F41= "", VLOOKUP('Interactive Selection Sheet'!$G41, 'Master List Import'!$A$1:$P$519, 10, FALSE), ""), "")</f>
        <v>0</v>
      </c>
      <c r="M64" s="69">
        <f>_xlfn.IFNA(IF('Interactive Selection Sheet'!F41= "", VLOOKUP('Interactive Selection Sheet'!$G41, 'Master List Import'!$A$1:$P$519, 11, FALSE), ""), "")</f>
        <v>0</v>
      </c>
      <c r="N64" s="69">
        <f>_xlfn.IFNA(IF('Interactive Selection Sheet'!F41= "", VLOOKUP('Interactive Selection Sheet'!$G41, 'Master List Import'!$A$1:$P$519, 12, FALSE), ""), "")</f>
        <v>1</v>
      </c>
      <c r="O64" s="69">
        <f>_xlfn.IFNA(IF('Interactive Selection Sheet'!F41= "", VLOOKUP('Interactive Selection Sheet'!$G41, 'Master List Import'!$A$1:$P$519, 13, FALSE), ""), "")</f>
        <v>1403</v>
      </c>
      <c r="P64" s="69" t="str">
        <f>_xlfn.IFNA(IF('Interactive Selection Sheet'!F41= "", VLOOKUP('Interactive Selection Sheet'!$G41, 'Master List Import'!$A$1:$P$519, 14, FALSE), ""), "")</f>
        <v>White Panties (Sz 08)</v>
      </c>
      <c r="Q64" s="69">
        <f>_xlfn.IFNA(IF('Interactive Selection Sheet'!F41= "", VLOOKUP('Interactive Selection Sheet'!$G41, 'Master List Import'!$A$1:$P$519, 15, FALSE), ""), "")</f>
        <v>1</v>
      </c>
      <c r="R64" s="74">
        <f>_xlfn.IFNA(IF('Interactive Selection Sheet'!F41= "", VLOOKUP('Interactive Selection Sheet'!$G41, 'Master List Import'!$A$1:$P$519, 16, FALSE), ""), "")</f>
        <v>2.95</v>
      </c>
    </row>
    <row r="65" spans="1:18" ht="21.75" customHeight="1" x14ac:dyDescent="0.25">
      <c r="A65" s="69">
        <f>_xlfn.IFNA(IF('Interactive Selection Sheet'!F42= "", VLOOKUP('Interactive Selection Sheet'!$G42, 'Master List Import'!$A$1:$P$519, 2, FALSE), ""), "")</f>
        <v>1404</v>
      </c>
      <c r="B65" s="69" t="str">
        <f>_xlfn.IFNA(IF('Interactive Selection Sheet'!F42= "", VLOOKUP('Interactive Selection Sheet'!$G42, 'Master List Import'!$A$1:$P$519, 3, FALSE), ""), "")</f>
        <v>Women's Briefs - Size 09</v>
      </c>
      <c r="C65" s="76">
        <f>IF('Interactive Selection Sheet'!$T$2="", "", IF(B65="","",'Interactive Selection Sheet'!$T$2))</f>
        <v>3.5000000000000003E-2</v>
      </c>
      <c r="D65" s="70">
        <f>IF(B65 = "", "", 'Interactive Selection Sheet'!$Q$2)</f>
        <v>4.4999999999999998E-2</v>
      </c>
      <c r="E65" s="70">
        <f>IF(B65="","", 'Interactive Selection Sheet'!$R$2)</f>
        <v>0.02</v>
      </c>
      <c r="F65" s="69" t="str">
        <f>_xlfn.IFNA(IF('Interactive Selection Sheet'!F42= "", VLOOKUP('Interactive Selection Sheet'!$G42, 'Master List Import'!$A$1:$P$519, 4, FALSE), ""), "")</f>
        <v>Clothing</v>
      </c>
      <c r="G65" s="69" t="str">
        <f>_xlfn.IFNA(IF('Interactive Selection Sheet'!F42= "", VLOOKUP('Interactive Selection Sheet'!$G42, 'Master List Import'!$A$1:$P$519, 5, FALSE), ""), "")</f>
        <v>Clothing</v>
      </c>
      <c r="H65" s="69" t="str">
        <f>_xlfn.IFNA(IF('Interactive Selection Sheet'!F42= "", VLOOKUP('Interactive Selection Sheet'!$G42, 'Master List Import'!$A$1:$P$519, 6, FALSE), ""), "")</f>
        <v>Both</v>
      </c>
      <c r="I65" s="72">
        <f>_xlfn.IFNA(IF('Interactive Selection Sheet'!F42= "", VLOOKUP('Interactive Selection Sheet'!$G42, 'Master List Import'!$A$1:$P$519, 7, FALSE), ""), "")</f>
        <v>0.87</v>
      </c>
      <c r="J65" s="69" t="str">
        <f>_xlfn.IFNA(IF('Interactive Selection Sheet'!F42= "", VLOOKUP('Interactive Selection Sheet'!$G42, 'Master List Import'!$A$1:$P$519, 8, FALSE), ""), "")</f>
        <v>REI</v>
      </c>
      <c r="K65" s="69" t="str">
        <f>_xlfn.IFNA(IF('Interactive Selection Sheet'!F42= "", VLOOKUP('Interactive Selection Sheet'!$G42, 'Master List Import'!$A$1:$P$519, 9, FALSE), ""), "")</f>
        <v>900409</v>
      </c>
      <c r="L65" s="69">
        <f>_xlfn.IFNA(IF('Interactive Selection Sheet'!F42= "", VLOOKUP('Interactive Selection Sheet'!$G42, 'Master List Import'!$A$1:$P$519, 10, FALSE), ""), "")</f>
        <v>0</v>
      </c>
      <c r="M65" s="69">
        <f>_xlfn.IFNA(IF('Interactive Selection Sheet'!F42= "", VLOOKUP('Interactive Selection Sheet'!$G42, 'Master List Import'!$A$1:$P$519, 11, FALSE), ""), "")</f>
        <v>0</v>
      </c>
      <c r="N65" s="69">
        <f>_xlfn.IFNA(IF('Interactive Selection Sheet'!F42= "", VLOOKUP('Interactive Selection Sheet'!$G42, 'Master List Import'!$A$1:$P$519, 12, FALSE), ""), "")</f>
        <v>1</v>
      </c>
      <c r="O65" s="69">
        <f>_xlfn.IFNA(IF('Interactive Selection Sheet'!F42= "", VLOOKUP('Interactive Selection Sheet'!$G42, 'Master List Import'!$A$1:$P$519, 13, FALSE), ""), "")</f>
        <v>1404</v>
      </c>
      <c r="P65" s="69" t="str">
        <f>_xlfn.IFNA(IF('Interactive Selection Sheet'!F42= "", VLOOKUP('Interactive Selection Sheet'!$G42, 'Master List Import'!$A$1:$P$519, 14, FALSE), ""), "")</f>
        <v>White Panties (Sz 09)</v>
      </c>
      <c r="Q65" s="69">
        <f>_xlfn.IFNA(IF('Interactive Selection Sheet'!F42= "", VLOOKUP('Interactive Selection Sheet'!$G42, 'Master List Import'!$A$1:$P$519, 15, FALSE), ""), "")</f>
        <v>1</v>
      </c>
      <c r="R65" s="74">
        <f>_xlfn.IFNA(IF('Interactive Selection Sheet'!F42= "", VLOOKUP('Interactive Selection Sheet'!$G42, 'Master List Import'!$A$1:$P$519, 16, FALSE), ""), "")</f>
        <v>3.05</v>
      </c>
    </row>
    <row r="66" spans="1:18" ht="21.75" customHeight="1" x14ac:dyDescent="0.25">
      <c r="A66" s="69">
        <f>_xlfn.IFNA(IF('Interactive Selection Sheet'!F43= "", VLOOKUP('Interactive Selection Sheet'!$G43, 'Master List Import'!$A$1:$P$519, 2, FALSE), ""), "")</f>
        <v>1405</v>
      </c>
      <c r="B66" s="69" t="str">
        <f>_xlfn.IFNA(IF('Interactive Selection Sheet'!F43= "", VLOOKUP('Interactive Selection Sheet'!$G43, 'Master List Import'!$A$1:$P$519, 3, FALSE), ""), "")</f>
        <v>Women's Briefs - Size 10</v>
      </c>
      <c r="C66" s="76">
        <f>IF('Interactive Selection Sheet'!$T$2="", "", IF(B66="","",'Interactive Selection Sheet'!$T$2))</f>
        <v>3.5000000000000003E-2</v>
      </c>
      <c r="D66" s="70">
        <f>IF(B66 = "", "", 'Interactive Selection Sheet'!$Q$2)</f>
        <v>4.4999999999999998E-2</v>
      </c>
      <c r="E66" s="70">
        <f>IF(B66="","", 'Interactive Selection Sheet'!$R$2)</f>
        <v>0.02</v>
      </c>
      <c r="F66" s="69" t="str">
        <f>_xlfn.IFNA(IF('Interactive Selection Sheet'!F43= "", VLOOKUP('Interactive Selection Sheet'!$G43, 'Master List Import'!$A$1:$P$519, 4, FALSE), ""), "")</f>
        <v>Clothing</v>
      </c>
      <c r="G66" s="69" t="str">
        <f>_xlfn.IFNA(IF('Interactive Selection Sheet'!F43= "", VLOOKUP('Interactive Selection Sheet'!$G43, 'Master List Import'!$A$1:$P$519, 5, FALSE), ""), "")</f>
        <v>Clothing</v>
      </c>
      <c r="H66" s="69" t="str">
        <f>_xlfn.IFNA(IF('Interactive Selection Sheet'!F43= "", VLOOKUP('Interactive Selection Sheet'!$G43, 'Master List Import'!$A$1:$P$519, 6, FALSE), ""), "")</f>
        <v>Both</v>
      </c>
      <c r="I66" s="72">
        <f>_xlfn.IFNA(IF('Interactive Selection Sheet'!F43= "", VLOOKUP('Interactive Selection Sheet'!$G43, 'Master List Import'!$A$1:$P$519, 7, FALSE), ""), "")</f>
        <v>2.4700000000000002</v>
      </c>
      <c r="J66" s="69" t="str">
        <f>_xlfn.IFNA(IF('Interactive Selection Sheet'!F43= "", VLOOKUP('Interactive Selection Sheet'!$G43, 'Master List Import'!$A$1:$P$519, 8, FALSE), ""), "")</f>
        <v>Claiborne Parish</v>
      </c>
      <c r="K66" s="69" t="str">
        <f>_xlfn.IFNA(IF('Interactive Selection Sheet'!F43= "", VLOOKUP('Interactive Selection Sheet'!$G43, 'Master List Import'!$A$1:$P$519, 9, FALSE), ""), "")</f>
        <v>60045</v>
      </c>
      <c r="L66" s="69">
        <f>_xlfn.IFNA(IF('Interactive Selection Sheet'!F43= "", VLOOKUP('Interactive Selection Sheet'!$G43, 'Master List Import'!$A$1:$P$519, 10, FALSE), ""), "")</f>
        <v>0</v>
      </c>
      <c r="M66" s="69">
        <f>_xlfn.IFNA(IF('Interactive Selection Sheet'!F43= "", VLOOKUP('Interactive Selection Sheet'!$G43, 'Master List Import'!$A$1:$P$519, 11, FALSE), ""), "")</f>
        <v>0</v>
      </c>
      <c r="N66" s="69">
        <f>_xlfn.IFNA(IF('Interactive Selection Sheet'!F43= "", VLOOKUP('Interactive Selection Sheet'!$G43, 'Master List Import'!$A$1:$P$519, 12, FALSE), ""), "")</f>
        <v>1</v>
      </c>
      <c r="O66" s="69">
        <f>_xlfn.IFNA(IF('Interactive Selection Sheet'!F43= "", VLOOKUP('Interactive Selection Sheet'!$G43, 'Master List Import'!$A$1:$P$519, 13, FALSE), ""), "")</f>
        <v>1405</v>
      </c>
      <c r="P66" s="69" t="str">
        <f>_xlfn.IFNA(IF('Interactive Selection Sheet'!F43= "", VLOOKUP('Interactive Selection Sheet'!$G43, 'Master List Import'!$A$1:$P$519, 14, FALSE), ""), "")</f>
        <v>White Panties (Sz 10)</v>
      </c>
      <c r="Q66" s="69">
        <f>_xlfn.IFNA(IF('Interactive Selection Sheet'!F43= "", VLOOKUP('Interactive Selection Sheet'!$G43, 'Master List Import'!$A$1:$P$519, 15, FALSE), ""), "")</f>
        <v>1</v>
      </c>
      <c r="R66" s="74">
        <f>_xlfn.IFNA(IF('Interactive Selection Sheet'!F43= "", VLOOKUP('Interactive Selection Sheet'!$G43, 'Master List Import'!$A$1:$P$519, 16, FALSE), ""), "")</f>
        <v>3.3</v>
      </c>
    </row>
    <row r="67" spans="1:18" ht="21.75" customHeight="1" x14ac:dyDescent="0.25">
      <c r="A67" s="69">
        <f>_xlfn.IFNA(IF('Interactive Selection Sheet'!F45= "", VLOOKUP('Interactive Selection Sheet'!$G45, 'Master List Import'!$A$1:$P$519, 2, FALSE), ""), "")</f>
        <v>1407</v>
      </c>
      <c r="B67" s="69" t="str">
        <f>_xlfn.IFNA(IF('Interactive Selection Sheet'!F45= "", VLOOKUP('Interactive Selection Sheet'!$G45, 'Master List Import'!$A$1:$P$519, 3, FALSE), ""), "")</f>
        <v>Women's Briefs - Size 12</v>
      </c>
      <c r="C67" s="76">
        <f>IF('Interactive Selection Sheet'!$T$2="", "", IF(B67="","",'Interactive Selection Sheet'!$T$2))</f>
        <v>3.5000000000000003E-2</v>
      </c>
      <c r="D67" s="70">
        <f>IF(B67 = "", "", 'Interactive Selection Sheet'!$Q$2)</f>
        <v>4.4999999999999998E-2</v>
      </c>
      <c r="E67" s="70">
        <f>IF(B67="","", 'Interactive Selection Sheet'!$R$2)</f>
        <v>0.02</v>
      </c>
      <c r="F67" s="69" t="str">
        <f>_xlfn.IFNA(IF('Interactive Selection Sheet'!F45= "", VLOOKUP('Interactive Selection Sheet'!$G45, 'Master List Import'!$A$1:$P$519, 4, FALSE), ""), "")</f>
        <v>Clothing</v>
      </c>
      <c r="G67" s="69" t="str">
        <f>_xlfn.IFNA(IF('Interactive Selection Sheet'!F45= "", VLOOKUP('Interactive Selection Sheet'!$G45, 'Master List Import'!$A$1:$P$519, 5, FALSE), ""), "")</f>
        <v>Clothing</v>
      </c>
      <c r="H67" s="69" t="str">
        <f>_xlfn.IFNA(IF('Interactive Selection Sheet'!F45= "", VLOOKUP('Interactive Selection Sheet'!$G45, 'Master List Import'!$A$1:$P$519, 6, FALSE), ""), "")</f>
        <v>Both</v>
      </c>
      <c r="I67" s="72">
        <f>_xlfn.IFNA(IF('Interactive Selection Sheet'!F45= "", VLOOKUP('Interactive Selection Sheet'!$G45, 'Master List Import'!$A$1:$P$519, 7, FALSE), ""), "")</f>
        <v>1</v>
      </c>
      <c r="J67" s="69" t="str">
        <f>_xlfn.IFNA(IF('Interactive Selection Sheet'!F45= "", VLOOKUP('Interactive Selection Sheet'!$G45, 'Master List Import'!$A$1:$P$519, 8, FALSE), ""), "")</f>
        <v>REI</v>
      </c>
      <c r="K67" s="69" t="str">
        <f>_xlfn.IFNA(IF('Interactive Selection Sheet'!F45= "", VLOOKUP('Interactive Selection Sheet'!$G45, 'Master List Import'!$A$1:$P$519, 9, FALSE), ""), "")</f>
        <v>900412</v>
      </c>
      <c r="L67" s="69">
        <f>_xlfn.IFNA(IF('Interactive Selection Sheet'!F45= "", VLOOKUP('Interactive Selection Sheet'!$G45, 'Master List Import'!$A$1:$P$519, 10, FALSE), ""), "")</f>
        <v>0</v>
      </c>
      <c r="M67" s="69">
        <f>_xlfn.IFNA(IF('Interactive Selection Sheet'!F45= "", VLOOKUP('Interactive Selection Sheet'!$G45, 'Master List Import'!$A$1:$P$519, 11, FALSE), ""), "")</f>
        <v>0</v>
      </c>
      <c r="N67" s="69">
        <f>_xlfn.IFNA(IF('Interactive Selection Sheet'!F45= "", VLOOKUP('Interactive Selection Sheet'!$G45, 'Master List Import'!$A$1:$P$519, 12, FALSE), ""), "")</f>
        <v>1</v>
      </c>
      <c r="O67" s="69">
        <f>_xlfn.IFNA(IF('Interactive Selection Sheet'!F45= "", VLOOKUP('Interactive Selection Sheet'!$G45, 'Master List Import'!$A$1:$P$519, 13, FALSE), ""), "")</f>
        <v>1407</v>
      </c>
      <c r="P67" s="69" t="str">
        <f>_xlfn.IFNA(IF('Interactive Selection Sheet'!F45= "", VLOOKUP('Interactive Selection Sheet'!$G45, 'Master List Import'!$A$1:$P$519, 14, FALSE), ""), "")</f>
        <v>White Panties (Sz 12)</v>
      </c>
      <c r="Q67" s="69">
        <f>_xlfn.IFNA(IF('Interactive Selection Sheet'!F45= "", VLOOKUP('Interactive Selection Sheet'!$G45, 'Master List Import'!$A$1:$P$519, 15, FALSE), ""), "")</f>
        <v>1</v>
      </c>
      <c r="R67" s="74">
        <f>_xlfn.IFNA(IF('Interactive Selection Sheet'!F45= "", VLOOKUP('Interactive Selection Sheet'!$G45, 'Master List Import'!$A$1:$P$519, 16, FALSE), ""), "")</f>
        <v>3.3</v>
      </c>
    </row>
    <row r="68" spans="1:18" ht="21.75" customHeight="1" x14ac:dyDescent="0.25">
      <c r="A68" s="69">
        <f>_xlfn.IFNA(IF('Interactive Selection Sheet'!F46= "", VLOOKUP('Interactive Selection Sheet'!$G46, 'Master List Import'!$A$1:$P$519, 2, FALSE), ""), "")</f>
        <v>1408</v>
      </c>
      <c r="B68" s="69" t="str">
        <f>_xlfn.IFNA(IF('Interactive Selection Sheet'!F46= "", VLOOKUP('Interactive Selection Sheet'!$G46, 'Master List Import'!$A$1:$P$519, 3, FALSE), ""), "")</f>
        <v>Women's Briefs - Size 13</v>
      </c>
      <c r="C68" s="76">
        <f>IF('Interactive Selection Sheet'!$T$2="", "", IF(B68="","",'Interactive Selection Sheet'!$T$2))</f>
        <v>3.5000000000000003E-2</v>
      </c>
      <c r="D68" s="70">
        <f>IF(B68 = "", "", 'Interactive Selection Sheet'!$Q$2)</f>
        <v>4.4999999999999998E-2</v>
      </c>
      <c r="E68" s="70">
        <f>IF(B68="","", 'Interactive Selection Sheet'!$R$2)</f>
        <v>0.02</v>
      </c>
      <c r="F68" s="69" t="str">
        <f>_xlfn.IFNA(IF('Interactive Selection Sheet'!F46= "", VLOOKUP('Interactive Selection Sheet'!$G46, 'Master List Import'!$A$1:$P$519, 4, FALSE), ""), "")</f>
        <v>Clothing</v>
      </c>
      <c r="G68" s="69" t="str">
        <f>_xlfn.IFNA(IF('Interactive Selection Sheet'!F46= "", VLOOKUP('Interactive Selection Sheet'!$G46, 'Master List Import'!$A$1:$P$519, 5, FALSE), ""), "")</f>
        <v>Clothing</v>
      </c>
      <c r="H68" s="69" t="str">
        <f>_xlfn.IFNA(IF('Interactive Selection Sheet'!F46= "", VLOOKUP('Interactive Selection Sheet'!$G46, 'Master List Import'!$A$1:$P$519, 6, FALSE), ""), "")</f>
        <v>Both</v>
      </c>
      <c r="I68" s="72">
        <f>_xlfn.IFNA(IF('Interactive Selection Sheet'!F46= "", VLOOKUP('Interactive Selection Sheet'!$G46, 'Master List Import'!$A$1:$P$519, 7, FALSE), ""), "")</f>
        <v>1.49</v>
      </c>
      <c r="J68" s="69" t="str">
        <f>_xlfn.IFNA(IF('Interactive Selection Sheet'!F46= "", VLOOKUP('Interactive Selection Sheet'!$G46, 'Master List Import'!$A$1:$P$519, 8, FALSE), ""), "")</f>
        <v>Buyback</v>
      </c>
      <c r="K68" s="69" t="str">
        <f>_xlfn.IFNA(IF('Interactive Selection Sheet'!F46= "", VLOOKUP('Interactive Selection Sheet'!$G46, 'Master List Import'!$A$1:$P$519, 9, FALSE), ""), "")</f>
        <v>60048</v>
      </c>
      <c r="L68" s="69">
        <f>_xlfn.IFNA(IF('Interactive Selection Sheet'!F46= "", VLOOKUP('Interactive Selection Sheet'!$G46, 'Master List Import'!$A$1:$P$519, 10, FALSE), ""), "")</f>
        <v>0</v>
      </c>
      <c r="M68" s="69">
        <f>_xlfn.IFNA(IF('Interactive Selection Sheet'!F46= "", VLOOKUP('Interactive Selection Sheet'!$G46, 'Master List Import'!$A$1:$P$519, 11, FALSE), ""), "")</f>
        <v>0</v>
      </c>
      <c r="N68" s="69">
        <f>_xlfn.IFNA(IF('Interactive Selection Sheet'!F46= "", VLOOKUP('Interactive Selection Sheet'!$G46, 'Master List Import'!$A$1:$P$519, 12, FALSE), ""), "")</f>
        <v>1</v>
      </c>
      <c r="O68" s="69">
        <f>_xlfn.IFNA(IF('Interactive Selection Sheet'!F46= "", VLOOKUP('Interactive Selection Sheet'!$G46, 'Master List Import'!$A$1:$P$519, 13, FALSE), ""), "")</f>
        <v>1408</v>
      </c>
      <c r="P68" s="69" t="str">
        <f>_xlfn.IFNA(IF('Interactive Selection Sheet'!F46= "", VLOOKUP('Interactive Selection Sheet'!$G46, 'Master List Import'!$A$1:$P$519, 14, FALSE), ""), "")</f>
        <v>White Panties (Sz 13)</v>
      </c>
      <c r="Q68" s="69">
        <f>_xlfn.IFNA(IF('Interactive Selection Sheet'!F46= "", VLOOKUP('Interactive Selection Sheet'!$G46, 'Master List Import'!$A$1:$P$519, 15, FALSE), ""), "")</f>
        <v>1</v>
      </c>
      <c r="R68" s="74">
        <f>_xlfn.IFNA(IF('Interactive Selection Sheet'!F46= "", VLOOKUP('Interactive Selection Sheet'!$G46, 'Master List Import'!$A$1:$P$519, 16, FALSE), ""), "")</f>
        <v>4.5</v>
      </c>
    </row>
    <row r="69" spans="1:18" ht="21.75" customHeight="1" x14ac:dyDescent="0.25">
      <c r="A69" s="69">
        <f>_xlfn.IFNA(IF('Interactive Selection Sheet'!F47= "", VLOOKUP('Interactive Selection Sheet'!$G47, 'Master List Import'!$A$1:$P$519, 2, FALSE), ""), "")</f>
        <v>1409</v>
      </c>
      <c r="B69" s="69" t="str">
        <f>_xlfn.IFNA(IF('Interactive Selection Sheet'!F47= "", VLOOKUP('Interactive Selection Sheet'!$G47, 'Master List Import'!$A$1:$P$519, 3, FALSE), ""), "")</f>
        <v>Women's Briefs - Size 14</v>
      </c>
      <c r="C69" s="76">
        <f>IF('Interactive Selection Sheet'!$T$2="", "", IF(B69="","",'Interactive Selection Sheet'!$T$2))</f>
        <v>3.5000000000000003E-2</v>
      </c>
      <c r="D69" s="70">
        <f>IF(B69 = "", "", 'Interactive Selection Sheet'!$Q$2)</f>
        <v>4.4999999999999998E-2</v>
      </c>
      <c r="E69" s="70">
        <f>IF(B69="","", 'Interactive Selection Sheet'!$R$2)</f>
        <v>0.02</v>
      </c>
      <c r="F69" s="69" t="str">
        <f>_xlfn.IFNA(IF('Interactive Selection Sheet'!F47= "", VLOOKUP('Interactive Selection Sheet'!$G47, 'Master List Import'!$A$1:$P$519, 4, FALSE), ""), "")</f>
        <v>Clothing</v>
      </c>
      <c r="G69" s="69" t="str">
        <f>_xlfn.IFNA(IF('Interactive Selection Sheet'!F47= "", VLOOKUP('Interactive Selection Sheet'!$G47, 'Master List Import'!$A$1:$P$519, 5, FALSE), ""), "")</f>
        <v>Clothing</v>
      </c>
      <c r="H69" s="69" t="str">
        <f>_xlfn.IFNA(IF('Interactive Selection Sheet'!F47= "", VLOOKUP('Interactive Selection Sheet'!$G47, 'Master List Import'!$A$1:$P$519, 6, FALSE), ""), "")</f>
        <v>Both</v>
      </c>
      <c r="I69" s="72">
        <f>_xlfn.IFNA(IF('Interactive Selection Sheet'!F47= "", VLOOKUP('Interactive Selection Sheet'!$G47, 'Master List Import'!$A$1:$P$519, 7, FALSE), ""), "")</f>
        <v>3.98</v>
      </c>
      <c r="J69" s="69" t="str">
        <f>_xlfn.IFNA(IF('Interactive Selection Sheet'!F47= "", VLOOKUP('Interactive Selection Sheet'!$G47, 'Master List Import'!$A$1:$P$519, 8, FALSE), ""), "")</f>
        <v>Claiborne Parish</v>
      </c>
      <c r="K69" s="69" t="str">
        <f>_xlfn.IFNA(IF('Interactive Selection Sheet'!F47= "", VLOOKUP('Interactive Selection Sheet'!$G47, 'Master List Import'!$A$1:$P$519, 9, FALSE), ""), "")</f>
        <v>60049</v>
      </c>
      <c r="L69" s="69">
        <f>_xlfn.IFNA(IF('Interactive Selection Sheet'!F47= "", VLOOKUP('Interactive Selection Sheet'!$G47, 'Master List Import'!$A$1:$P$519, 10, FALSE), ""), "")</f>
        <v>0</v>
      </c>
      <c r="M69" s="69">
        <f>_xlfn.IFNA(IF('Interactive Selection Sheet'!F47= "", VLOOKUP('Interactive Selection Sheet'!$G47, 'Master List Import'!$A$1:$P$519, 11, FALSE), ""), "")</f>
        <v>0</v>
      </c>
      <c r="N69" s="69">
        <f>_xlfn.IFNA(IF('Interactive Selection Sheet'!F47= "", VLOOKUP('Interactive Selection Sheet'!$G47, 'Master List Import'!$A$1:$P$519, 12, FALSE), ""), "")</f>
        <v>1</v>
      </c>
      <c r="O69" s="69">
        <f>_xlfn.IFNA(IF('Interactive Selection Sheet'!F47= "", VLOOKUP('Interactive Selection Sheet'!$G47, 'Master List Import'!$A$1:$P$519, 13, FALSE), ""), "")</f>
        <v>1409</v>
      </c>
      <c r="P69" s="69" t="str">
        <f>_xlfn.IFNA(IF('Interactive Selection Sheet'!F47= "", VLOOKUP('Interactive Selection Sheet'!$G47, 'Master List Import'!$A$1:$P$519, 14, FALSE), ""), "")</f>
        <v>White Panties (Sz 14)</v>
      </c>
      <c r="Q69" s="69">
        <f>_xlfn.IFNA(IF('Interactive Selection Sheet'!F47= "", VLOOKUP('Interactive Selection Sheet'!$G47, 'Master List Import'!$A$1:$P$519, 15, FALSE), ""), "")</f>
        <v>1</v>
      </c>
      <c r="R69" s="74">
        <f>_xlfn.IFNA(IF('Interactive Selection Sheet'!F47= "", VLOOKUP('Interactive Selection Sheet'!$G47, 'Master List Import'!$A$1:$P$519, 16, FALSE), ""), "")</f>
        <v>5.5</v>
      </c>
    </row>
    <row r="70" spans="1:18" ht="21.75" customHeight="1" x14ac:dyDescent="0.25">
      <c r="A70" s="69">
        <f>_xlfn.IFNA(IF('Interactive Selection Sheet'!F48= "", VLOOKUP('Interactive Selection Sheet'!$G48, 'Master List Import'!$A$1:$P$519, 2, FALSE), ""), "")</f>
        <v>1500</v>
      </c>
      <c r="B70" s="69" t="str">
        <f>_xlfn.IFNA(IF('Interactive Selection Sheet'!F48= "", VLOOKUP('Interactive Selection Sheet'!$G48, 'Master List Import'!$A$1:$P$519, 3, FALSE), ""), "")</f>
        <v>Sports Bra - Size 32</v>
      </c>
      <c r="C70" s="76">
        <f>IF('Interactive Selection Sheet'!$T$2="", "", IF(B70="","",'Interactive Selection Sheet'!$T$2))</f>
        <v>3.5000000000000003E-2</v>
      </c>
      <c r="D70" s="70">
        <f>IF(B70 = "", "", 'Interactive Selection Sheet'!$Q$2)</f>
        <v>4.4999999999999998E-2</v>
      </c>
      <c r="E70" s="70">
        <f>IF(B70="","", 'Interactive Selection Sheet'!$R$2)</f>
        <v>0.02</v>
      </c>
      <c r="F70" s="69" t="str">
        <f>_xlfn.IFNA(IF('Interactive Selection Sheet'!F48= "", VLOOKUP('Interactive Selection Sheet'!$G48, 'Master List Import'!$A$1:$P$519, 4, FALSE), ""), "")</f>
        <v>Clothing</v>
      </c>
      <c r="G70" s="69" t="str">
        <f>_xlfn.IFNA(IF('Interactive Selection Sheet'!F48= "", VLOOKUP('Interactive Selection Sheet'!$G48, 'Master List Import'!$A$1:$P$519, 5, FALSE), ""), "")</f>
        <v>Clothing</v>
      </c>
      <c r="H70" s="69" t="str">
        <f>_xlfn.IFNA(IF('Interactive Selection Sheet'!F48= "", VLOOKUP('Interactive Selection Sheet'!$G48, 'Master List Import'!$A$1:$P$519, 6, FALSE), ""), "")</f>
        <v>Both</v>
      </c>
      <c r="I70" s="72">
        <f>_xlfn.IFNA(IF('Interactive Selection Sheet'!F48= "", VLOOKUP('Interactive Selection Sheet'!$G48, 'Master List Import'!$A$1:$P$519, 7, FALSE), ""), "")</f>
        <v>2.25</v>
      </c>
      <c r="J70" s="69" t="str">
        <f>_xlfn.IFNA(IF('Interactive Selection Sheet'!F48= "", VLOOKUP('Interactive Selection Sheet'!$G48, 'Master List Import'!$A$1:$P$519, 8, FALSE), ""), "")</f>
        <v>REI</v>
      </c>
      <c r="K70" s="69" t="str">
        <f>_xlfn.IFNA(IF('Interactive Selection Sheet'!F48= "", VLOOKUP('Interactive Selection Sheet'!$G48, 'Master List Import'!$A$1:$P$519, 9, FALSE), ""), "")</f>
        <v>900532</v>
      </c>
      <c r="L70" s="69">
        <f>_xlfn.IFNA(IF('Interactive Selection Sheet'!F48= "", VLOOKUP('Interactive Selection Sheet'!$G48, 'Master List Import'!$A$1:$P$519, 10, FALSE), ""), "")</f>
        <v>0</v>
      </c>
      <c r="M70" s="69">
        <f>_xlfn.IFNA(IF('Interactive Selection Sheet'!F48= "", VLOOKUP('Interactive Selection Sheet'!$G48, 'Master List Import'!$A$1:$P$519, 11, FALSE), ""), "")</f>
        <v>0</v>
      </c>
      <c r="N70" s="69">
        <f>_xlfn.IFNA(IF('Interactive Selection Sheet'!F48= "", VLOOKUP('Interactive Selection Sheet'!$G48, 'Master List Import'!$A$1:$P$519, 12, FALSE), ""), "")</f>
        <v>1</v>
      </c>
      <c r="O70" s="69">
        <f>_xlfn.IFNA(IF('Interactive Selection Sheet'!F48= "", VLOOKUP('Interactive Selection Sheet'!$G48, 'Master List Import'!$A$1:$P$519, 13, FALSE), ""), "")</f>
        <v>1500</v>
      </c>
      <c r="P70" s="69" t="str">
        <f>_xlfn.IFNA(IF('Interactive Selection Sheet'!F48= "", VLOOKUP('Interactive Selection Sheet'!$G48, 'Master List Import'!$A$1:$P$519, 14, FALSE), ""), "")</f>
        <v>White Sports Bra (32)</v>
      </c>
      <c r="Q70" s="69">
        <f>_xlfn.IFNA(IF('Interactive Selection Sheet'!F48= "", VLOOKUP('Interactive Selection Sheet'!$G48, 'Master List Import'!$A$1:$P$519, 15, FALSE), ""), "")</f>
        <v>1</v>
      </c>
      <c r="R70" s="74">
        <f>_xlfn.IFNA(IF('Interactive Selection Sheet'!F48= "", VLOOKUP('Interactive Selection Sheet'!$G48, 'Master List Import'!$A$1:$P$519, 16, FALSE), ""), "")</f>
        <v>8.3000000000000007</v>
      </c>
    </row>
    <row r="71" spans="1:18" ht="21.75" customHeight="1" x14ac:dyDescent="0.25">
      <c r="A71" s="69">
        <f>_xlfn.IFNA(IF('Interactive Selection Sheet'!F49= "", VLOOKUP('Interactive Selection Sheet'!$G49, 'Master List Import'!$A$1:$P$519, 2, FALSE), ""), "")</f>
        <v>1501</v>
      </c>
      <c r="B71" s="69" t="str">
        <f>_xlfn.IFNA(IF('Interactive Selection Sheet'!F49= "", VLOOKUP('Interactive Selection Sheet'!$G49, 'Master List Import'!$A$1:$P$519, 3, FALSE), ""), "")</f>
        <v>Sports Bra - Size 34</v>
      </c>
      <c r="C71" s="76">
        <f>IF('Interactive Selection Sheet'!$T$2="", "", IF(B71="","",'Interactive Selection Sheet'!$T$2))</f>
        <v>3.5000000000000003E-2</v>
      </c>
      <c r="D71" s="70">
        <f>IF(B71 = "", "", 'Interactive Selection Sheet'!$Q$2)</f>
        <v>4.4999999999999998E-2</v>
      </c>
      <c r="E71" s="70">
        <f>IF(B71="","", 'Interactive Selection Sheet'!$R$2)</f>
        <v>0.02</v>
      </c>
      <c r="F71" s="69" t="str">
        <f>_xlfn.IFNA(IF('Interactive Selection Sheet'!F49= "", VLOOKUP('Interactive Selection Sheet'!$G49, 'Master List Import'!$A$1:$P$519, 4, FALSE), ""), "")</f>
        <v>Clothing</v>
      </c>
      <c r="G71" s="69" t="str">
        <f>_xlfn.IFNA(IF('Interactive Selection Sheet'!F49= "", VLOOKUP('Interactive Selection Sheet'!$G49, 'Master List Import'!$A$1:$P$519, 5, FALSE), ""), "")</f>
        <v>Clothing</v>
      </c>
      <c r="H71" s="69" t="str">
        <f>_xlfn.IFNA(IF('Interactive Selection Sheet'!F49= "", VLOOKUP('Interactive Selection Sheet'!$G49, 'Master List Import'!$A$1:$P$519, 6, FALSE), ""), "")</f>
        <v>Both</v>
      </c>
      <c r="I71" s="72">
        <f>_xlfn.IFNA(IF('Interactive Selection Sheet'!F49= "", VLOOKUP('Interactive Selection Sheet'!$G49, 'Master List Import'!$A$1:$P$519, 7, FALSE), ""), "")</f>
        <v>2.25</v>
      </c>
      <c r="J71" s="69" t="str">
        <f>_xlfn.IFNA(IF('Interactive Selection Sheet'!F49= "", VLOOKUP('Interactive Selection Sheet'!$G49, 'Master List Import'!$A$1:$P$519, 8, FALSE), ""), "")</f>
        <v>REI</v>
      </c>
      <c r="K71" s="69" t="str">
        <f>_xlfn.IFNA(IF('Interactive Selection Sheet'!F49= "", VLOOKUP('Interactive Selection Sheet'!$G49, 'Master List Import'!$A$1:$P$519, 9, FALSE), ""), "")</f>
        <v>900534</v>
      </c>
      <c r="L71" s="69">
        <f>_xlfn.IFNA(IF('Interactive Selection Sheet'!F49= "", VLOOKUP('Interactive Selection Sheet'!$G49, 'Master List Import'!$A$1:$P$519, 10, FALSE), ""), "")</f>
        <v>0</v>
      </c>
      <c r="M71" s="69">
        <f>_xlfn.IFNA(IF('Interactive Selection Sheet'!F49= "", VLOOKUP('Interactive Selection Sheet'!$G49, 'Master List Import'!$A$1:$P$519, 11, FALSE), ""), "")</f>
        <v>0</v>
      </c>
      <c r="N71" s="69">
        <f>_xlfn.IFNA(IF('Interactive Selection Sheet'!F49= "", VLOOKUP('Interactive Selection Sheet'!$G49, 'Master List Import'!$A$1:$P$519, 12, FALSE), ""), "")</f>
        <v>1</v>
      </c>
      <c r="O71" s="69">
        <f>_xlfn.IFNA(IF('Interactive Selection Sheet'!F49= "", VLOOKUP('Interactive Selection Sheet'!$G49, 'Master List Import'!$A$1:$P$519, 13, FALSE), ""), "")</f>
        <v>1501</v>
      </c>
      <c r="P71" s="69" t="str">
        <f>_xlfn.IFNA(IF('Interactive Selection Sheet'!F49= "", VLOOKUP('Interactive Selection Sheet'!$G49, 'Master List Import'!$A$1:$P$519, 14, FALSE), ""), "")</f>
        <v>White Sports Bra (34)</v>
      </c>
      <c r="Q71" s="69">
        <f>_xlfn.IFNA(IF('Interactive Selection Sheet'!F49= "", VLOOKUP('Interactive Selection Sheet'!$G49, 'Master List Import'!$A$1:$P$519, 15, FALSE), ""), "")</f>
        <v>1</v>
      </c>
      <c r="R71" s="74">
        <f>_xlfn.IFNA(IF('Interactive Selection Sheet'!F49= "", VLOOKUP('Interactive Selection Sheet'!$G49, 'Master List Import'!$A$1:$P$519, 16, FALSE), ""), "")</f>
        <v>8.3000000000000007</v>
      </c>
    </row>
    <row r="72" spans="1:18" ht="21.75" customHeight="1" x14ac:dyDescent="0.25">
      <c r="A72" s="69">
        <f>_xlfn.IFNA(IF('Interactive Selection Sheet'!F50= "", VLOOKUP('Interactive Selection Sheet'!$G50, 'Master List Import'!$A$1:$P$519, 2, FALSE), ""), "")</f>
        <v>1502</v>
      </c>
      <c r="B72" s="69" t="str">
        <f>_xlfn.IFNA(IF('Interactive Selection Sheet'!F50= "", VLOOKUP('Interactive Selection Sheet'!$G50, 'Master List Import'!$A$1:$P$519, 3, FALSE), ""), "")</f>
        <v>Sports Bra - Size 36</v>
      </c>
      <c r="C72" s="76">
        <f>IF('Interactive Selection Sheet'!$T$2="", "", IF(B72="","",'Interactive Selection Sheet'!$T$2))</f>
        <v>3.5000000000000003E-2</v>
      </c>
      <c r="D72" s="70">
        <f>IF(B72 = "", "", 'Interactive Selection Sheet'!$Q$2)</f>
        <v>4.4999999999999998E-2</v>
      </c>
      <c r="E72" s="70">
        <f>IF(B72="","", 'Interactive Selection Sheet'!$R$2)</f>
        <v>0.02</v>
      </c>
      <c r="F72" s="69" t="str">
        <f>_xlfn.IFNA(IF('Interactive Selection Sheet'!F50= "", VLOOKUP('Interactive Selection Sheet'!$G50, 'Master List Import'!$A$1:$P$519, 4, FALSE), ""), "")</f>
        <v>Clothing</v>
      </c>
      <c r="G72" s="69" t="str">
        <f>_xlfn.IFNA(IF('Interactive Selection Sheet'!F50= "", VLOOKUP('Interactive Selection Sheet'!$G50, 'Master List Import'!$A$1:$P$519, 5, FALSE), ""), "")</f>
        <v>Clothing</v>
      </c>
      <c r="H72" s="69" t="str">
        <f>_xlfn.IFNA(IF('Interactive Selection Sheet'!F50= "", VLOOKUP('Interactive Selection Sheet'!$G50, 'Master List Import'!$A$1:$P$519, 6, FALSE), ""), "")</f>
        <v>Both</v>
      </c>
      <c r="I72" s="72">
        <f>_xlfn.IFNA(IF('Interactive Selection Sheet'!F50= "", VLOOKUP('Interactive Selection Sheet'!$G50, 'Master List Import'!$A$1:$P$519, 7, FALSE), ""), "")</f>
        <v>2.25</v>
      </c>
      <c r="J72" s="69" t="str">
        <f>_xlfn.IFNA(IF('Interactive Selection Sheet'!F50= "", VLOOKUP('Interactive Selection Sheet'!$G50, 'Master List Import'!$A$1:$P$519, 8, FALSE), ""), "")</f>
        <v>REI</v>
      </c>
      <c r="K72" s="69" t="str">
        <f>_xlfn.IFNA(IF('Interactive Selection Sheet'!F50= "", VLOOKUP('Interactive Selection Sheet'!$G50, 'Master List Import'!$A$1:$P$519, 9, FALSE), ""), "")</f>
        <v>900536</v>
      </c>
      <c r="L72" s="69">
        <f>_xlfn.IFNA(IF('Interactive Selection Sheet'!F50= "", VLOOKUP('Interactive Selection Sheet'!$G50, 'Master List Import'!$A$1:$P$519, 10, FALSE), ""), "")</f>
        <v>0</v>
      </c>
      <c r="M72" s="69">
        <f>_xlfn.IFNA(IF('Interactive Selection Sheet'!F50= "", VLOOKUP('Interactive Selection Sheet'!$G50, 'Master List Import'!$A$1:$P$519, 11, FALSE), ""), "")</f>
        <v>0</v>
      </c>
      <c r="N72" s="69">
        <f>_xlfn.IFNA(IF('Interactive Selection Sheet'!F50= "", VLOOKUP('Interactive Selection Sheet'!$G50, 'Master List Import'!$A$1:$P$519, 12, FALSE), ""), "")</f>
        <v>1</v>
      </c>
      <c r="O72" s="69">
        <f>_xlfn.IFNA(IF('Interactive Selection Sheet'!F50= "", VLOOKUP('Interactive Selection Sheet'!$G50, 'Master List Import'!$A$1:$P$519, 13, FALSE), ""), "")</f>
        <v>1502</v>
      </c>
      <c r="P72" s="69" t="str">
        <f>_xlfn.IFNA(IF('Interactive Selection Sheet'!F50= "", VLOOKUP('Interactive Selection Sheet'!$G50, 'Master List Import'!$A$1:$P$519, 14, FALSE), ""), "")</f>
        <v>White Sports Bra (36)</v>
      </c>
      <c r="Q72" s="69">
        <f>_xlfn.IFNA(IF('Interactive Selection Sheet'!F50= "", VLOOKUP('Interactive Selection Sheet'!$G50, 'Master List Import'!$A$1:$P$519, 15, FALSE), ""), "")</f>
        <v>1</v>
      </c>
      <c r="R72" s="74">
        <f>_xlfn.IFNA(IF('Interactive Selection Sheet'!F50= "", VLOOKUP('Interactive Selection Sheet'!$G50, 'Master List Import'!$A$1:$P$519, 16, FALSE), ""), "")</f>
        <v>8.3000000000000007</v>
      </c>
    </row>
    <row r="73" spans="1:18" ht="21.75" customHeight="1" x14ac:dyDescent="0.25">
      <c r="A73" s="69">
        <f>_xlfn.IFNA(IF('Interactive Selection Sheet'!F51= "", VLOOKUP('Interactive Selection Sheet'!$G51, 'Master List Import'!$A$1:$P$519, 2, FALSE), ""), "")</f>
        <v>1503</v>
      </c>
      <c r="B73" s="69" t="str">
        <f>_xlfn.IFNA(IF('Interactive Selection Sheet'!F51= "", VLOOKUP('Interactive Selection Sheet'!$G51, 'Master List Import'!$A$1:$P$519, 3, FALSE), ""), "")</f>
        <v>Sports Bra - Size 38</v>
      </c>
      <c r="C73" s="76">
        <f>IF('Interactive Selection Sheet'!$T$2="", "", IF(B73="","",'Interactive Selection Sheet'!$T$2))</f>
        <v>3.5000000000000003E-2</v>
      </c>
      <c r="D73" s="70">
        <f>IF(B73 = "", "", 'Interactive Selection Sheet'!$Q$2)</f>
        <v>4.4999999999999998E-2</v>
      </c>
      <c r="E73" s="70">
        <f>IF(B73="","", 'Interactive Selection Sheet'!$R$2)</f>
        <v>0.02</v>
      </c>
      <c r="F73" s="69" t="str">
        <f>_xlfn.IFNA(IF('Interactive Selection Sheet'!F51= "", VLOOKUP('Interactive Selection Sheet'!$G51, 'Master List Import'!$A$1:$P$519, 4, FALSE), ""), "")</f>
        <v>Clothing</v>
      </c>
      <c r="G73" s="69" t="str">
        <f>_xlfn.IFNA(IF('Interactive Selection Sheet'!F51= "", VLOOKUP('Interactive Selection Sheet'!$G51, 'Master List Import'!$A$1:$P$519, 5, FALSE), ""), "")</f>
        <v>Clothing</v>
      </c>
      <c r="H73" s="69" t="str">
        <f>_xlfn.IFNA(IF('Interactive Selection Sheet'!F51= "", VLOOKUP('Interactive Selection Sheet'!$G51, 'Master List Import'!$A$1:$P$519, 6, FALSE), ""), "")</f>
        <v>Both</v>
      </c>
      <c r="I73" s="72">
        <f>_xlfn.IFNA(IF('Interactive Selection Sheet'!F51= "", VLOOKUP('Interactive Selection Sheet'!$G51, 'Master List Import'!$A$1:$P$519, 7, FALSE), ""), "")</f>
        <v>2.25</v>
      </c>
      <c r="J73" s="69" t="str">
        <f>_xlfn.IFNA(IF('Interactive Selection Sheet'!F51= "", VLOOKUP('Interactive Selection Sheet'!$G51, 'Master List Import'!$A$1:$P$519, 8, FALSE), ""), "")</f>
        <v>REI</v>
      </c>
      <c r="K73" s="69" t="str">
        <f>_xlfn.IFNA(IF('Interactive Selection Sheet'!F51= "", VLOOKUP('Interactive Selection Sheet'!$G51, 'Master List Import'!$A$1:$P$519, 9, FALSE), ""), "")</f>
        <v>900538</v>
      </c>
      <c r="L73" s="69">
        <f>_xlfn.IFNA(IF('Interactive Selection Sheet'!F51= "", VLOOKUP('Interactive Selection Sheet'!$G51, 'Master List Import'!$A$1:$P$519, 10, FALSE), ""), "")</f>
        <v>0</v>
      </c>
      <c r="M73" s="69">
        <f>_xlfn.IFNA(IF('Interactive Selection Sheet'!F51= "", VLOOKUP('Interactive Selection Sheet'!$G51, 'Master List Import'!$A$1:$P$519, 11, FALSE), ""), "")</f>
        <v>0</v>
      </c>
      <c r="N73" s="69">
        <f>_xlfn.IFNA(IF('Interactive Selection Sheet'!F51= "", VLOOKUP('Interactive Selection Sheet'!$G51, 'Master List Import'!$A$1:$P$519, 12, FALSE), ""), "")</f>
        <v>1</v>
      </c>
      <c r="O73" s="69">
        <f>_xlfn.IFNA(IF('Interactive Selection Sheet'!F51= "", VLOOKUP('Interactive Selection Sheet'!$G51, 'Master List Import'!$A$1:$P$519, 13, FALSE), ""), "")</f>
        <v>1503</v>
      </c>
      <c r="P73" s="69" t="str">
        <f>_xlfn.IFNA(IF('Interactive Selection Sheet'!F51= "", VLOOKUP('Interactive Selection Sheet'!$G51, 'Master List Import'!$A$1:$P$519, 14, FALSE), ""), "")</f>
        <v>White Sports Bra (38)</v>
      </c>
      <c r="Q73" s="69">
        <f>_xlfn.IFNA(IF('Interactive Selection Sheet'!F51= "", VLOOKUP('Interactive Selection Sheet'!$G51, 'Master List Import'!$A$1:$P$519, 15, FALSE), ""), "")</f>
        <v>1</v>
      </c>
      <c r="R73" s="74">
        <f>_xlfn.IFNA(IF('Interactive Selection Sheet'!F51= "", VLOOKUP('Interactive Selection Sheet'!$G51, 'Master List Import'!$A$1:$P$519, 16, FALSE), ""), "")</f>
        <v>8.3000000000000007</v>
      </c>
    </row>
    <row r="74" spans="1:18" ht="21.75" customHeight="1" x14ac:dyDescent="0.25">
      <c r="A74" s="69">
        <f>_xlfn.IFNA(IF('Interactive Selection Sheet'!F52= "", VLOOKUP('Interactive Selection Sheet'!$G52, 'Master List Import'!$A$1:$P$519, 2, FALSE), ""), "")</f>
        <v>1504</v>
      </c>
      <c r="B74" s="69" t="str">
        <f>_xlfn.IFNA(IF('Interactive Selection Sheet'!F52= "", VLOOKUP('Interactive Selection Sheet'!$G52, 'Master List Import'!$A$1:$P$519, 3, FALSE), ""), "")</f>
        <v>Sports Bra - Size 40/42</v>
      </c>
      <c r="C74" s="76">
        <f>IF('Interactive Selection Sheet'!$T$2="", "", IF(B74="","",'Interactive Selection Sheet'!$T$2))</f>
        <v>3.5000000000000003E-2</v>
      </c>
      <c r="D74" s="70">
        <f>IF(B74 = "", "", 'Interactive Selection Sheet'!$Q$2)</f>
        <v>4.4999999999999998E-2</v>
      </c>
      <c r="E74" s="70">
        <f>IF(B74="","", 'Interactive Selection Sheet'!$R$2)</f>
        <v>0.02</v>
      </c>
      <c r="F74" s="69" t="str">
        <f>_xlfn.IFNA(IF('Interactive Selection Sheet'!F52= "", VLOOKUP('Interactive Selection Sheet'!$G52, 'Master List Import'!$A$1:$P$519, 4, FALSE), ""), "")</f>
        <v>Clothing</v>
      </c>
      <c r="G74" s="69" t="str">
        <f>_xlfn.IFNA(IF('Interactive Selection Sheet'!F52= "", VLOOKUP('Interactive Selection Sheet'!$G52, 'Master List Import'!$A$1:$P$519, 5, FALSE), ""), "")</f>
        <v>Clothing</v>
      </c>
      <c r="H74" s="69" t="str">
        <f>_xlfn.IFNA(IF('Interactive Selection Sheet'!F52= "", VLOOKUP('Interactive Selection Sheet'!$G52, 'Master List Import'!$A$1:$P$519, 6, FALSE), ""), "")</f>
        <v>Both</v>
      </c>
      <c r="I74" s="72">
        <f>_xlfn.IFNA(IF('Interactive Selection Sheet'!F52= "", VLOOKUP('Interactive Selection Sheet'!$G52, 'Master List Import'!$A$1:$P$519, 7, FALSE), ""), "")</f>
        <v>2.25</v>
      </c>
      <c r="J74" s="69" t="str">
        <f>_xlfn.IFNA(IF('Interactive Selection Sheet'!F52= "", VLOOKUP('Interactive Selection Sheet'!$G52, 'Master List Import'!$A$1:$P$519, 8, FALSE), ""), "")</f>
        <v>REI</v>
      </c>
      <c r="K74" s="69" t="str">
        <f>_xlfn.IFNA(IF('Interactive Selection Sheet'!F52= "", VLOOKUP('Interactive Selection Sheet'!$G52, 'Master List Import'!$A$1:$P$519, 9, FALSE), ""), "")</f>
        <v>900540</v>
      </c>
      <c r="L74" s="69">
        <f>_xlfn.IFNA(IF('Interactive Selection Sheet'!F52= "", VLOOKUP('Interactive Selection Sheet'!$G52, 'Master List Import'!$A$1:$P$519, 10, FALSE), ""), "")</f>
        <v>0</v>
      </c>
      <c r="M74" s="69">
        <f>_xlfn.IFNA(IF('Interactive Selection Sheet'!F52= "", VLOOKUP('Interactive Selection Sheet'!$G52, 'Master List Import'!$A$1:$P$519, 11, FALSE), ""), "")</f>
        <v>0</v>
      </c>
      <c r="N74" s="69">
        <f>_xlfn.IFNA(IF('Interactive Selection Sheet'!F52= "", VLOOKUP('Interactive Selection Sheet'!$G52, 'Master List Import'!$A$1:$P$519, 12, FALSE), ""), "")</f>
        <v>1</v>
      </c>
      <c r="O74" s="69">
        <f>_xlfn.IFNA(IF('Interactive Selection Sheet'!F52= "", VLOOKUP('Interactive Selection Sheet'!$G52, 'Master List Import'!$A$1:$P$519, 13, FALSE), ""), "")</f>
        <v>1504</v>
      </c>
      <c r="P74" s="69" t="str">
        <f>_xlfn.IFNA(IF('Interactive Selection Sheet'!F52= "", VLOOKUP('Interactive Selection Sheet'!$G52, 'Master List Import'!$A$1:$P$519, 14, FALSE), ""), "")</f>
        <v>White Sports Bra (40-42)</v>
      </c>
      <c r="Q74" s="69">
        <f>_xlfn.IFNA(IF('Interactive Selection Sheet'!F52= "", VLOOKUP('Interactive Selection Sheet'!$G52, 'Master List Import'!$A$1:$P$519, 15, FALSE), ""), "")</f>
        <v>1</v>
      </c>
      <c r="R74" s="74">
        <f>_xlfn.IFNA(IF('Interactive Selection Sheet'!F52= "", VLOOKUP('Interactive Selection Sheet'!$G52, 'Master List Import'!$A$1:$P$519, 16, FALSE), ""), "")</f>
        <v>9.4</v>
      </c>
    </row>
    <row r="75" spans="1:18" ht="21.75" customHeight="1" x14ac:dyDescent="0.25">
      <c r="A75" s="69">
        <f>_xlfn.IFNA(IF('Interactive Selection Sheet'!F53= "", VLOOKUP('Interactive Selection Sheet'!$G53, 'Master List Import'!$A$1:$P$519, 2, FALSE), ""), "")</f>
        <v>1506</v>
      </c>
      <c r="B75" s="69" t="str">
        <f>_xlfn.IFNA(IF('Interactive Selection Sheet'!F53= "", VLOOKUP('Interactive Selection Sheet'!$G53, 'Master List Import'!$A$1:$P$519, 3, FALSE), ""), "")</f>
        <v>Sports Bra - Size 44/46</v>
      </c>
      <c r="C75" s="76">
        <f>IF('Interactive Selection Sheet'!$T$2="", "", IF(B75="","",'Interactive Selection Sheet'!$T$2))</f>
        <v>3.5000000000000003E-2</v>
      </c>
      <c r="D75" s="70">
        <f>IF(B75 = "", "", 'Interactive Selection Sheet'!$Q$2)</f>
        <v>4.4999999999999998E-2</v>
      </c>
      <c r="E75" s="70">
        <f>IF(B75="","", 'Interactive Selection Sheet'!$R$2)</f>
        <v>0.02</v>
      </c>
      <c r="F75" s="69" t="str">
        <f>_xlfn.IFNA(IF('Interactive Selection Sheet'!F53= "", VLOOKUP('Interactive Selection Sheet'!$G53, 'Master List Import'!$A$1:$P$519, 4, FALSE), ""), "")</f>
        <v>Clothing</v>
      </c>
      <c r="G75" s="69" t="str">
        <f>_xlfn.IFNA(IF('Interactive Selection Sheet'!F53= "", VLOOKUP('Interactive Selection Sheet'!$G53, 'Master List Import'!$A$1:$P$519, 5, FALSE), ""), "")</f>
        <v>Clothing</v>
      </c>
      <c r="H75" s="69" t="str">
        <f>_xlfn.IFNA(IF('Interactive Selection Sheet'!F53= "", VLOOKUP('Interactive Selection Sheet'!$G53, 'Master List Import'!$A$1:$P$519, 6, FALSE), ""), "")</f>
        <v>Both</v>
      </c>
      <c r="I75" s="72">
        <f>_xlfn.IFNA(IF('Interactive Selection Sheet'!F53= "", VLOOKUP('Interactive Selection Sheet'!$G53, 'Master List Import'!$A$1:$P$519, 7, FALSE), ""), "")</f>
        <v>2.5499999999999998</v>
      </c>
      <c r="J75" s="69" t="str">
        <f>_xlfn.IFNA(IF('Interactive Selection Sheet'!F53= "", VLOOKUP('Interactive Selection Sheet'!$G53, 'Master List Import'!$A$1:$P$519, 8, FALSE), ""), "")</f>
        <v>REI</v>
      </c>
      <c r="K75" s="69" t="str">
        <f>_xlfn.IFNA(IF('Interactive Selection Sheet'!F53= "", VLOOKUP('Interactive Selection Sheet'!$G53, 'Master List Import'!$A$1:$P$519, 9, FALSE), ""), "")</f>
        <v>900544</v>
      </c>
      <c r="L75" s="69">
        <f>_xlfn.IFNA(IF('Interactive Selection Sheet'!F53= "", VLOOKUP('Interactive Selection Sheet'!$G53, 'Master List Import'!$A$1:$P$519, 10, FALSE), ""), "")</f>
        <v>0</v>
      </c>
      <c r="M75" s="69">
        <f>_xlfn.IFNA(IF('Interactive Selection Sheet'!F53= "", VLOOKUP('Interactive Selection Sheet'!$G53, 'Master List Import'!$A$1:$P$519, 11, FALSE), ""), "")</f>
        <v>0</v>
      </c>
      <c r="N75" s="69">
        <f>_xlfn.IFNA(IF('Interactive Selection Sheet'!F53= "", VLOOKUP('Interactive Selection Sheet'!$G53, 'Master List Import'!$A$1:$P$519, 12, FALSE), ""), "")</f>
        <v>1</v>
      </c>
      <c r="O75" s="69">
        <f>_xlfn.IFNA(IF('Interactive Selection Sheet'!F53= "", VLOOKUP('Interactive Selection Sheet'!$G53, 'Master List Import'!$A$1:$P$519, 13, FALSE), ""), "")</f>
        <v>1506</v>
      </c>
      <c r="P75" s="69" t="str">
        <f>_xlfn.IFNA(IF('Interactive Selection Sheet'!F53= "", VLOOKUP('Interactive Selection Sheet'!$G53, 'Master List Import'!$A$1:$P$519, 14, FALSE), ""), "")</f>
        <v>White Sports Bra (44-46)</v>
      </c>
      <c r="Q75" s="69">
        <f>_xlfn.IFNA(IF('Interactive Selection Sheet'!F53= "", VLOOKUP('Interactive Selection Sheet'!$G53, 'Master List Import'!$A$1:$P$519, 15, FALSE), ""), "")</f>
        <v>1</v>
      </c>
      <c r="R75" s="74">
        <f>_xlfn.IFNA(IF('Interactive Selection Sheet'!F53= "", VLOOKUP('Interactive Selection Sheet'!$G53, 'Master List Import'!$A$1:$P$519, 16, FALSE), ""), "")</f>
        <v>9.4</v>
      </c>
    </row>
    <row r="76" spans="1:18" ht="21.75" customHeight="1" x14ac:dyDescent="0.25">
      <c r="A76" s="69">
        <f>_xlfn.IFNA(IF('Interactive Selection Sheet'!F54= "", VLOOKUP('Interactive Selection Sheet'!$G54, 'Master List Import'!$A$1:$P$519, 2, FALSE), ""), "")</f>
        <v>1509</v>
      </c>
      <c r="B76" s="69" t="str">
        <f>_xlfn.IFNA(IF('Interactive Selection Sheet'!F54= "", VLOOKUP('Interactive Selection Sheet'!$G54, 'Master List Import'!$A$1:$P$519, 3, FALSE), ""), "")</f>
        <v>Sports Bra - Size 50</v>
      </c>
      <c r="C76" s="76">
        <f>IF('Interactive Selection Sheet'!$T$2="", "", IF(B76="","",'Interactive Selection Sheet'!$T$2))</f>
        <v>3.5000000000000003E-2</v>
      </c>
      <c r="D76" s="70">
        <f>IF(B76 = "", "", 'Interactive Selection Sheet'!$Q$2)</f>
        <v>4.4999999999999998E-2</v>
      </c>
      <c r="E76" s="70">
        <f>IF(B76="","", 'Interactive Selection Sheet'!$R$2)</f>
        <v>0.02</v>
      </c>
      <c r="F76" s="69" t="str">
        <f>_xlfn.IFNA(IF('Interactive Selection Sheet'!F54= "", VLOOKUP('Interactive Selection Sheet'!$G54, 'Master List Import'!$A$1:$P$519, 4, FALSE), ""), "")</f>
        <v>Clothing</v>
      </c>
      <c r="G76" s="69" t="str">
        <f>_xlfn.IFNA(IF('Interactive Selection Sheet'!F54= "", VLOOKUP('Interactive Selection Sheet'!$G54, 'Master List Import'!$A$1:$P$519, 5, FALSE), ""), "")</f>
        <v>Clothing</v>
      </c>
      <c r="H76" s="69" t="str">
        <f>_xlfn.IFNA(IF('Interactive Selection Sheet'!F54= "", VLOOKUP('Interactive Selection Sheet'!$G54, 'Master List Import'!$A$1:$P$519, 6, FALSE), ""), "")</f>
        <v>Both</v>
      </c>
      <c r="I76" s="72">
        <f>_xlfn.IFNA(IF('Interactive Selection Sheet'!F54= "", VLOOKUP('Interactive Selection Sheet'!$G54, 'Master List Import'!$A$1:$P$519, 7, FALSE), ""), "")</f>
        <v>4.78</v>
      </c>
      <c r="J76" s="69" t="str">
        <f>_xlfn.IFNA(IF('Interactive Selection Sheet'!F54= "", VLOOKUP('Interactive Selection Sheet'!$G54, 'Master List Import'!$A$1:$P$519, 8, FALSE), ""), "")</f>
        <v>REI</v>
      </c>
      <c r="K76" s="69" t="str">
        <f>_xlfn.IFNA(IF('Interactive Selection Sheet'!F54= "", VLOOKUP('Interactive Selection Sheet'!$G54, 'Master List Import'!$A$1:$P$519, 9, FALSE), ""), "")</f>
        <v>900550</v>
      </c>
      <c r="L76" s="69">
        <f>_xlfn.IFNA(IF('Interactive Selection Sheet'!F54= "", VLOOKUP('Interactive Selection Sheet'!$G54, 'Master List Import'!$A$1:$P$519, 10, FALSE), ""), "")</f>
        <v>0</v>
      </c>
      <c r="M76" s="69">
        <f>_xlfn.IFNA(IF('Interactive Selection Sheet'!F54= "", VLOOKUP('Interactive Selection Sheet'!$G54, 'Master List Import'!$A$1:$P$519, 11, FALSE), ""), "")</f>
        <v>0</v>
      </c>
      <c r="N76" s="69">
        <f>_xlfn.IFNA(IF('Interactive Selection Sheet'!F54= "", VLOOKUP('Interactive Selection Sheet'!$G54, 'Master List Import'!$A$1:$P$519, 12, FALSE), ""), "")</f>
        <v>1</v>
      </c>
      <c r="O76" s="69">
        <f>_xlfn.IFNA(IF('Interactive Selection Sheet'!F54= "", VLOOKUP('Interactive Selection Sheet'!$G54, 'Master List Import'!$A$1:$P$519, 13, FALSE), ""), "")</f>
        <v>1509</v>
      </c>
      <c r="P76" s="69" t="str">
        <f>_xlfn.IFNA(IF('Interactive Selection Sheet'!F54= "", VLOOKUP('Interactive Selection Sheet'!$G54, 'Master List Import'!$A$1:$P$519, 14, FALSE), ""), "")</f>
        <v>White Sports Bra (50)</v>
      </c>
      <c r="Q76" s="69">
        <f>_xlfn.IFNA(IF('Interactive Selection Sheet'!F54= "", VLOOKUP('Interactive Selection Sheet'!$G54, 'Master List Import'!$A$1:$P$519, 15, FALSE), ""), "")</f>
        <v>1</v>
      </c>
      <c r="R76" s="74">
        <f>_xlfn.IFNA(IF('Interactive Selection Sheet'!F54= "", VLOOKUP('Interactive Selection Sheet'!$G54, 'Master List Import'!$A$1:$P$519, 16, FALSE), ""), "")</f>
        <v>10.5</v>
      </c>
    </row>
    <row r="77" spans="1:18" ht="21.75" customHeight="1" x14ac:dyDescent="0.25">
      <c r="A77" s="69">
        <f>_xlfn.IFNA(IF('Interactive Selection Sheet'!A43 = "", VLOOKUP('Interactive Selection Sheet'!$B43, 'Master List Import'!$A$1:$P$519, 2, FALSE), ""), "")</f>
        <v>1622</v>
      </c>
      <c r="B77" s="69" t="str">
        <f>_xlfn.IFNA(IF('Interactive Selection Sheet'!A43 = "", VLOOKUP('Interactive Selection Sheet'!$B43, 'Master List Import'!$A$1:$P$519, 3, FALSE), ""), "")</f>
        <v>Canvas Shoes Orange - Size 7</v>
      </c>
      <c r="C77" s="76">
        <f>IF('Interactive Selection Sheet'!$T$2="", "", IF(B77="","",'Interactive Selection Sheet'!$T$2))</f>
        <v>3.5000000000000003E-2</v>
      </c>
      <c r="D77" s="70">
        <f>IF(B77 = "", "", 'Interactive Selection Sheet'!$Q$2)</f>
        <v>4.4999999999999998E-2</v>
      </c>
      <c r="E77" s="70">
        <f>IF(B77="","", 'Interactive Selection Sheet'!$R$2)</f>
        <v>0.02</v>
      </c>
      <c r="F77" s="69" t="str">
        <f>_xlfn.IFNA(IF('Interactive Selection Sheet'!A43 = "", VLOOKUP('Interactive Selection Sheet'!$B43, 'Master List Import'!$A$1:$P$519, 4, FALSE), ""), "")</f>
        <v>Clothing - Shoes</v>
      </c>
      <c r="G77" s="69" t="str">
        <f>_xlfn.IFNA(IF('Interactive Selection Sheet'!A43 = "", VLOOKUP('Interactive Selection Sheet'!$B43, 'Master List Import'!$A$1:$P$519, 5, FALSE), ""), "")</f>
        <v>Clothing - Shoes</v>
      </c>
      <c r="H77" s="69" t="str">
        <f>_xlfn.IFNA(IF('Interactive Selection Sheet'!A43 = "", VLOOKUP('Interactive Selection Sheet'!$B43, 'Master List Import'!$A$1:$P$519, 6, FALSE), ""), "")</f>
        <v>Both</v>
      </c>
      <c r="I77" s="72">
        <f>_xlfn.IFNA(IF('Interactive Selection Sheet'!A43 = "", VLOOKUP('Interactive Selection Sheet'!$B43, 'Master List Import'!$A$1:$P$519, 7, FALSE), ""), "")</f>
        <v>4.68</v>
      </c>
      <c r="J77" s="69" t="str">
        <f>_xlfn.IFNA(IF('Interactive Selection Sheet'!A43 = "", VLOOKUP('Interactive Selection Sheet'!$B43, 'Master List Import'!$A$1:$P$519, 8, FALSE), ""), "")</f>
        <v>REI</v>
      </c>
      <c r="K77" s="69" t="str">
        <f>_xlfn.IFNA(IF('Interactive Selection Sheet'!A43 = "", VLOOKUP('Interactive Selection Sheet'!$B43, 'Master List Import'!$A$1:$P$519, 9, FALSE), ""), "")</f>
        <v>901632</v>
      </c>
      <c r="L77" s="69">
        <f>_xlfn.IFNA(IF('Interactive Selection Sheet'!A43 = "", VLOOKUP('Interactive Selection Sheet'!$B43, 'Master List Import'!$A$1:$P$519, 10, FALSE), ""), "")</f>
        <v>0</v>
      </c>
      <c r="M77" s="69">
        <f>_xlfn.IFNA(IF('Interactive Selection Sheet'!A43 = "", VLOOKUP('Interactive Selection Sheet'!$B43, 'Master List Import'!$A$1:$P$519, 11, FALSE), ""), "")</f>
        <v>0</v>
      </c>
      <c r="N77" s="69">
        <f>_xlfn.IFNA(IF('Interactive Selection Sheet'!A43 = "", VLOOKUP('Interactive Selection Sheet'!$B43, 'Master List Import'!$A$1:$P$519, 12, FALSE), ""), "")</f>
        <v>1</v>
      </c>
      <c r="O77" s="69">
        <f>_xlfn.IFNA(IF('Interactive Selection Sheet'!A43 = "", VLOOKUP('Interactive Selection Sheet'!$B43, 'Master List Import'!$A$1:$P$519, 13, FALSE), ""), "")</f>
        <v>1622</v>
      </c>
      <c r="P77" s="69" t="str">
        <f>_xlfn.IFNA(IF('Interactive Selection Sheet'!A43 = "", VLOOKUP('Interactive Selection Sheet'!$B43, 'Master List Import'!$A$1:$P$519, 14, FALSE), ""), "")</f>
        <v>Orange Canvas Shoes (M07/L09)</v>
      </c>
      <c r="Q77" s="69">
        <f>_xlfn.IFNA(IF('Interactive Selection Sheet'!A43 = "", VLOOKUP('Interactive Selection Sheet'!$B43, 'Master List Import'!$A$1:$P$519, 15, FALSE), ""), "")</f>
        <v>1</v>
      </c>
      <c r="R77" s="74">
        <f>_xlfn.IFNA(IF('Interactive Selection Sheet'!A43 = "", VLOOKUP('Interactive Selection Sheet'!$B43, 'Master List Import'!$A$1:$P$519, 16, FALSE), ""), "")</f>
        <v>15.55</v>
      </c>
    </row>
    <row r="78" spans="1:18" ht="21.75" customHeight="1" x14ac:dyDescent="0.25">
      <c r="A78" s="69">
        <f>_xlfn.IFNA(IF('Interactive Selection Sheet'!A44 = "", VLOOKUP('Interactive Selection Sheet'!$B44, 'Master List Import'!$A$1:$P$519, 2, FALSE), ""), "")</f>
        <v>1623</v>
      </c>
      <c r="B78" s="69" t="str">
        <f>_xlfn.IFNA(IF('Interactive Selection Sheet'!A44 = "", VLOOKUP('Interactive Selection Sheet'!$B44, 'Master List Import'!$A$1:$P$519, 3, FALSE), ""), "")</f>
        <v>Canvas Shoes Orange - Size 8</v>
      </c>
      <c r="C78" s="76">
        <f>IF('Interactive Selection Sheet'!$T$2="", "", IF(B78="","",'Interactive Selection Sheet'!$T$2))</f>
        <v>3.5000000000000003E-2</v>
      </c>
      <c r="D78" s="70">
        <f>IF(B78 = "", "", 'Interactive Selection Sheet'!$Q$2)</f>
        <v>4.4999999999999998E-2</v>
      </c>
      <c r="E78" s="70">
        <f>IF(B78="","", 'Interactive Selection Sheet'!$R$2)</f>
        <v>0.02</v>
      </c>
      <c r="F78" s="69" t="str">
        <f>_xlfn.IFNA(IF('Interactive Selection Sheet'!A44 = "", VLOOKUP('Interactive Selection Sheet'!$B44, 'Master List Import'!$A$1:$P$519, 4, FALSE), ""), "")</f>
        <v>Clothing - Shoes</v>
      </c>
      <c r="G78" s="69" t="str">
        <f>_xlfn.IFNA(IF('Interactive Selection Sheet'!A44 = "", VLOOKUP('Interactive Selection Sheet'!$B44, 'Master List Import'!$A$1:$P$519, 5, FALSE), ""), "")</f>
        <v>Clothing - Shoes</v>
      </c>
      <c r="H78" s="69" t="str">
        <f>_xlfn.IFNA(IF('Interactive Selection Sheet'!A44 = "", VLOOKUP('Interactive Selection Sheet'!$B44, 'Master List Import'!$A$1:$P$519, 6, FALSE), ""), "")</f>
        <v>Both</v>
      </c>
      <c r="I78" s="72">
        <f>_xlfn.IFNA(IF('Interactive Selection Sheet'!A44 = "", VLOOKUP('Interactive Selection Sheet'!$B44, 'Master List Import'!$A$1:$P$519, 7, FALSE), ""), "")</f>
        <v>4.68</v>
      </c>
      <c r="J78" s="69" t="str">
        <f>_xlfn.IFNA(IF('Interactive Selection Sheet'!A44 = "", VLOOKUP('Interactive Selection Sheet'!$B44, 'Master List Import'!$A$1:$P$519, 8, FALSE), ""), "")</f>
        <v>REI</v>
      </c>
      <c r="K78" s="69" t="str">
        <f>_xlfn.IFNA(IF('Interactive Selection Sheet'!A44 = "", VLOOKUP('Interactive Selection Sheet'!$B44, 'Master List Import'!$A$1:$P$519, 9, FALSE), ""), "")</f>
        <v>901633</v>
      </c>
      <c r="L78" s="69">
        <f>_xlfn.IFNA(IF('Interactive Selection Sheet'!A44 = "", VLOOKUP('Interactive Selection Sheet'!$B44, 'Master List Import'!$A$1:$P$519, 10, FALSE), ""), "")</f>
        <v>0</v>
      </c>
      <c r="M78" s="69">
        <f>_xlfn.IFNA(IF('Interactive Selection Sheet'!A44 = "", VLOOKUP('Interactive Selection Sheet'!$B44, 'Master List Import'!$A$1:$P$519, 11, FALSE), ""), "")</f>
        <v>0</v>
      </c>
      <c r="N78" s="69">
        <f>_xlfn.IFNA(IF('Interactive Selection Sheet'!A44 = "", VLOOKUP('Interactive Selection Sheet'!$B44, 'Master List Import'!$A$1:$P$519, 12, FALSE), ""), "")</f>
        <v>1</v>
      </c>
      <c r="O78" s="69">
        <f>_xlfn.IFNA(IF('Interactive Selection Sheet'!A44 = "", VLOOKUP('Interactive Selection Sheet'!$B44, 'Master List Import'!$A$1:$P$519, 13, FALSE), ""), "")</f>
        <v>1623</v>
      </c>
      <c r="P78" s="69" t="str">
        <f>_xlfn.IFNA(IF('Interactive Selection Sheet'!A44 = "", VLOOKUP('Interactive Selection Sheet'!$B44, 'Master List Import'!$A$1:$P$519, 14, FALSE), ""), "")</f>
        <v>Orange Canvas Shoes (M08/L10)</v>
      </c>
      <c r="Q78" s="69">
        <f>_xlfn.IFNA(IF('Interactive Selection Sheet'!A44 = "", VLOOKUP('Interactive Selection Sheet'!$B44, 'Master List Import'!$A$1:$P$519, 15, FALSE), ""), "")</f>
        <v>1</v>
      </c>
      <c r="R78" s="74">
        <f>_xlfn.IFNA(IF('Interactive Selection Sheet'!A44 = "", VLOOKUP('Interactive Selection Sheet'!$B44, 'Master List Import'!$A$1:$P$519, 16, FALSE), ""), "")</f>
        <v>15.55</v>
      </c>
    </row>
    <row r="79" spans="1:18" ht="21.75" customHeight="1" x14ac:dyDescent="0.25">
      <c r="A79" s="69">
        <f>_xlfn.IFNA(IF('Interactive Selection Sheet'!A45 = "", VLOOKUP('Interactive Selection Sheet'!$B45, 'Master List Import'!$A$1:$P$519, 2, FALSE), ""), "")</f>
        <v>1624</v>
      </c>
      <c r="B79" s="69" t="str">
        <f>_xlfn.IFNA(IF('Interactive Selection Sheet'!A45 = "", VLOOKUP('Interactive Selection Sheet'!$B45, 'Master List Import'!$A$1:$P$519, 3, FALSE), ""), "")</f>
        <v>Canvas Shoes Orange - Size 9</v>
      </c>
      <c r="C79" s="76">
        <f>IF('Interactive Selection Sheet'!$T$2="", "", IF(B79="","",'Interactive Selection Sheet'!$T$2))</f>
        <v>3.5000000000000003E-2</v>
      </c>
      <c r="D79" s="70">
        <f>IF(B79 = "", "", 'Interactive Selection Sheet'!$Q$2)</f>
        <v>4.4999999999999998E-2</v>
      </c>
      <c r="E79" s="70">
        <f>IF(B79="","", 'Interactive Selection Sheet'!$R$2)</f>
        <v>0.02</v>
      </c>
      <c r="F79" s="69" t="str">
        <f>_xlfn.IFNA(IF('Interactive Selection Sheet'!A45 = "", VLOOKUP('Interactive Selection Sheet'!$B45, 'Master List Import'!$A$1:$P$519, 4, FALSE), ""), "")</f>
        <v>Clothing - Shoes</v>
      </c>
      <c r="G79" s="69" t="str">
        <f>_xlfn.IFNA(IF('Interactive Selection Sheet'!A45 = "", VLOOKUP('Interactive Selection Sheet'!$B45, 'Master List Import'!$A$1:$P$519, 5, FALSE), ""), "")</f>
        <v>Clothing - Shoes</v>
      </c>
      <c r="H79" s="69" t="str">
        <f>_xlfn.IFNA(IF('Interactive Selection Sheet'!A45 = "", VLOOKUP('Interactive Selection Sheet'!$B45, 'Master List Import'!$A$1:$P$519, 6, FALSE), ""), "")</f>
        <v>Both</v>
      </c>
      <c r="I79" s="72">
        <f>_xlfn.IFNA(IF('Interactive Selection Sheet'!A45 = "", VLOOKUP('Interactive Selection Sheet'!$B45, 'Master List Import'!$A$1:$P$519, 7, FALSE), ""), "")</f>
        <v>4.68</v>
      </c>
      <c r="J79" s="69" t="str">
        <f>_xlfn.IFNA(IF('Interactive Selection Sheet'!A45 = "", VLOOKUP('Interactive Selection Sheet'!$B45, 'Master List Import'!$A$1:$P$519, 8, FALSE), ""), "")</f>
        <v>REI</v>
      </c>
      <c r="K79" s="69" t="str">
        <f>_xlfn.IFNA(IF('Interactive Selection Sheet'!A45 = "", VLOOKUP('Interactive Selection Sheet'!$B45, 'Master List Import'!$A$1:$P$519, 9, FALSE), ""), "")</f>
        <v>901634</v>
      </c>
      <c r="L79" s="69">
        <f>_xlfn.IFNA(IF('Interactive Selection Sheet'!A45 = "", VLOOKUP('Interactive Selection Sheet'!$B45, 'Master List Import'!$A$1:$P$519, 10, FALSE), ""), "")</f>
        <v>0</v>
      </c>
      <c r="M79" s="69">
        <f>_xlfn.IFNA(IF('Interactive Selection Sheet'!A45 = "", VLOOKUP('Interactive Selection Sheet'!$B45, 'Master List Import'!$A$1:$P$519, 11, FALSE), ""), "")</f>
        <v>0</v>
      </c>
      <c r="N79" s="69">
        <f>_xlfn.IFNA(IF('Interactive Selection Sheet'!A45 = "", VLOOKUP('Interactive Selection Sheet'!$B45, 'Master List Import'!$A$1:$P$519, 12, FALSE), ""), "")</f>
        <v>1</v>
      </c>
      <c r="O79" s="69">
        <f>_xlfn.IFNA(IF('Interactive Selection Sheet'!A45 = "", VLOOKUP('Interactive Selection Sheet'!$B45, 'Master List Import'!$A$1:$P$519, 13, FALSE), ""), "")</f>
        <v>1624</v>
      </c>
      <c r="P79" s="69" t="str">
        <f>_xlfn.IFNA(IF('Interactive Selection Sheet'!A45 = "", VLOOKUP('Interactive Selection Sheet'!$B45, 'Master List Import'!$A$1:$P$519, 14, FALSE), ""), "")</f>
        <v>Orange Canvas Shoes (M09/L11)</v>
      </c>
      <c r="Q79" s="69">
        <f>_xlfn.IFNA(IF('Interactive Selection Sheet'!A45 = "", VLOOKUP('Interactive Selection Sheet'!$B45, 'Master List Import'!$A$1:$P$519, 15, FALSE), ""), "")</f>
        <v>1</v>
      </c>
      <c r="R79" s="74">
        <f>_xlfn.IFNA(IF('Interactive Selection Sheet'!A45 = "", VLOOKUP('Interactive Selection Sheet'!$B45, 'Master List Import'!$A$1:$P$519, 16, FALSE), ""), "")</f>
        <v>15.55</v>
      </c>
    </row>
    <row r="80" spans="1:18" ht="21.75" customHeight="1" x14ac:dyDescent="0.25">
      <c r="A80" s="69">
        <f>_xlfn.IFNA(IF('Interactive Selection Sheet'!A46 = "", VLOOKUP('Interactive Selection Sheet'!$B46, 'Master List Import'!$A$1:$P$519, 2, FALSE), ""), "")</f>
        <v>1625</v>
      </c>
      <c r="B80" s="69" t="str">
        <f>_xlfn.IFNA(IF('Interactive Selection Sheet'!A46 = "", VLOOKUP('Interactive Selection Sheet'!$B46, 'Master List Import'!$A$1:$P$519, 3, FALSE), ""), "")</f>
        <v>Canvas Shoes Orange - Size 10</v>
      </c>
      <c r="C80" s="76">
        <f>IF('Interactive Selection Sheet'!$T$2="", "", IF(B80="","",'Interactive Selection Sheet'!$T$2))</f>
        <v>3.5000000000000003E-2</v>
      </c>
      <c r="D80" s="70">
        <f>IF(B80 = "", "", 'Interactive Selection Sheet'!$Q$2)</f>
        <v>4.4999999999999998E-2</v>
      </c>
      <c r="E80" s="70">
        <f>IF(B80="","", 'Interactive Selection Sheet'!$R$2)</f>
        <v>0.02</v>
      </c>
      <c r="F80" s="69" t="str">
        <f>_xlfn.IFNA(IF('Interactive Selection Sheet'!A46 = "", VLOOKUP('Interactive Selection Sheet'!$B46, 'Master List Import'!$A$1:$P$519, 4, FALSE), ""), "")</f>
        <v>Clothing - Shoes</v>
      </c>
      <c r="G80" s="69" t="str">
        <f>_xlfn.IFNA(IF('Interactive Selection Sheet'!A46 = "", VLOOKUP('Interactive Selection Sheet'!$B46, 'Master List Import'!$A$1:$P$519, 5, FALSE), ""), "")</f>
        <v>Clothing - Shoes</v>
      </c>
      <c r="H80" s="69" t="str">
        <f>_xlfn.IFNA(IF('Interactive Selection Sheet'!A46 = "", VLOOKUP('Interactive Selection Sheet'!$B46, 'Master List Import'!$A$1:$P$519, 6, FALSE), ""), "")</f>
        <v>Both</v>
      </c>
      <c r="I80" s="72">
        <f>_xlfn.IFNA(IF('Interactive Selection Sheet'!A46 = "", VLOOKUP('Interactive Selection Sheet'!$B46, 'Master List Import'!$A$1:$P$519, 7, FALSE), ""), "")</f>
        <v>4.68</v>
      </c>
      <c r="J80" s="69" t="str">
        <f>_xlfn.IFNA(IF('Interactive Selection Sheet'!A46 = "", VLOOKUP('Interactive Selection Sheet'!$B46, 'Master List Import'!$A$1:$P$519, 8, FALSE), ""), "")</f>
        <v>REI</v>
      </c>
      <c r="K80" s="69" t="str">
        <f>_xlfn.IFNA(IF('Interactive Selection Sheet'!A46 = "", VLOOKUP('Interactive Selection Sheet'!$B46, 'Master List Import'!$A$1:$P$519, 9, FALSE), ""), "")</f>
        <v>901635</v>
      </c>
      <c r="L80" s="69">
        <f>_xlfn.IFNA(IF('Interactive Selection Sheet'!A46 = "", VLOOKUP('Interactive Selection Sheet'!$B46, 'Master List Import'!$A$1:$P$519, 10, FALSE), ""), "")</f>
        <v>0</v>
      </c>
      <c r="M80" s="69">
        <f>_xlfn.IFNA(IF('Interactive Selection Sheet'!A46 = "", VLOOKUP('Interactive Selection Sheet'!$B46, 'Master List Import'!$A$1:$P$519, 11, FALSE), ""), "")</f>
        <v>0</v>
      </c>
      <c r="N80" s="69">
        <f>_xlfn.IFNA(IF('Interactive Selection Sheet'!A46 = "", VLOOKUP('Interactive Selection Sheet'!$B46, 'Master List Import'!$A$1:$P$519, 12, FALSE), ""), "")</f>
        <v>1</v>
      </c>
      <c r="O80" s="69">
        <f>_xlfn.IFNA(IF('Interactive Selection Sheet'!A46 = "", VLOOKUP('Interactive Selection Sheet'!$B46, 'Master List Import'!$A$1:$P$519, 13, FALSE), ""), "")</f>
        <v>1625</v>
      </c>
      <c r="P80" s="69" t="str">
        <f>_xlfn.IFNA(IF('Interactive Selection Sheet'!A46 = "", VLOOKUP('Interactive Selection Sheet'!$B46, 'Master List Import'!$A$1:$P$519, 14, FALSE), ""), "")</f>
        <v>Orange Canvas Shoes (M10/L12)</v>
      </c>
      <c r="Q80" s="69">
        <f>_xlfn.IFNA(IF('Interactive Selection Sheet'!A46 = "", VLOOKUP('Interactive Selection Sheet'!$B46, 'Master List Import'!$A$1:$P$519, 15, FALSE), ""), "")</f>
        <v>1</v>
      </c>
      <c r="R80" s="74">
        <f>_xlfn.IFNA(IF('Interactive Selection Sheet'!A46 = "", VLOOKUP('Interactive Selection Sheet'!$B46, 'Master List Import'!$A$1:$P$519, 16, FALSE), ""), "")</f>
        <v>15.55</v>
      </c>
    </row>
    <row r="81" spans="1:18" ht="21.75" customHeight="1" x14ac:dyDescent="0.25">
      <c r="A81" s="69">
        <f>_xlfn.IFNA(IF('Interactive Selection Sheet'!A47 = "", VLOOKUP('Interactive Selection Sheet'!$B47, 'Master List Import'!$A$1:$P$519, 2, FALSE), ""), "")</f>
        <v>1626</v>
      </c>
      <c r="B81" s="69" t="str">
        <f>_xlfn.IFNA(IF('Interactive Selection Sheet'!A47 = "", VLOOKUP('Interactive Selection Sheet'!$B47, 'Master List Import'!$A$1:$P$519, 3, FALSE), ""), "")</f>
        <v>Canvas Shoes Orange - Size 11</v>
      </c>
      <c r="C81" s="76">
        <f>IF('Interactive Selection Sheet'!$T$2="", "", IF(B81="","",'Interactive Selection Sheet'!$T$2))</f>
        <v>3.5000000000000003E-2</v>
      </c>
      <c r="D81" s="70">
        <f>IF(B81 = "", "", 'Interactive Selection Sheet'!$Q$2)</f>
        <v>4.4999999999999998E-2</v>
      </c>
      <c r="E81" s="70">
        <f>IF(B81="","", 'Interactive Selection Sheet'!$R$2)</f>
        <v>0.02</v>
      </c>
      <c r="F81" s="69" t="str">
        <f>_xlfn.IFNA(IF('Interactive Selection Sheet'!A47 = "", VLOOKUP('Interactive Selection Sheet'!$B47, 'Master List Import'!$A$1:$P$519, 4, FALSE), ""), "")</f>
        <v>Clothing - Shoes</v>
      </c>
      <c r="G81" s="69" t="str">
        <f>_xlfn.IFNA(IF('Interactive Selection Sheet'!A47 = "", VLOOKUP('Interactive Selection Sheet'!$B47, 'Master List Import'!$A$1:$P$519, 5, FALSE), ""), "")</f>
        <v>Clothing - Shoes</v>
      </c>
      <c r="H81" s="69" t="str">
        <f>_xlfn.IFNA(IF('Interactive Selection Sheet'!A47 = "", VLOOKUP('Interactive Selection Sheet'!$B47, 'Master List Import'!$A$1:$P$519, 6, FALSE), ""), "")</f>
        <v>Both</v>
      </c>
      <c r="I81" s="72">
        <f>_xlfn.IFNA(IF('Interactive Selection Sheet'!A47 = "", VLOOKUP('Interactive Selection Sheet'!$B47, 'Master List Import'!$A$1:$P$519, 7, FALSE), ""), "")</f>
        <v>4.68</v>
      </c>
      <c r="J81" s="69" t="str">
        <f>_xlfn.IFNA(IF('Interactive Selection Sheet'!A47 = "", VLOOKUP('Interactive Selection Sheet'!$B47, 'Master List Import'!$A$1:$P$519, 8, FALSE), ""), "")</f>
        <v>REI</v>
      </c>
      <c r="K81" s="69" t="str">
        <f>_xlfn.IFNA(IF('Interactive Selection Sheet'!A47 = "", VLOOKUP('Interactive Selection Sheet'!$B47, 'Master List Import'!$A$1:$P$519, 9, FALSE), ""), "")</f>
        <v>901636</v>
      </c>
      <c r="L81" s="69">
        <f>_xlfn.IFNA(IF('Interactive Selection Sheet'!A47 = "", VLOOKUP('Interactive Selection Sheet'!$B47, 'Master List Import'!$A$1:$P$519, 10, FALSE), ""), "")</f>
        <v>0</v>
      </c>
      <c r="M81" s="69">
        <f>_xlfn.IFNA(IF('Interactive Selection Sheet'!A47 = "", VLOOKUP('Interactive Selection Sheet'!$B47, 'Master List Import'!$A$1:$P$519, 11, FALSE), ""), "")</f>
        <v>0</v>
      </c>
      <c r="N81" s="69">
        <f>_xlfn.IFNA(IF('Interactive Selection Sheet'!A47 = "", VLOOKUP('Interactive Selection Sheet'!$B47, 'Master List Import'!$A$1:$P$519, 12, FALSE), ""), "")</f>
        <v>1</v>
      </c>
      <c r="O81" s="69">
        <f>_xlfn.IFNA(IF('Interactive Selection Sheet'!A47 = "", VLOOKUP('Interactive Selection Sheet'!$B47, 'Master List Import'!$A$1:$P$519, 13, FALSE), ""), "")</f>
        <v>1626</v>
      </c>
      <c r="P81" s="69" t="str">
        <f>_xlfn.IFNA(IF('Interactive Selection Sheet'!A47 = "", VLOOKUP('Interactive Selection Sheet'!$B47, 'Master List Import'!$A$1:$P$519, 14, FALSE), ""), "")</f>
        <v>Orange Canvas Shoes (M11)</v>
      </c>
      <c r="Q81" s="69">
        <f>_xlfn.IFNA(IF('Interactive Selection Sheet'!A47 = "", VLOOKUP('Interactive Selection Sheet'!$B47, 'Master List Import'!$A$1:$P$519, 15, FALSE), ""), "")</f>
        <v>1</v>
      </c>
      <c r="R81" s="74">
        <f>_xlfn.IFNA(IF('Interactive Selection Sheet'!A47 = "", VLOOKUP('Interactive Selection Sheet'!$B47, 'Master List Import'!$A$1:$P$519, 16, FALSE), ""), "")</f>
        <v>15.55</v>
      </c>
    </row>
    <row r="82" spans="1:18" ht="21.75" customHeight="1" x14ac:dyDescent="0.25">
      <c r="A82" s="69">
        <f>_xlfn.IFNA(IF('Interactive Selection Sheet'!A48 = "", VLOOKUP('Interactive Selection Sheet'!$B48, 'Master List Import'!$A$1:$P$519, 2, FALSE), ""), "")</f>
        <v>1627</v>
      </c>
      <c r="B82" s="69" t="str">
        <f>_xlfn.IFNA(IF('Interactive Selection Sheet'!A48 = "", VLOOKUP('Interactive Selection Sheet'!$B48, 'Master List Import'!$A$1:$P$519, 3, FALSE), ""), "")</f>
        <v>Orange Canvas Shoes (12)</v>
      </c>
      <c r="C82" s="76">
        <f>IF('Interactive Selection Sheet'!$T$2="", "", IF(B82="","",'Interactive Selection Sheet'!$T$2))</f>
        <v>3.5000000000000003E-2</v>
      </c>
      <c r="D82" s="70">
        <f>IF(B82 = "", "", 'Interactive Selection Sheet'!$Q$2)</f>
        <v>4.4999999999999998E-2</v>
      </c>
      <c r="E82" s="70">
        <f>IF(B82="","", 'Interactive Selection Sheet'!$R$2)</f>
        <v>0.02</v>
      </c>
      <c r="F82" s="69" t="str">
        <f>_xlfn.IFNA(IF('Interactive Selection Sheet'!A48 = "", VLOOKUP('Interactive Selection Sheet'!$B48, 'Master List Import'!$A$1:$P$519, 4, FALSE), ""), "")</f>
        <v>Clothing - Shoes</v>
      </c>
      <c r="G82" s="69" t="str">
        <f>_xlfn.IFNA(IF('Interactive Selection Sheet'!A48 = "", VLOOKUP('Interactive Selection Sheet'!$B48, 'Master List Import'!$A$1:$P$519, 5, FALSE), ""), "")</f>
        <v>Clothing - Shoes</v>
      </c>
      <c r="H82" s="69" t="str">
        <f>_xlfn.IFNA(IF('Interactive Selection Sheet'!A48 = "", VLOOKUP('Interactive Selection Sheet'!$B48, 'Master List Import'!$A$1:$P$519, 6, FALSE), ""), "")</f>
        <v>Both</v>
      </c>
      <c r="I82" s="72">
        <f>_xlfn.IFNA(IF('Interactive Selection Sheet'!A48 = "", VLOOKUP('Interactive Selection Sheet'!$B48, 'Master List Import'!$A$1:$P$519, 7, FALSE), ""), "")</f>
        <v>4.68</v>
      </c>
      <c r="J82" s="69" t="str">
        <f>_xlfn.IFNA(IF('Interactive Selection Sheet'!A48 = "", VLOOKUP('Interactive Selection Sheet'!$B48, 'Master List Import'!$A$1:$P$519, 8, FALSE), ""), "")</f>
        <v>REI</v>
      </c>
      <c r="K82" s="69" t="str">
        <f>_xlfn.IFNA(IF('Interactive Selection Sheet'!A48 = "", VLOOKUP('Interactive Selection Sheet'!$B48, 'Master List Import'!$A$1:$P$519, 9, FALSE), ""), "")</f>
        <v>901637</v>
      </c>
      <c r="L82" s="69">
        <f>_xlfn.IFNA(IF('Interactive Selection Sheet'!A48 = "", VLOOKUP('Interactive Selection Sheet'!$B48, 'Master List Import'!$A$1:$P$519, 10, FALSE), ""), "")</f>
        <v>0</v>
      </c>
      <c r="M82" s="69">
        <f>_xlfn.IFNA(IF('Interactive Selection Sheet'!A48 = "", VLOOKUP('Interactive Selection Sheet'!$B48, 'Master List Import'!$A$1:$P$519, 11, FALSE), ""), "")</f>
        <v>0</v>
      </c>
      <c r="N82" s="69">
        <f>_xlfn.IFNA(IF('Interactive Selection Sheet'!A48 = "", VLOOKUP('Interactive Selection Sheet'!$B48, 'Master List Import'!$A$1:$P$519, 12, FALSE), ""), "")</f>
        <v>1</v>
      </c>
      <c r="O82" s="69">
        <f>_xlfn.IFNA(IF('Interactive Selection Sheet'!A48 = "", VLOOKUP('Interactive Selection Sheet'!$B48, 'Master List Import'!$A$1:$P$519, 13, FALSE), ""), "")</f>
        <v>1627</v>
      </c>
      <c r="P82" s="69" t="str">
        <f>_xlfn.IFNA(IF('Interactive Selection Sheet'!A48 = "", VLOOKUP('Interactive Selection Sheet'!$B48, 'Master List Import'!$A$1:$P$519, 14, FALSE), ""), "")</f>
        <v>Orange Canvas Shoes (M12)</v>
      </c>
      <c r="Q82" s="69">
        <f>_xlfn.IFNA(IF('Interactive Selection Sheet'!A48 = "", VLOOKUP('Interactive Selection Sheet'!$B48, 'Master List Import'!$A$1:$P$519, 15, FALSE), ""), "")</f>
        <v>1</v>
      </c>
      <c r="R82" s="74">
        <f>_xlfn.IFNA(IF('Interactive Selection Sheet'!A48 = "", VLOOKUP('Interactive Selection Sheet'!$B48, 'Master List Import'!$A$1:$P$519, 16, FALSE), ""), "")</f>
        <v>15.55</v>
      </c>
    </row>
    <row r="83" spans="1:18" ht="21.75" customHeight="1" x14ac:dyDescent="0.25">
      <c r="A83" s="69">
        <f>_xlfn.IFNA(IF('Interactive Selection Sheet'!A49 = "", VLOOKUP('Interactive Selection Sheet'!$B49, 'Master List Import'!$A$1:$P$519, 2, FALSE), ""), "")</f>
        <v>1628</v>
      </c>
      <c r="B83" s="69" t="str">
        <f>_xlfn.IFNA(IF('Interactive Selection Sheet'!A49 = "", VLOOKUP('Interactive Selection Sheet'!$B49, 'Master List Import'!$A$1:$P$519, 3, FALSE), ""), "")</f>
        <v>Orange Canvas Shoes (13)</v>
      </c>
      <c r="C83" s="76">
        <f>IF('Interactive Selection Sheet'!$T$2="", "", IF(B83="","",'Interactive Selection Sheet'!$T$2))</f>
        <v>3.5000000000000003E-2</v>
      </c>
      <c r="D83" s="70">
        <f>IF(B83 = "", "", 'Interactive Selection Sheet'!$Q$2)</f>
        <v>4.4999999999999998E-2</v>
      </c>
      <c r="E83" s="70">
        <f>IF(B83="","", 'Interactive Selection Sheet'!$R$2)</f>
        <v>0.02</v>
      </c>
      <c r="F83" s="69" t="str">
        <f>_xlfn.IFNA(IF('Interactive Selection Sheet'!A49 = "", VLOOKUP('Interactive Selection Sheet'!$B49, 'Master List Import'!$A$1:$P$519, 4, FALSE), ""), "")</f>
        <v>Clothing - Shoes</v>
      </c>
      <c r="G83" s="69" t="str">
        <f>_xlfn.IFNA(IF('Interactive Selection Sheet'!A49 = "", VLOOKUP('Interactive Selection Sheet'!$B49, 'Master List Import'!$A$1:$P$519, 5, FALSE), ""), "")</f>
        <v>Clothing - Shoes</v>
      </c>
      <c r="H83" s="69" t="str">
        <f>_xlfn.IFNA(IF('Interactive Selection Sheet'!A49 = "", VLOOKUP('Interactive Selection Sheet'!$B49, 'Master List Import'!$A$1:$P$519, 6, FALSE), ""), "")</f>
        <v>Both</v>
      </c>
      <c r="I83" s="72">
        <f>_xlfn.IFNA(IF('Interactive Selection Sheet'!A49 = "", VLOOKUP('Interactive Selection Sheet'!$B49, 'Master List Import'!$A$1:$P$519, 7, FALSE), ""), "")</f>
        <v>4.68</v>
      </c>
      <c r="J83" s="69" t="str">
        <f>_xlfn.IFNA(IF('Interactive Selection Sheet'!A49 = "", VLOOKUP('Interactive Selection Sheet'!$B49, 'Master List Import'!$A$1:$P$519, 8, FALSE), ""), "")</f>
        <v>REI</v>
      </c>
      <c r="K83" s="69" t="str">
        <f>_xlfn.IFNA(IF('Interactive Selection Sheet'!A49 = "", VLOOKUP('Interactive Selection Sheet'!$B49, 'Master List Import'!$A$1:$P$519, 9, FALSE), ""), "")</f>
        <v>901638</v>
      </c>
      <c r="L83" s="69">
        <f>_xlfn.IFNA(IF('Interactive Selection Sheet'!A49 = "", VLOOKUP('Interactive Selection Sheet'!$B49, 'Master List Import'!$A$1:$P$519, 10, FALSE), ""), "")</f>
        <v>0</v>
      </c>
      <c r="M83" s="69">
        <f>_xlfn.IFNA(IF('Interactive Selection Sheet'!A49 = "", VLOOKUP('Interactive Selection Sheet'!$B49, 'Master List Import'!$A$1:$P$519, 11, FALSE), ""), "")</f>
        <v>0</v>
      </c>
      <c r="N83" s="69">
        <f>_xlfn.IFNA(IF('Interactive Selection Sheet'!A49 = "", VLOOKUP('Interactive Selection Sheet'!$B49, 'Master List Import'!$A$1:$P$519, 12, FALSE), ""), "")</f>
        <v>1</v>
      </c>
      <c r="O83" s="69">
        <f>_xlfn.IFNA(IF('Interactive Selection Sheet'!A49 = "", VLOOKUP('Interactive Selection Sheet'!$B49, 'Master List Import'!$A$1:$P$519, 13, FALSE), ""), "")</f>
        <v>1628</v>
      </c>
      <c r="P83" s="69" t="str">
        <f>_xlfn.IFNA(IF('Interactive Selection Sheet'!A49 = "", VLOOKUP('Interactive Selection Sheet'!$B49, 'Master List Import'!$A$1:$P$519, 14, FALSE), ""), "")</f>
        <v>Orange Canvas Shoes (M13)</v>
      </c>
      <c r="Q83" s="69">
        <f>_xlfn.IFNA(IF('Interactive Selection Sheet'!A49 = "", VLOOKUP('Interactive Selection Sheet'!$B49, 'Master List Import'!$A$1:$P$519, 15, FALSE), ""), "")</f>
        <v>1</v>
      </c>
      <c r="R83" s="74">
        <f>_xlfn.IFNA(IF('Interactive Selection Sheet'!A49 = "", VLOOKUP('Interactive Selection Sheet'!$B49, 'Master List Import'!$A$1:$P$519, 16, FALSE), ""), "")</f>
        <v>15.55</v>
      </c>
    </row>
    <row r="84" spans="1:18" ht="21.75" customHeight="1" x14ac:dyDescent="0.25">
      <c r="A84" s="69">
        <f>_xlfn.IFNA(IF('Interactive Selection Sheet'!A38 = "", VLOOKUP('Interactive Selection Sheet'!$B38, 'Master List Import'!$A$1:$P$519, 2, FALSE), ""), "")</f>
        <v>1703</v>
      </c>
      <c r="B84" s="69" t="str">
        <f>_xlfn.IFNA(IF('Interactive Selection Sheet'!A38 = "", VLOOKUP('Interactive Selection Sheet'!$B38, 'Master List Import'!$A$1:$P$519, 3, FALSE), ""), "")</f>
        <v>Basket-Weave Shower Sandal, Orange, PVC - Size 08</v>
      </c>
      <c r="C84" s="76">
        <f>IF('Interactive Selection Sheet'!$T$2="", "", IF(B84="","",'Interactive Selection Sheet'!$T$2))</f>
        <v>3.5000000000000003E-2</v>
      </c>
      <c r="D84" s="70">
        <f>IF(B84 = "", "", 'Interactive Selection Sheet'!$Q$2)</f>
        <v>4.4999999999999998E-2</v>
      </c>
      <c r="E84" s="70">
        <f>IF(B84="","", 'Interactive Selection Sheet'!$R$2)</f>
        <v>0.02</v>
      </c>
      <c r="F84" s="69" t="str">
        <f>_xlfn.IFNA(IF('Interactive Selection Sheet'!A38 = "", VLOOKUP('Interactive Selection Sheet'!$B38, 'Master List Import'!$A$1:$P$519, 4, FALSE), ""), "")</f>
        <v>Clothing - Shoes</v>
      </c>
      <c r="G84" s="69" t="str">
        <f>_xlfn.IFNA(IF('Interactive Selection Sheet'!A38 = "", VLOOKUP('Interactive Selection Sheet'!$B38, 'Master List Import'!$A$1:$P$519, 5, FALSE), ""), "")</f>
        <v>Clothing - Shoes</v>
      </c>
      <c r="H84" s="69" t="str">
        <f>_xlfn.IFNA(IF('Interactive Selection Sheet'!A38 = "", VLOOKUP('Interactive Selection Sheet'!$B38, 'Master List Import'!$A$1:$P$519, 6, FALSE), ""), "")</f>
        <v>Both</v>
      </c>
      <c r="I84" s="72">
        <f>_xlfn.IFNA(IF('Interactive Selection Sheet'!A38 = "", VLOOKUP('Interactive Selection Sheet'!$B38, 'Master List Import'!$A$1:$P$519, 7, FALSE), ""), "")</f>
        <v>2.59</v>
      </c>
      <c r="J84" s="69" t="str">
        <f>_xlfn.IFNA(IF('Interactive Selection Sheet'!A38 = "", VLOOKUP('Interactive Selection Sheet'!$B38, 'Master List Import'!$A$1:$P$519, 8, FALSE), ""), "")</f>
        <v>REI</v>
      </c>
      <c r="K84" s="69" t="str">
        <f>_xlfn.IFNA(IF('Interactive Selection Sheet'!A38 = "", VLOOKUP('Interactive Selection Sheet'!$B38, 'Master List Import'!$A$1:$P$519, 9, FALSE), ""), "")</f>
        <v>901663</v>
      </c>
      <c r="L84" s="69">
        <f>_xlfn.IFNA(IF('Interactive Selection Sheet'!A38 = "", VLOOKUP('Interactive Selection Sheet'!$B38, 'Master List Import'!$A$1:$P$519, 10, FALSE), ""), "")</f>
        <v>0</v>
      </c>
      <c r="M84" s="69">
        <f>_xlfn.IFNA(IF('Interactive Selection Sheet'!A38 = "", VLOOKUP('Interactive Selection Sheet'!$B38, 'Master List Import'!$A$1:$P$519, 11, FALSE), ""), "")</f>
        <v>0</v>
      </c>
      <c r="N84" s="69">
        <f>_xlfn.IFNA(IF('Interactive Selection Sheet'!A38 = "", VLOOKUP('Interactive Selection Sheet'!$B38, 'Master List Import'!$A$1:$P$519, 12, FALSE), ""), "")</f>
        <v>1</v>
      </c>
      <c r="O84" s="69">
        <f>_xlfn.IFNA(IF('Interactive Selection Sheet'!A38 = "", VLOOKUP('Interactive Selection Sheet'!$B38, 'Master List Import'!$A$1:$P$519, 13, FALSE), ""), "")</f>
        <v>1703</v>
      </c>
      <c r="P84" s="69" t="str">
        <f>_xlfn.IFNA(IF('Interactive Selection Sheet'!A38 = "", VLOOKUP('Interactive Selection Sheet'!$B38, 'Master List Import'!$A$1:$P$519, 14, FALSE), ""), "")</f>
        <v>Shower Sandals (08)</v>
      </c>
      <c r="Q84" s="69">
        <f>_xlfn.IFNA(IF('Interactive Selection Sheet'!A38 = "", VLOOKUP('Interactive Selection Sheet'!$B38, 'Master List Import'!$A$1:$P$519, 15, FALSE), ""), "")</f>
        <v>1</v>
      </c>
      <c r="R84" s="74">
        <f>_xlfn.IFNA(IF('Interactive Selection Sheet'!A38 = "", VLOOKUP('Interactive Selection Sheet'!$B38, 'Master List Import'!$A$1:$P$519, 16, FALSE), ""), "")</f>
        <v>8</v>
      </c>
    </row>
    <row r="85" spans="1:18" ht="21.75" customHeight="1" x14ac:dyDescent="0.25">
      <c r="A85" s="69">
        <f>_xlfn.IFNA(IF('Interactive Selection Sheet'!A39 = "", VLOOKUP('Interactive Selection Sheet'!$B39, 'Master List Import'!$A$1:$P$519, 2, FALSE), ""), "")</f>
        <v>1705</v>
      </c>
      <c r="B85" s="69" t="str">
        <f>_xlfn.IFNA(IF('Interactive Selection Sheet'!A39 = "", VLOOKUP('Interactive Selection Sheet'!$B39, 'Master List Import'!$A$1:$P$519, 3, FALSE), ""), "")</f>
        <v>Basket-Weave Shower Sandal, Orange, PVC - Size 10</v>
      </c>
      <c r="C85" s="76">
        <f>IF('Interactive Selection Sheet'!$T$2="", "", IF(B85="","",'Interactive Selection Sheet'!$T$2))</f>
        <v>3.5000000000000003E-2</v>
      </c>
      <c r="D85" s="70">
        <f>IF(B85 = "", "", 'Interactive Selection Sheet'!$Q$2)</f>
        <v>4.4999999999999998E-2</v>
      </c>
      <c r="E85" s="70">
        <f>IF(B85="","", 'Interactive Selection Sheet'!$R$2)</f>
        <v>0.02</v>
      </c>
      <c r="F85" s="69" t="str">
        <f>_xlfn.IFNA(IF('Interactive Selection Sheet'!A39 = "", VLOOKUP('Interactive Selection Sheet'!$B39, 'Master List Import'!$A$1:$P$519, 4, FALSE), ""), "")</f>
        <v>Clothing - Shoes</v>
      </c>
      <c r="G85" s="69" t="str">
        <f>_xlfn.IFNA(IF('Interactive Selection Sheet'!A39 = "", VLOOKUP('Interactive Selection Sheet'!$B39, 'Master List Import'!$A$1:$P$519, 5, FALSE), ""), "")</f>
        <v>Clothing - Shoes</v>
      </c>
      <c r="H85" s="69" t="str">
        <f>_xlfn.IFNA(IF('Interactive Selection Sheet'!A39 = "", VLOOKUP('Interactive Selection Sheet'!$B39, 'Master List Import'!$A$1:$P$519, 6, FALSE), ""), "")</f>
        <v>Both</v>
      </c>
      <c r="I85" s="72">
        <f>_xlfn.IFNA(IF('Interactive Selection Sheet'!A39 = "", VLOOKUP('Interactive Selection Sheet'!$B39, 'Master List Import'!$A$1:$P$519, 7, FALSE), ""), "")</f>
        <v>2.59</v>
      </c>
      <c r="J85" s="69" t="str">
        <f>_xlfn.IFNA(IF('Interactive Selection Sheet'!A39 = "", VLOOKUP('Interactive Selection Sheet'!$B39, 'Master List Import'!$A$1:$P$519, 8, FALSE), ""), "")</f>
        <v>REI</v>
      </c>
      <c r="K85" s="69" t="str">
        <f>_xlfn.IFNA(IF('Interactive Selection Sheet'!A39 = "", VLOOKUP('Interactive Selection Sheet'!$B39, 'Master List Import'!$A$1:$P$519, 9, FALSE), ""), "")</f>
        <v>901665</v>
      </c>
      <c r="L85" s="69">
        <f>_xlfn.IFNA(IF('Interactive Selection Sheet'!A39 = "", VLOOKUP('Interactive Selection Sheet'!$B39, 'Master List Import'!$A$1:$P$519, 10, FALSE), ""), "")</f>
        <v>0</v>
      </c>
      <c r="M85" s="69">
        <f>_xlfn.IFNA(IF('Interactive Selection Sheet'!A39 = "", VLOOKUP('Interactive Selection Sheet'!$B39, 'Master List Import'!$A$1:$P$519, 11, FALSE), ""), "")</f>
        <v>0</v>
      </c>
      <c r="N85" s="69">
        <f>_xlfn.IFNA(IF('Interactive Selection Sheet'!A39 = "", VLOOKUP('Interactive Selection Sheet'!$B39, 'Master List Import'!$A$1:$P$519, 12, FALSE), ""), "")</f>
        <v>1</v>
      </c>
      <c r="O85" s="69">
        <f>_xlfn.IFNA(IF('Interactive Selection Sheet'!A39 = "", VLOOKUP('Interactive Selection Sheet'!$B39, 'Master List Import'!$A$1:$P$519, 13, FALSE), ""), "")</f>
        <v>1705</v>
      </c>
      <c r="P85" s="69" t="str">
        <f>_xlfn.IFNA(IF('Interactive Selection Sheet'!A39 = "", VLOOKUP('Interactive Selection Sheet'!$B39, 'Master List Import'!$A$1:$P$519, 14, FALSE), ""), "")</f>
        <v>Shower Sandals (10)</v>
      </c>
      <c r="Q85" s="69">
        <f>_xlfn.IFNA(IF('Interactive Selection Sheet'!A39 = "", VLOOKUP('Interactive Selection Sheet'!$B39, 'Master List Import'!$A$1:$P$519, 15, FALSE), ""), "")</f>
        <v>1</v>
      </c>
      <c r="R85" s="74">
        <f>_xlfn.IFNA(IF('Interactive Selection Sheet'!A39 = "", VLOOKUP('Interactive Selection Sheet'!$B39, 'Master List Import'!$A$1:$P$519, 16, FALSE), ""), "")</f>
        <v>8</v>
      </c>
    </row>
    <row r="86" spans="1:18" ht="21.75" customHeight="1" x14ac:dyDescent="0.25">
      <c r="A86" s="69">
        <f>_xlfn.IFNA(IF('Interactive Selection Sheet'!A40 = "", VLOOKUP('Interactive Selection Sheet'!$B40, 'Master List Import'!$A$1:$P$519, 2, FALSE), ""), "")</f>
        <v>1707</v>
      </c>
      <c r="B86" s="69" t="str">
        <f>_xlfn.IFNA(IF('Interactive Selection Sheet'!A40 = "", VLOOKUP('Interactive Selection Sheet'!$B40, 'Master List Import'!$A$1:$P$519, 3, FALSE), ""), "")</f>
        <v>Basket-Weave Shower Sandal, Orange, PVC - Size 12</v>
      </c>
      <c r="C86" s="76">
        <f>IF('Interactive Selection Sheet'!$T$2="", "", IF(B86="","",'Interactive Selection Sheet'!$T$2))</f>
        <v>3.5000000000000003E-2</v>
      </c>
      <c r="D86" s="70">
        <f>IF(B86 = "", "", 'Interactive Selection Sheet'!$Q$2)</f>
        <v>4.4999999999999998E-2</v>
      </c>
      <c r="E86" s="70">
        <f>IF(B86="","", 'Interactive Selection Sheet'!$R$2)</f>
        <v>0.02</v>
      </c>
      <c r="F86" s="69" t="str">
        <f>_xlfn.IFNA(IF('Interactive Selection Sheet'!A40 = "", VLOOKUP('Interactive Selection Sheet'!$B40, 'Master List Import'!$A$1:$P$519, 4, FALSE), ""), "")</f>
        <v>Clothing - Shoes</v>
      </c>
      <c r="G86" s="69" t="str">
        <f>_xlfn.IFNA(IF('Interactive Selection Sheet'!A40 = "", VLOOKUP('Interactive Selection Sheet'!$B40, 'Master List Import'!$A$1:$P$519, 5, FALSE), ""), "")</f>
        <v>Clothing - Shoes</v>
      </c>
      <c r="H86" s="69" t="str">
        <f>_xlfn.IFNA(IF('Interactive Selection Sheet'!A40 = "", VLOOKUP('Interactive Selection Sheet'!$B40, 'Master List Import'!$A$1:$P$519, 6, FALSE), ""), "")</f>
        <v>Both</v>
      </c>
      <c r="I86" s="72">
        <f>_xlfn.IFNA(IF('Interactive Selection Sheet'!A40 = "", VLOOKUP('Interactive Selection Sheet'!$B40, 'Master List Import'!$A$1:$P$519, 7, FALSE), ""), "")</f>
        <v>2.59</v>
      </c>
      <c r="J86" s="69" t="str">
        <f>_xlfn.IFNA(IF('Interactive Selection Sheet'!A40 = "", VLOOKUP('Interactive Selection Sheet'!$B40, 'Master List Import'!$A$1:$P$519, 8, FALSE), ""), "")</f>
        <v>REI</v>
      </c>
      <c r="K86" s="69" t="str">
        <f>_xlfn.IFNA(IF('Interactive Selection Sheet'!A40 = "", VLOOKUP('Interactive Selection Sheet'!$B40, 'Master List Import'!$A$1:$P$519, 9, FALSE), ""), "")</f>
        <v>901667</v>
      </c>
      <c r="L86" s="69">
        <f>_xlfn.IFNA(IF('Interactive Selection Sheet'!A40 = "", VLOOKUP('Interactive Selection Sheet'!$B40, 'Master List Import'!$A$1:$P$519, 10, FALSE), ""), "")</f>
        <v>0</v>
      </c>
      <c r="M86" s="69">
        <f>_xlfn.IFNA(IF('Interactive Selection Sheet'!A40 = "", VLOOKUP('Interactive Selection Sheet'!$B40, 'Master List Import'!$A$1:$P$519, 11, FALSE), ""), "")</f>
        <v>0</v>
      </c>
      <c r="N86" s="69">
        <f>_xlfn.IFNA(IF('Interactive Selection Sheet'!A40 = "", VLOOKUP('Interactive Selection Sheet'!$B40, 'Master List Import'!$A$1:$P$519, 12, FALSE), ""), "")</f>
        <v>1</v>
      </c>
      <c r="O86" s="69">
        <f>_xlfn.IFNA(IF('Interactive Selection Sheet'!A40 = "", VLOOKUP('Interactive Selection Sheet'!$B40, 'Master List Import'!$A$1:$P$519, 13, FALSE), ""), "")</f>
        <v>1707</v>
      </c>
      <c r="P86" s="69" t="str">
        <f>_xlfn.IFNA(IF('Interactive Selection Sheet'!A40 = "", VLOOKUP('Interactive Selection Sheet'!$B40, 'Master List Import'!$A$1:$P$519, 14, FALSE), ""), "")</f>
        <v>Shower Sandals (12)</v>
      </c>
      <c r="Q86" s="69">
        <f>_xlfn.IFNA(IF('Interactive Selection Sheet'!A40 = "", VLOOKUP('Interactive Selection Sheet'!$B40, 'Master List Import'!$A$1:$P$519, 15, FALSE), ""), "")</f>
        <v>1</v>
      </c>
      <c r="R86" s="74">
        <f>_xlfn.IFNA(IF('Interactive Selection Sheet'!A40 = "", VLOOKUP('Interactive Selection Sheet'!$B40, 'Master List Import'!$A$1:$P$519, 16, FALSE), ""), "")</f>
        <v>8</v>
      </c>
    </row>
    <row r="87" spans="1:18" ht="21.75" customHeight="1" x14ac:dyDescent="0.25">
      <c r="A87" s="69">
        <f>_xlfn.IFNA(IF('Interactive Selection Sheet'!A41 = "", VLOOKUP('Interactive Selection Sheet'!$B41, 'Master List Import'!$A$1:$P$519, 2, FALSE), ""), "")</f>
        <v>1708</v>
      </c>
      <c r="B87" s="69" t="str">
        <f>_xlfn.IFNA(IF('Interactive Selection Sheet'!A41 = "", VLOOKUP('Interactive Selection Sheet'!$B41, 'Master List Import'!$A$1:$P$519, 3, FALSE), ""), "")</f>
        <v>Basket-Weave Shower Sandal, Orange, PVC - Size 14</v>
      </c>
      <c r="C87" s="76">
        <f>IF('Interactive Selection Sheet'!$T$2="", "", IF(B87="","",'Interactive Selection Sheet'!$T$2))</f>
        <v>3.5000000000000003E-2</v>
      </c>
      <c r="D87" s="70">
        <f>IF(B87 = "", "", 'Interactive Selection Sheet'!$Q$2)</f>
        <v>4.4999999999999998E-2</v>
      </c>
      <c r="E87" s="70">
        <f>IF(B87="","", 'Interactive Selection Sheet'!$R$2)</f>
        <v>0.02</v>
      </c>
      <c r="F87" s="69" t="str">
        <f>_xlfn.IFNA(IF('Interactive Selection Sheet'!A41 = "", VLOOKUP('Interactive Selection Sheet'!$B41, 'Master List Import'!$A$1:$P$519, 4, FALSE), ""), "")</f>
        <v>Clothing - Shoes</v>
      </c>
      <c r="G87" s="69" t="str">
        <f>_xlfn.IFNA(IF('Interactive Selection Sheet'!A41 = "", VLOOKUP('Interactive Selection Sheet'!$B41, 'Master List Import'!$A$1:$P$519, 5, FALSE), ""), "")</f>
        <v>Clothing - Shoes</v>
      </c>
      <c r="H87" s="69" t="str">
        <f>_xlfn.IFNA(IF('Interactive Selection Sheet'!A41 = "", VLOOKUP('Interactive Selection Sheet'!$B41, 'Master List Import'!$A$1:$P$519, 6, FALSE), ""), "")</f>
        <v>Both</v>
      </c>
      <c r="I87" s="72">
        <f>_xlfn.IFNA(IF('Interactive Selection Sheet'!A41 = "", VLOOKUP('Interactive Selection Sheet'!$B41, 'Master List Import'!$A$1:$P$519, 7, FALSE), ""), "")</f>
        <v>2.59</v>
      </c>
      <c r="J87" s="69" t="str">
        <f>_xlfn.IFNA(IF('Interactive Selection Sheet'!A41 = "", VLOOKUP('Interactive Selection Sheet'!$B41, 'Master List Import'!$A$1:$P$519, 8, FALSE), ""), "")</f>
        <v>REI</v>
      </c>
      <c r="K87" s="69" t="str">
        <f>_xlfn.IFNA(IF('Interactive Selection Sheet'!A41 = "", VLOOKUP('Interactive Selection Sheet'!$B41, 'Master List Import'!$A$1:$P$519, 9, FALSE), ""), "")</f>
        <v>901669</v>
      </c>
      <c r="L87" s="69">
        <f>_xlfn.IFNA(IF('Interactive Selection Sheet'!A41 = "", VLOOKUP('Interactive Selection Sheet'!$B41, 'Master List Import'!$A$1:$P$519, 10, FALSE), ""), "")</f>
        <v>0</v>
      </c>
      <c r="M87" s="69">
        <f>_xlfn.IFNA(IF('Interactive Selection Sheet'!A41 = "", VLOOKUP('Interactive Selection Sheet'!$B41, 'Master List Import'!$A$1:$P$519, 11, FALSE), ""), "")</f>
        <v>0</v>
      </c>
      <c r="N87" s="69">
        <f>_xlfn.IFNA(IF('Interactive Selection Sheet'!A41 = "", VLOOKUP('Interactive Selection Sheet'!$B41, 'Master List Import'!$A$1:$P$519, 12, FALSE), ""), "")</f>
        <v>1</v>
      </c>
      <c r="O87" s="69">
        <f>_xlfn.IFNA(IF('Interactive Selection Sheet'!A41 = "", VLOOKUP('Interactive Selection Sheet'!$B41, 'Master List Import'!$A$1:$P$519, 13, FALSE), ""), "")</f>
        <v>1708</v>
      </c>
      <c r="P87" s="69" t="str">
        <f>_xlfn.IFNA(IF('Interactive Selection Sheet'!A41 = "", VLOOKUP('Interactive Selection Sheet'!$B41, 'Master List Import'!$A$1:$P$519, 14, FALSE), ""), "")</f>
        <v>Shower Sandals (14)</v>
      </c>
      <c r="Q87" s="69">
        <f>_xlfn.IFNA(IF('Interactive Selection Sheet'!A41 = "", VLOOKUP('Interactive Selection Sheet'!$B41, 'Master List Import'!$A$1:$P$519, 15, FALSE), ""), "")</f>
        <v>1</v>
      </c>
      <c r="R87" s="74">
        <f>_xlfn.IFNA(IF('Interactive Selection Sheet'!A41 = "", VLOOKUP('Interactive Selection Sheet'!$B41, 'Master List Import'!$A$1:$P$519, 16, FALSE), ""), "")</f>
        <v>8</v>
      </c>
    </row>
    <row r="88" spans="1:18" ht="21.75" customHeight="1" x14ac:dyDescent="0.25">
      <c r="A88" s="69">
        <f>_xlfn.IFNA(IF('Interactive Selection Sheet'!A42 = "", VLOOKUP('Interactive Selection Sheet'!$B42, 'Master List Import'!$A$1:$P$519, 2, FALSE), ""), "")</f>
        <v>1710</v>
      </c>
      <c r="B88" s="69" t="str">
        <f>_xlfn.IFNA(IF('Interactive Selection Sheet'!A42 = "", VLOOKUP('Interactive Selection Sheet'!$B42, 'Master List Import'!$A$1:$P$519, 3, FALSE), ""), "")</f>
        <v>Basket-Weave Shower Sandal, Orange, PVC - Size 17</v>
      </c>
      <c r="C88" s="76">
        <f>IF('Interactive Selection Sheet'!$T$2="", "", IF(B88="","",'Interactive Selection Sheet'!$T$2))</f>
        <v>3.5000000000000003E-2</v>
      </c>
      <c r="D88" s="70">
        <f>IF(B88 = "", "", 'Interactive Selection Sheet'!$Q$2)</f>
        <v>4.4999999999999998E-2</v>
      </c>
      <c r="E88" s="70">
        <f>IF(B88="","", 'Interactive Selection Sheet'!$R$2)</f>
        <v>0.02</v>
      </c>
      <c r="F88" s="69" t="str">
        <f>_xlfn.IFNA(IF('Interactive Selection Sheet'!A42 = "", VLOOKUP('Interactive Selection Sheet'!$B42, 'Master List Import'!$A$1:$P$519, 4, FALSE), ""), "")</f>
        <v>Clothing - Shoes</v>
      </c>
      <c r="G88" s="69" t="str">
        <f>_xlfn.IFNA(IF('Interactive Selection Sheet'!A42 = "", VLOOKUP('Interactive Selection Sheet'!$B42, 'Master List Import'!$A$1:$P$519, 5, FALSE), ""), "")</f>
        <v>Clothing - Shoes</v>
      </c>
      <c r="H88" s="69" t="str">
        <f>_xlfn.IFNA(IF('Interactive Selection Sheet'!A42 = "", VLOOKUP('Interactive Selection Sheet'!$B42, 'Master List Import'!$A$1:$P$519, 6, FALSE), ""), "")</f>
        <v>Both</v>
      </c>
      <c r="I88" s="72">
        <f>_xlfn.IFNA(IF('Interactive Selection Sheet'!A42 = "", VLOOKUP('Interactive Selection Sheet'!$B42, 'Master List Import'!$A$1:$P$519, 7, FALSE), ""), "")</f>
        <v>2.59</v>
      </c>
      <c r="J88" s="69" t="str">
        <f>_xlfn.IFNA(IF('Interactive Selection Sheet'!A42 = "", VLOOKUP('Interactive Selection Sheet'!$B42, 'Master List Import'!$A$1:$P$519, 8, FALSE), ""), "")</f>
        <v>REI</v>
      </c>
      <c r="K88" s="69" t="str">
        <f>_xlfn.IFNA(IF('Interactive Selection Sheet'!A42 = "", VLOOKUP('Interactive Selection Sheet'!$B42, 'Master List Import'!$A$1:$P$519, 9, FALSE), ""), "")</f>
        <v>901672</v>
      </c>
      <c r="L88" s="69">
        <f>_xlfn.IFNA(IF('Interactive Selection Sheet'!A42 = "", VLOOKUP('Interactive Selection Sheet'!$B42, 'Master List Import'!$A$1:$P$519, 10, FALSE), ""), "")</f>
        <v>0</v>
      </c>
      <c r="M88" s="69">
        <f>_xlfn.IFNA(IF('Interactive Selection Sheet'!A42 = "", VLOOKUP('Interactive Selection Sheet'!$B42, 'Master List Import'!$A$1:$P$519, 11, FALSE), ""), "")</f>
        <v>0</v>
      </c>
      <c r="N88" s="69">
        <f>_xlfn.IFNA(IF('Interactive Selection Sheet'!A42 = "", VLOOKUP('Interactive Selection Sheet'!$B42, 'Master List Import'!$A$1:$P$519, 12, FALSE), ""), "")</f>
        <v>1</v>
      </c>
      <c r="O88" s="69">
        <f>_xlfn.IFNA(IF('Interactive Selection Sheet'!A42 = "", VLOOKUP('Interactive Selection Sheet'!$B42, 'Master List Import'!$A$1:$P$519, 13, FALSE), ""), "")</f>
        <v>1710</v>
      </c>
      <c r="P88" s="69" t="str">
        <f>_xlfn.IFNA(IF('Interactive Selection Sheet'!A42 = "", VLOOKUP('Interactive Selection Sheet'!$B42, 'Master List Import'!$A$1:$P$519, 14, FALSE), ""), "")</f>
        <v>Shower Sandals (17)</v>
      </c>
      <c r="Q88" s="69">
        <f>_xlfn.IFNA(IF('Interactive Selection Sheet'!A42 = "", VLOOKUP('Interactive Selection Sheet'!$B42, 'Master List Import'!$A$1:$P$519, 15, FALSE), ""), "")</f>
        <v>1</v>
      </c>
      <c r="R88" s="74">
        <f>_xlfn.IFNA(IF('Interactive Selection Sheet'!A42 = "", VLOOKUP('Interactive Selection Sheet'!$B42, 'Master List Import'!$A$1:$P$519, 16, FALSE), ""), "")</f>
        <v>8</v>
      </c>
    </row>
    <row r="89" spans="1:18" ht="21.75" customHeight="1" x14ac:dyDescent="0.25">
      <c r="A89" s="69">
        <f>_xlfn.IFNA(IF('Interactive Selection Sheet'!$K30= "", VLOOKUP('Interactive Selection Sheet'!$L30, 'Master List Import'!$A$1:$P$519, 2, FALSE), ""), "")</f>
        <v>1800</v>
      </c>
      <c r="B89" s="69" t="str">
        <f>_xlfn.IFNA(IF('Interactive Selection Sheet'!$K30= "", VLOOKUP('Interactive Selection Sheet'!$L30, 'Master List Import'!$A$1:$P$519, 3, FALSE), ""), "")</f>
        <v>Wash Cloth, 1lb White - 12/cs</v>
      </c>
      <c r="C89" s="76">
        <f>IF('Interactive Selection Sheet'!$T$2="", "", IF(B89="","",'Interactive Selection Sheet'!$T$2))</f>
        <v>3.5000000000000003E-2</v>
      </c>
      <c r="D89" s="70">
        <f>IF(B89 = "", "", 'Interactive Selection Sheet'!$Q$2)</f>
        <v>4.4999999999999998E-2</v>
      </c>
      <c r="E89" s="70">
        <f>IF(B89="","", 'Interactive Selection Sheet'!$R$2)</f>
        <v>0.02</v>
      </c>
      <c r="F89" s="69" t="str">
        <f>_xlfn.IFNA(IF('Interactive Selection Sheet'!K30= "", VLOOKUP('Interactive Selection Sheet'!$L30, 'Master List Import'!$A$1:$P$519, 4, FALSE), ""), "")</f>
        <v>Laundry</v>
      </c>
      <c r="G89" s="69" t="str">
        <f>_xlfn.IFNA(IF('Interactive Selection Sheet'!K30= "", VLOOKUP('Interactive Selection Sheet'!$L30, 'Master List Import'!$A$1:$P$519, 5, FALSE), ""), "")</f>
        <v>Laundry</v>
      </c>
      <c r="H89" s="69" t="str">
        <f>_xlfn.IFNA(IF('Interactive Selection Sheet'!K30= "", VLOOKUP('Interactive Selection Sheet'!$L30, 'Master List Import'!$A$1:$P$519, 6, FALSE), ""), "")</f>
        <v>Both</v>
      </c>
      <c r="I89" s="72">
        <f>_xlfn.IFNA(IF('Interactive Selection Sheet'!K30= "", VLOOKUP('Interactive Selection Sheet'!$L30, 'Master List Import'!$A$1:$P$519, 7, FALSE), ""), "")</f>
        <v>0.24</v>
      </c>
      <c r="J89" s="69" t="str">
        <f>_xlfn.IFNA(IF('Interactive Selection Sheet'!K30= "", VLOOKUP('Interactive Selection Sheet'!$L30, 'Master List Import'!$A$1:$P$519, 8, FALSE), ""), "")</f>
        <v>REI</v>
      </c>
      <c r="K89" s="69" t="str">
        <f>_xlfn.IFNA(IF('Interactive Selection Sheet'!K30= "", VLOOKUP('Interactive Selection Sheet'!$L30, 'Master List Import'!$A$1:$P$519, 9, FALSE), ""), "")</f>
        <v>907106</v>
      </c>
      <c r="L89" s="69">
        <f>_xlfn.IFNA(IF('Interactive Selection Sheet'!K30= "", VLOOKUP('Interactive Selection Sheet'!$L30, 'Master List Import'!$A$1:$P$519, 10, FALSE), ""), "")</f>
        <v>0</v>
      </c>
      <c r="M89" s="69">
        <f>_xlfn.IFNA(IF('Interactive Selection Sheet'!K30= "", VLOOKUP('Interactive Selection Sheet'!$L30, 'Master List Import'!$A$1:$P$519, 11, FALSE), ""), "")</f>
        <v>0</v>
      </c>
      <c r="N89" s="69">
        <f>_xlfn.IFNA(IF('Interactive Selection Sheet'!K30= "", VLOOKUP('Interactive Selection Sheet'!$L30, 'Master List Import'!$A$1:$P$519, 12, FALSE), ""), "")</f>
        <v>12</v>
      </c>
      <c r="O89" s="69">
        <f>_xlfn.IFNA(IF('Interactive Selection Sheet'!K30= "", VLOOKUP('Interactive Selection Sheet'!$L30, 'Master List Import'!$A$1:$P$519, 13, FALSE), ""), "")</f>
        <v>1800</v>
      </c>
      <c r="P89" s="69" t="str">
        <f>_xlfn.IFNA(IF('Interactive Selection Sheet'!K30= "", VLOOKUP('Interactive Selection Sheet'!$L30, 'Master List Import'!$A$1:$P$519, 14, FALSE), ""), "")</f>
        <v>White Washcloth</v>
      </c>
      <c r="Q89" s="69">
        <f>_xlfn.IFNA(IF('Interactive Selection Sheet'!K30= "", VLOOKUP('Interactive Selection Sheet'!$L30, 'Master List Import'!$A$1:$P$519, 15, FALSE), ""), "")</f>
        <v>1</v>
      </c>
      <c r="R89" s="74">
        <f>_xlfn.IFNA(IF('Interactive Selection Sheet'!K30= "", VLOOKUP('Interactive Selection Sheet'!$L30, 'Master List Import'!$A$1:$P$519, 16, FALSE), ""), "")</f>
        <v>1</v>
      </c>
    </row>
    <row r="90" spans="1:18" ht="21.75" customHeight="1" x14ac:dyDescent="0.25">
      <c r="A90" s="69">
        <f>_xlfn.IFNA(IF('Interactive Selection Sheet'!$K31= "", VLOOKUP('Interactive Selection Sheet'!$L31, 'Master List Import'!$A$1:$P$519, 2, FALSE), ""), "")</f>
        <v>1810</v>
      </c>
      <c r="B90" s="69" t="str">
        <f>_xlfn.IFNA(IF('Interactive Selection Sheet'!$K31= "", VLOOKUP('Interactive Selection Sheet'!$L31, 'Master List Import'!$A$1:$P$519, 3, FALSE), ""), "")</f>
        <v>Wash Cloth, Beige</v>
      </c>
      <c r="C90" s="76">
        <f>IF('Interactive Selection Sheet'!$T$2="", "", IF(B90="","",'Interactive Selection Sheet'!$T$2))</f>
        <v>3.5000000000000003E-2</v>
      </c>
      <c r="D90" s="70">
        <f>IF(B90 = "", "", 'Interactive Selection Sheet'!$Q$2)</f>
        <v>4.4999999999999998E-2</v>
      </c>
      <c r="E90" s="70">
        <f>IF(B90="","", 'Interactive Selection Sheet'!$R$2)</f>
        <v>0.02</v>
      </c>
      <c r="F90" s="69" t="str">
        <f>_xlfn.IFNA(IF('Interactive Selection Sheet'!K31= "", VLOOKUP('Interactive Selection Sheet'!$L31, 'Master List Import'!$A$1:$P$519, 4, FALSE), ""), "")</f>
        <v>Laundry</v>
      </c>
      <c r="G90" s="69" t="str">
        <f>_xlfn.IFNA(IF('Interactive Selection Sheet'!K31= "", VLOOKUP('Interactive Selection Sheet'!$L31, 'Master List Import'!$A$1:$P$519, 5, FALSE), ""), "")</f>
        <v>Laundry</v>
      </c>
      <c r="H90" s="69" t="str">
        <f>_xlfn.IFNA(IF('Interactive Selection Sheet'!K31= "", VLOOKUP('Interactive Selection Sheet'!$L31, 'Master List Import'!$A$1:$P$519, 6, FALSE), ""), "")</f>
        <v>Both</v>
      </c>
      <c r="I90" s="72">
        <f>_xlfn.IFNA(IF('Interactive Selection Sheet'!K31= "", VLOOKUP('Interactive Selection Sheet'!$L31, 'Master List Import'!$A$1:$P$519, 7, FALSE), ""), "")</f>
        <v>0.74909999999999999</v>
      </c>
      <c r="J90" s="69" t="str">
        <f>_xlfn.IFNA(IF('Interactive Selection Sheet'!K31= "", VLOOKUP('Interactive Selection Sheet'!$L31, 'Master List Import'!$A$1:$P$519, 8, FALSE), ""), "")</f>
        <v>Towel Hub</v>
      </c>
      <c r="K90" s="69" t="str">
        <f>_xlfn.IFNA(IF('Interactive Selection Sheet'!K31= "", VLOOKUP('Interactive Selection Sheet'!$L31, 'Master List Import'!$A$1:$P$519, 9, FALSE), ""), "")</f>
        <v>BE1313-PP</v>
      </c>
      <c r="L90" s="69">
        <f>_xlfn.IFNA(IF('Interactive Selection Sheet'!K31= "", VLOOKUP('Interactive Selection Sheet'!$L31, 'Master List Import'!$A$1:$P$519, 10, FALSE), ""), "")</f>
        <v>0</v>
      </c>
      <c r="M90" s="69">
        <f>_xlfn.IFNA(IF('Interactive Selection Sheet'!K31= "", VLOOKUP('Interactive Selection Sheet'!$L31, 'Master List Import'!$A$1:$P$519, 11, FALSE), ""), "")</f>
        <v>0</v>
      </c>
      <c r="N90" s="69">
        <f>_xlfn.IFNA(IF('Interactive Selection Sheet'!K31= "", VLOOKUP('Interactive Selection Sheet'!$L31, 'Master List Import'!$A$1:$P$519, 12, FALSE), ""), "")</f>
        <v>12</v>
      </c>
      <c r="O90" s="69">
        <f>_xlfn.IFNA(IF('Interactive Selection Sheet'!K31= "", VLOOKUP('Interactive Selection Sheet'!$L31, 'Master List Import'!$A$1:$P$519, 13, FALSE), ""), "")</f>
        <v>1810</v>
      </c>
      <c r="P90" s="69" t="str">
        <f>_xlfn.IFNA(IF('Interactive Selection Sheet'!K31= "", VLOOKUP('Interactive Selection Sheet'!$L31, 'Master List Import'!$A$1:$P$519, 14, FALSE), ""), "")</f>
        <v>Tan Washcloth</v>
      </c>
      <c r="Q90" s="69">
        <f>_xlfn.IFNA(IF('Interactive Selection Sheet'!K31= "", VLOOKUP('Interactive Selection Sheet'!$L31, 'Master List Import'!$A$1:$P$519, 15, FALSE), ""), "")</f>
        <v>1</v>
      </c>
      <c r="R90" s="74">
        <f>_xlfn.IFNA(IF('Interactive Selection Sheet'!K31= "", VLOOKUP('Interactive Selection Sheet'!$L31, 'Master List Import'!$A$1:$P$519, 16, FALSE), ""), "")</f>
        <v>5</v>
      </c>
    </row>
    <row r="91" spans="1:18" ht="21.75" customHeight="1" x14ac:dyDescent="0.25">
      <c r="A91" s="69">
        <f>_xlfn.IFNA(IF('Interactive Selection Sheet'!$K32= "", VLOOKUP('Interactive Selection Sheet'!$L32, 'Master List Import'!$A$1:$P$519, 2, FALSE), ""), "")</f>
        <v>1820</v>
      </c>
      <c r="B91" s="69" t="str">
        <f>_xlfn.IFNA(IF('Interactive Selection Sheet'!$K32= "", VLOOKUP('Interactive Selection Sheet'!$L32, 'Master List Import'!$A$1:$P$519, 3, FALSE), ""), "")</f>
        <v>Blue Washcloth</v>
      </c>
      <c r="C91" s="76">
        <f>IF('Interactive Selection Sheet'!$T$2="", "", IF(B91="","",'Interactive Selection Sheet'!$T$2))</f>
        <v>3.5000000000000003E-2</v>
      </c>
      <c r="D91" s="70">
        <f>IF(B91 = "", "", 'Interactive Selection Sheet'!$Q$2)</f>
        <v>4.4999999999999998E-2</v>
      </c>
      <c r="E91" s="70">
        <f>IF(B91="","", 'Interactive Selection Sheet'!$R$2)</f>
        <v>0.02</v>
      </c>
      <c r="F91" s="69" t="str">
        <f>_xlfn.IFNA(IF('Interactive Selection Sheet'!K32= "", VLOOKUP('Interactive Selection Sheet'!$L32, 'Master List Import'!$A$1:$P$519, 4, FALSE), ""), "")</f>
        <v>Laundry</v>
      </c>
      <c r="G91" s="69" t="str">
        <f>_xlfn.IFNA(IF('Interactive Selection Sheet'!K32= "", VLOOKUP('Interactive Selection Sheet'!$L32, 'Master List Import'!$A$1:$P$519, 5, FALSE), ""), "")</f>
        <v>Laundry</v>
      </c>
      <c r="H91" s="69" t="str">
        <f>_xlfn.IFNA(IF('Interactive Selection Sheet'!K32= "", VLOOKUP('Interactive Selection Sheet'!$L32, 'Master List Import'!$A$1:$P$519, 6, FALSE), ""), "")</f>
        <v>Both</v>
      </c>
      <c r="I91" s="72">
        <f>_xlfn.IFNA(IF('Interactive Selection Sheet'!K32= "", VLOOKUP('Interactive Selection Sheet'!$L32, 'Master List Import'!$A$1:$P$519, 7, FALSE), ""), "")</f>
        <v>0.6</v>
      </c>
      <c r="J91" s="69" t="str">
        <f>_xlfn.IFNA(IF('Interactive Selection Sheet'!K32= "", VLOOKUP('Interactive Selection Sheet'!$L32, 'Master List Import'!$A$1:$P$519, 8, FALSE), ""), "")</f>
        <v>REI</v>
      </c>
      <c r="K91" s="69" t="str">
        <f>_xlfn.IFNA(IF('Interactive Selection Sheet'!K32= "", VLOOKUP('Interactive Selection Sheet'!$L32, 'Master List Import'!$A$1:$P$519, 9, FALSE), ""), "")</f>
        <v>907120</v>
      </c>
      <c r="L91" s="69">
        <f>_xlfn.IFNA(IF('Interactive Selection Sheet'!K32= "", VLOOKUP('Interactive Selection Sheet'!$L32, 'Master List Import'!$A$1:$P$519, 10, FALSE), ""), "")</f>
        <v>0</v>
      </c>
      <c r="M91" s="69">
        <f>_xlfn.IFNA(IF('Interactive Selection Sheet'!K32= "", VLOOKUP('Interactive Selection Sheet'!$L32, 'Master List Import'!$A$1:$P$519, 11, FALSE), ""), "")</f>
        <v>0</v>
      </c>
      <c r="N91" s="69">
        <f>_xlfn.IFNA(IF('Interactive Selection Sheet'!K32= "", VLOOKUP('Interactive Selection Sheet'!$L32, 'Master List Import'!$A$1:$P$519, 12, FALSE), ""), "")</f>
        <v>1</v>
      </c>
      <c r="O91" s="69">
        <f>_xlfn.IFNA(IF('Interactive Selection Sheet'!K32= "", VLOOKUP('Interactive Selection Sheet'!$L32, 'Master List Import'!$A$1:$P$519, 13, FALSE), ""), "")</f>
        <v>1820</v>
      </c>
      <c r="P91" s="69" t="str">
        <f>_xlfn.IFNA(IF('Interactive Selection Sheet'!K32= "", VLOOKUP('Interactive Selection Sheet'!$L32, 'Master List Import'!$A$1:$P$519, 14, FALSE), ""), "")</f>
        <v>Blue Washcloth</v>
      </c>
      <c r="Q91" s="69">
        <f>_xlfn.IFNA(IF('Interactive Selection Sheet'!K32= "", VLOOKUP('Interactive Selection Sheet'!$L32, 'Master List Import'!$A$1:$P$519, 15, FALSE), ""), "")</f>
        <v>1</v>
      </c>
      <c r="R91" s="74">
        <f>_xlfn.IFNA(IF('Interactive Selection Sheet'!K32= "", VLOOKUP('Interactive Selection Sheet'!$L32, 'Master List Import'!$A$1:$P$519, 16, FALSE), ""), "")</f>
        <v>2.1</v>
      </c>
    </row>
    <row r="92" spans="1:18" ht="21.75" customHeight="1" x14ac:dyDescent="0.25">
      <c r="A92" s="69">
        <f>_xlfn.IFNA(IF('Interactive Selection Sheet'!$K81= "", VLOOKUP('Interactive Selection Sheet'!$L81, 'Master List Import'!$A$1:$P$519, 2, FALSE), ""), "")</f>
        <v>1850</v>
      </c>
      <c r="B92" s="69" t="str">
        <f>_xlfn.IFNA(IF('Interactive Selection Sheet'!$K81= "", VLOOKUP('Interactive Selection Sheet'!$L81, 'Master List Import'!$A$1:$P$519, 3, FALSE), ""), "")</f>
        <v>Bath Puffs (Hvy Wt) WHITE ONLY 12ct Barcode</v>
      </c>
      <c r="C92" s="76">
        <f>IF('Interactive Selection Sheet'!$T$2="", "", IF(B92="","",'Interactive Selection Sheet'!$T$2))</f>
        <v>3.5000000000000003E-2</v>
      </c>
      <c r="D92" s="70">
        <f>IF(B92 = "", "", 'Interactive Selection Sheet'!$Q$2)</f>
        <v>4.4999999999999998E-2</v>
      </c>
      <c r="E92" s="70">
        <f>IF(B92="","", 'Interactive Selection Sheet'!$R$2)</f>
        <v>0.02</v>
      </c>
      <c r="F92" s="69" t="str">
        <f>_xlfn.IFNA(IF('Interactive Selection Sheet'!K81= "", VLOOKUP('Interactive Selection Sheet'!$L81, 'Master List Import'!$A$1:$P$519, 4, FALSE), ""), "")</f>
        <v>Hygiene</v>
      </c>
      <c r="G92" s="69" t="str">
        <f>_xlfn.IFNA(IF('Interactive Selection Sheet'!K81= "", VLOOKUP('Interactive Selection Sheet'!$L81, 'Master List Import'!$A$1:$P$519, 5, FALSE), ""), "")</f>
        <v>Hygiene</v>
      </c>
      <c r="H92" s="69" t="str">
        <f>_xlfn.IFNA(IF('Interactive Selection Sheet'!K81= "", VLOOKUP('Interactive Selection Sheet'!$L81, 'Master List Import'!$A$1:$P$519, 6, FALSE), ""), "")</f>
        <v>Both</v>
      </c>
      <c r="I92" s="72">
        <f>_xlfn.IFNA(IF('Interactive Selection Sheet'!K81= "", VLOOKUP('Interactive Selection Sheet'!$L81, 'Master List Import'!$A$1:$P$519, 7, FALSE), ""), "")</f>
        <v>0.75</v>
      </c>
      <c r="J92" s="69" t="str">
        <f>_xlfn.IFNA(IF('Interactive Selection Sheet'!K81= "", VLOOKUP('Interactive Selection Sheet'!$L81, 'Master List Import'!$A$1:$P$519, 8, FALSE), ""), "")</f>
        <v>REI</v>
      </c>
      <c r="K92" s="69" t="str">
        <f>_xlfn.IFNA(IF('Interactive Selection Sheet'!K81= "", VLOOKUP('Interactive Selection Sheet'!$L81, 'Master List Import'!$A$1:$P$519, 9, FALSE), ""), "")</f>
        <v>603997</v>
      </c>
      <c r="L92" s="69">
        <f>_xlfn.IFNA(IF('Interactive Selection Sheet'!K81= "", VLOOKUP('Interactive Selection Sheet'!$L81, 'Master List Import'!$A$1:$P$519, 10, FALSE), ""), "")</f>
        <v>0</v>
      </c>
      <c r="M92" s="69">
        <f>_xlfn.IFNA(IF('Interactive Selection Sheet'!K81= "", VLOOKUP('Interactive Selection Sheet'!$L81, 'Master List Import'!$A$1:$P$519, 11, FALSE), ""), "")</f>
        <v>0</v>
      </c>
      <c r="N92" s="69">
        <f>_xlfn.IFNA(IF('Interactive Selection Sheet'!K81= "", VLOOKUP('Interactive Selection Sheet'!$L81, 'Master List Import'!$A$1:$P$519, 12, FALSE), ""), "")</f>
        <v>12</v>
      </c>
      <c r="O92" s="69">
        <f>_xlfn.IFNA(IF('Interactive Selection Sheet'!K81= "", VLOOKUP('Interactive Selection Sheet'!$L81, 'Master List Import'!$A$1:$P$519, 13, FALSE), ""), "")</f>
        <v>1850</v>
      </c>
      <c r="P92" s="69" t="str">
        <f>_xlfn.IFNA(IF('Interactive Selection Sheet'!K81= "", VLOOKUP('Interactive Selection Sheet'!$L81, 'Master List Import'!$A$1:$P$519, 14, FALSE), ""), "")</f>
        <v>Mesh Bath Pouf</v>
      </c>
      <c r="Q92" s="69">
        <f>_xlfn.IFNA(IF('Interactive Selection Sheet'!K81= "", VLOOKUP('Interactive Selection Sheet'!$L81, 'Master List Import'!$A$1:$P$519, 15, FALSE), ""), "")</f>
        <v>1</v>
      </c>
      <c r="R92" s="74">
        <f>_xlfn.IFNA(IF('Interactive Selection Sheet'!K81= "", VLOOKUP('Interactive Selection Sheet'!$L81, 'Master List Import'!$A$1:$P$519, 16, FALSE), ""), "")</f>
        <v>2.75</v>
      </c>
    </row>
    <row r="93" spans="1:18" ht="21.75" customHeight="1" x14ac:dyDescent="0.25">
      <c r="A93" s="69">
        <f>_xlfn.IFNA(IF('Interactive Selection Sheet'!$K26= "", VLOOKUP('Interactive Selection Sheet'!$L26, 'Master List Import'!$A$1:$P$519, 2, FALSE), ""), "")</f>
        <v>1900</v>
      </c>
      <c r="B93" s="69" t="str">
        <f>_xlfn.IFNA(IF('Interactive Selection Sheet'!$K26= "", VLOOKUP('Interactive Selection Sheet'!$L26, 'Master List Import'!$A$1:$P$519, 3, FALSE), ""), "")</f>
        <v>Towel, 5lb White, 20 x 40</v>
      </c>
      <c r="C93" s="76">
        <f>IF('Interactive Selection Sheet'!$T$2="", "", IF(B93="","",'Interactive Selection Sheet'!$T$2))</f>
        <v>3.5000000000000003E-2</v>
      </c>
      <c r="D93" s="70">
        <f>IF(B93 = "", "", 'Interactive Selection Sheet'!$Q$2)</f>
        <v>4.4999999999999998E-2</v>
      </c>
      <c r="E93" s="70">
        <f>IF(B93="","", 'Interactive Selection Sheet'!$R$2)</f>
        <v>0.02</v>
      </c>
      <c r="F93" s="69" t="str">
        <f>_xlfn.IFNA(IF('Interactive Selection Sheet'!K26= "", VLOOKUP('Interactive Selection Sheet'!$L26, 'Master List Import'!$A$1:$P$519, 4, FALSE), ""), "")</f>
        <v>Laundry</v>
      </c>
      <c r="G93" s="69" t="str">
        <f>_xlfn.IFNA(IF('Interactive Selection Sheet'!K26= "", VLOOKUP('Interactive Selection Sheet'!$L26, 'Master List Import'!$A$1:$P$519, 5, FALSE), ""), "")</f>
        <v>Laundry</v>
      </c>
      <c r="H93" s="69" t="str">
        <f>_xlfn.IFNA(IF('Interactive Selection Sheet'!K26= "", VLOOKUP('Interactive Selection Sheet'!$L26, 'Master List Import'!$A$1:$P$519, 6, FALSE), ""), "")</f>
        <v>Both</v>
      </c>
      <c r="I93" s="72">
        <f>_xlfn.IFNA(IF('Interactive Selection Sheet'!K26= "", VLOOKUP('Interactive Selection Sheet'!$L26, 'Master List Import'!$A$1:$P$519, 7, FALSE), ""), "")</f>
        <v>1.4</v>
      </c>
      <c r="J93" s="69" t="str">
        <f>_xlfn.IFNA(IF('Interactive Selection Sheet'!K26= "", VLOOKUP('Interactive Selection Sheet'!$L26, 'Master List Import'!$A$1:$P$519, 8, FALSE), ""), "")</f>
        <v>REI</v>
      </c>
      <c r="K93" s="69" t="str">
        <f>_xlfn.IFNA(IF('Interactive Selection Sheet'!K26= "", VLOOKUP('Interactive Selection Sheet'!$L26, 'Master List Import'!$A$1:$P$519, 9, FALSE), ""), "")</f>
        <v>907000</v>
      </c>
      <c r="L93" s="69">
        <f>_xlfn.IFNA(IF('Interactive Selection Sheet'!K26= "", VLOOKUP('Interactive Selection Sheet'!$L26, 'Master List Import'!$A$1:$P$519, 10, FALSE), ""), "")</f>
        <v>0</v>
      </c>
      <c r="M93" s="69">
        <f>_xlfn.IFNA(IF('Interactive Selection Sheet'!K26= "", VLOOKUP('Interactive Selection Sheet'!$L26, 'Master List Import'!$A$1:$P$519, 11, FALSE), ""), "")</f>
        <v>0</v>
      </c>
      <c r="N93" s="69">
        <f>_xlfn.IFNA(IF('Interactive Selection Sheet'!K26= "", VLOOKUP('Interactive Selection Sheet'!$L26, 'Master List Import'!$A$1:$P$519, 12, FALSE), ""), "")</f>
        <v>1</v>
      </c>
      <c r="O93" s="69">
        <f>_xlfn.IFNA(IF('Interactive Selection Sheet'!K26= "", VLOOKUP('Interactive Selection Sheet'!$L26, 'Master List Import'!$A$1:$P$519, 13, FALSE), ""), "")</f>
        <v>1900</v>
      </c>
      <c r="P93" s="69" t="str">
        <f>_xlfn.IFNA(IF('Interactive Selection Sheet'!K26= "", VLOOKUP('Interactive Selection Sheet'!$L26, 'Master List Import'!$A$1:$P$519, 14, FALSE), ""), "")</f>
        <v>White Bath Towel (Sm)</v>
      </c>
      <c r="Q93" s="69">
        <f>_xlfn.IFNA(IF('Interactive Selection Sheet'!K26= "", VLOOKUP('Interactive Selection Sheet'!$L26, 'Master List Import'!$A$1:$P$519, 15, FALSE), ""), "")</f>
        <v>1</v>
      </c>
      <c r="R93" s="74">
        <f>_xlfn.IFNA(IF('Interactive Selection Sheet'!K26= "", VLOOKUP('Interactive Selection Sheet'!$L26, 'Master List Import'!$A$1:$P$519, 16, FALSE), ""), "")</f>
        <v>5.6</v>
      </c>
    </row>
    <row r="94" spans="1:18" ht="21.75" customHeight="1" x14ac:dyDescent="0.25">
      <c r="A94" s="69">
        <f>_xlfn.IFNA(IF('Interactive Selection Sheet'!$K27= "", VLOOKUP('Interactive Selection Sheet'!$L27, 'Master List Import'!$A$1:$P$519, 2, FALSE), ""), "")</f>
        <v>1901</v>
      </c>
      <c r="B94" s="69" t="str">
        <f>_xlfn.IFNA(IF('Interactive Selection Sheet'!$K27= "", VLOOKUP('Interactive Selection Sheet'!$L27, 'Master List Import'!$A$1:$P$519, 3, FALSE), ""), "")</f>
        <v>Towel, 6lb White, 22 x 44</v>
      </c>
      <c r="C94" s="76">
        <f>IF('Interactive Selection Sheet'!$T$2="", "", IF(B94="","",'Interactive Selection Sheet'!$T$2))</f>
        <v>3.5000000000000003E-2</v>
      </c>
      <c r="D94" s="70">
        <f>IF(B94 = "", "", 'Interactive Selection Sheet'!$Q$2)</f>
        <v>4.4999999999999998E-2</v>
      </c>
      <c r="E94" s="70">
        <f>IF(B94="","", 'Interactive Selection Sheet'!$R$2)</f>
        <v>0.02</v>
      </c>
      <c r="F94" s="69" t="str">
        <f>_xlfn.IFNA(IF('Interactive Selection Sheet'!K27= "", VLOOKUP('Interactive Selection Sheet'!$L27, 'Master List Import'!$A$1:$P$519, 4, FALSE), ""), "")</f>
        <v>Laundry</v>
      </c>
      <c r="G94" s="69" t="str">
        <f>_xlfn.IFNA(IF('Interactive Selection Sheet'!K27= "", VLOOKUP('Interactive Selection Sheet'!$L27, 'Master List Import'!$A$1:$P$519, 5, FALSE), ""), "")</f>
        <v>Laundry</v>
      </c>
      <c r="H94" s="69" t="str">
        <f>_xlfn.IFNA(IF('Interactive Selection Sheet'!K27= "", VLOOKUP('Interactive Selection Sheet'!$L27, 'Master List Import'!$A$1:$P$519, 6, FALSE), ""), "")</f>
        <v>Both</v>
      </c>
      <c r="I94" s="72">
        <f>_xlfn.IFNA(IF('Interactive Selection Sheet'!K27= "", VLOOKUP('Interactive Selection Sheet'!$L27, 'Master List Import'!$A$1:$P$519, 7, FALSE), ""), "")</f>
        <v>1.5</v>
      </c>
      <c r="J94" s="69" t="str">
        <f>_xlfn.IFNA(IF('Interactive Selection Sheet'!K27= "", VLOOKUP('Interactive Selection Sheet'!$L27, 'Master List Import'!$A$1:$P$519, 8, FALSE), ""), "")</f>
        <v>REI</v>
      </c>
      <c r="K94" s="69" t="str">
        <f>_xlfn.IFNA(IF('Interactive Selection Sheet'!K27= "", VLOOKUP('Interactive Selection Sheet'!$L27, 'Master List Import'!$A$1:$P$519, 9, FALSE), ""), "")</f>
        <v>907001</v>
      </c>
      <c r="L94" s="69">
        <f>_xlfn.IFNA(IF('Interactive Selection Sheet'!K27= "", VLOOKUP('Interactive Selection Sheet'!$L27, 'Master List Import'!$A$1:$P$519, 10, FALSE), ""), "")</f>
        <v>0</v>
      </c>
      <c r="M94" s="69">
        <f>_xlfn.IFNA(IF('Interactive Selection Sheet'!K27= "", VLOOKUP('Interactive Selection Sheet'!$L27, 'Master List Import'!$A$1:$P$519, 11, FALSE), ""), "")</f>
        <v>0</v>
      </c>
      <c r="N94" s="69">
        <f>_xlfn.IFNA(IF('Interactive Selection Sheet'!K27= "", VLOOKUP('Interactive Selection Sheet'!$L27, 'Master List Import'!$A$1:$P$519, 12, FALSE), ""), "")</f>
        <v>1</v>
      </c>
      <c r="O94" s="69">
        <f>_xlfn.IFNA(IF('Interactive Selection Sheet'!K27= "", VLOOKUP('Interactive Selection Sheet'!$L27, 'Master List Import'!$A$1:$P$519, 13, FALSE), ""), "")</f>
        <v>1901</v>
      </c>
      <c r="P94" s="69" t="str">
        <f>_xlfn.IFNA(IF('Interactive Selection Sheet'!K27= "", VLOOKUP('Interactive Selection Sheet'!$L27, 'Master List Import'!$A$1:$P$519, 14, FALSE), ""), "")</f>
        <v>White Bath Towel (Md)</v>
      </c>
      <c r="Q94" s="69">
        <f>_xlfn.IFNA(IF('Interactive Selection Sheet'!K27= "", VLOOKUP('Interactive Selection Sheet'!$L27, 'Master List Import'!$A$1:$P$519, 15, FALSE), ""), "")</f>
        <v>1</v>
      </c>
      <c r="R94" s="74">
        <f>_xlfn.IFNA(IF('Interactive Selection Sheet'!K27= "", VLOOKUP('Interactive Selection Sheet'!$L27, 'Master List Import'!$A$1:$P$519, 16, FALSE), ""), "")</f>
        <v>5.8</v>
      </c>
    </row>
    <row r="95" spans="1:18" ht="21.75" customHeight="1" x14ac:dyDescent="0.25">
      <c r="A95" s="69">
        <f>_xlfn.IFNA(IF('Interactive Selection Sheet'!$K28= "", VLOOKUP('Interactive Selection Sheet'!$L28, 'Master List Import'!$A$1:$P$519, 2, FALSE), ""), "")</f>
        <v>1910</v>
      </c>
      <c r="B95" s="69" t="str">
        <f>_xlfn.IFNA(IF('Interactive Selection Sheet'!$K28= "", VLOOKUP('Interactive Selection Sheet'!$L28, 'Master List Import'!$A$1:$P$519, 3, FALSE), ""), "")</f>
        <v>Towel, Beige, 27 x 52</v>
      </c>
      <c r="C95" s="76">
        <f>IF('Interactive Selection Sheet'!$T$2="", "", IF(B95="","",'Interactive Selection Sheet'!$T$2))</f>
        <v>3.5000000000000003E-2</v>
      </c>
      <c r="D95" s="70">
        <f>IF(B95 = "", "", 'Interactive Selection Sheet'!$Q$2)</f>
        <v>4.4999999999999998E-2</v>
      </c>
      <c r="E95" s="70">
        <f>IF(B95="","", 'Interactive Selection Sheet'!$R$2)</f>
        <v>0.02</v>
      </c>
      <c r="F95" s="69" t="str">
        <f>_xlfn.IFNA(IF('Interactive Selection Sheet'!K28= "", VLOOKUP('Interactive Selection Sheet'!$L28, 'Master List Import'!$A$1:$P$519, 4, FALSE), ""), "")</f>
        <v>Laundry</v>
      </c>
      <c r="G95" s="69" t="str">
        <f>_xlfn.IFNA(IF('Interactive Selection Sheet'!K28= "", VLOOKUP('Interactive Selection Sheet'!$L28, 'Master List Import'!$A$1:$P$519, 5, FALSE), ""), "")</f>
        <v>Laundry</v>
      </c>
      <c r="H95" s="69" t="str">
        <f>_xlfn.IFNA(IF('Interactive Selection Sheet'!K28= "", VLOOKUP('Interactive Selection Sheet'!$L28, 'Master List Import'!$A$1:$P$519, 6, FALSE), ""), "")</f>
        <v>Both</v>
      </c>
      <c r="I95" s="72">
        <f>_xlfn.IFNA(IF('Interactive Selection Sheet'!K28= "", VLOOKUP('Interactive Selection Sheet'!$L28, 'Master List Import'!$A$1:$P$519, 7, FALSE), ""), "")</f>
        <v>3.75</v>
      </c>
      <c r="J95" s="69" t="str">
        <f>_xlfn.IFNA(IF('Interactive Selection Sheet'!K28= "", VLOOKUP('Interactive Selection Sheet'!$L28, 'Master List Import'!$A$1:$P$519, 8, FALSE), ""), "")</f>
        <v>REI</v>
      </c>
      <c r="K95" s="69" t="str">
        <f>_xlfn.IFNA(IF('Interactive Selection Sheet'!K28= "", VLOOKUP('Interactive Selection Sheet'!$L28, 'Master List Import'!$A$1:$P$519, 9, FALSE), ""), "")</f>
        <v>907011</v>
      </c>
      <c r="L95" s="69">
        <f>_xlfn.IFNA(IF('Interactive Selection Sheet'!K28= "", VLOOKUP('Interactive Selection Sheet'!$L28, 'Master List Import'!$A$1:$P$519, 10, FALSE), ""), "")</f>
        <v>0</v>
      </c>
      <c r="M95" s="69">
        <f>_xlfn.IFNA(IF('Interactive Selection Sheet'!K28= "", VLOOKUP('Interactive Selection Sheet'!$L28, 'Master List Import'!$A$1:$P$519, 11, FALSE), ""), "")</f>
        <v>0</v>
      </c>
      <c r="N95" s="69">
        <f>_xlfn.IFNA(IF('Interactive Selection Sheet'!K28= "", VLOOKUP('Interactive Selection Sheet'!$L28, 'Master List Import'!$A$1:$P$519, 12, FALSE), ""), "")</f>
        <v>1</v>
      </c>
      <c r="O95" s="69">
        <f>_xlfn.IFNA(IF('Interactive Selection Sheet'!K28= "", VLOOKUP('Interactive Selection Sheet'!$L28, 'Master List Import'!$A$1:$P$519, 13, FALSE), ""), "")</f>
        <v>1910</v>
      </c>
      <c r="P95" s="69" t="str">
        <f>_xlfn.IFNA(IF('Interactive Selection Sheet'!K28= "", VLOOKUP('Interactive Selection Sheet'!$L28, 'Master List Import'!$A$1:$P$519, 14, FALSE), ""), "")</f>
        <v>Tan Bath Towel (Lg)</v>
      </c>
      <c r="Q95" s="69">
        <f>_xlfn.IFNA(IF('Interactive Selection Sheet'!K28= "", VLOOKUP('Interactive Selection Sheet'!$L28, 'Master List Import'!$A$1:$P$519, 15, FALSE), ""), "")</f>
        <v>1</v>
      </c>
      <c r="R95" s="74">
        <f>_xlfn.IFNA(IF('Interactive Selection Sheet'!K28= "", VLOOKUP('Interactive Selection Sheet'!$L28, 'Master List Import'!$A$1:$P$519, 16, FALSE), ""), "")</f>
        <v>11</v>
      </c>
    </row>
    <row r="96" spans="1:18" ht="21.75" customHeight="1" x14ac:dyDescent="0.25">
      <c r="A96" s="69">
        <f>_xlfn.IFNA(IF('Interactive Selection Sheet'!$K29= "", VLOOKUP('Interactive Selection Sheet'!$L29, 'Master List Import'!$A$1:$P$519, 2, FALSE), ""), "")</f>
        <v>1920</v>
      </c>
      <c r="B96" s="69" t="str">
        <f>_xlfn.IFNA(IF('Interactive Selection Sheet'!$K29= "", VLOOKUP('Interactive Selection Sheet'!$L29, 'Master List Import'!$A$1:$P$519, 3, FALSE), ""), "")</f>
        <v>Blue Towels</v>
      </c>
      <c r="C96" s="76">
        <f>IF('Interactive Selection Sheet'!$T$2="", "", IF(B96="","",'Interactive Selection Sheet'!$T$2))</f>
        <v>3.5000000000000003E-2</v>
      </c>
      <c r="D96" s="70">
        <f>IF(B96 = "", "", 'Interactive Selection Sheet'!$Q$2)</f>
        <v>4.4999999999999998E-2</v>
      </c>
      <c r="E96" s="70">
        <f>IF(B96="","", 'Interactive Selection Sheet'!$R$2)</f>
        <v>0.02</v>
      </c>
      <c r="F96" s="69" t="str">
        <f>_xlfn.IFNA(IF('Interactive Selection Sheet'!K29= "", VLOOKUP('Interactive Selection Sheet'!$L29, 'Master List Import'!$A$1:$P$519, 4, FALSE), ""), "")</f>
        <v>Laundry</v>
      </c>
      <c r="G96" s="69" t="str">
        <f>_xlfn.IFNA(IF('Interactive Selection Sheet'!K29= "", VLOOKUP('Interactive Selection Sheet'!$L29, 'Master List Import'!$A$1:$P$519, 5, FALSE), ""), "")</f>
        <v>Laundry</v>
      </c>
      <c r="H96" s="69" t="str">
        <f>_xlfn.IFNA(IF('Interactive Selection Sheet'!K29= "", VLOOKUP('Interactive Selection Sheet'!$L29, 'Master List Import'!$A$1:$P$519, 6, FALSE), ""), "")</f>
        <v>Both</v>
      </c>
      <c r="I96" s="72">
        <f>_xlfn.IFNA(IF('Interactive Selection Sheet'!K29= "", VLOOKUP('Interactive Selection Sheet'!$L29, 'Master List Import'!$A$1:$P$519, 7, FALSE), ""), "")</f>
        <v>3</v>
      </c>
      <c r="J96" s="69" t="str">
        <f>_xlfn.IFNA(IF('Interactive Selection Sheet'!K29= "", VLOOKUP('Interactive Selection Sheet'!$L29, 'Master List Import'!$A$1:$P$519, 8, FALSE), ""), "")</f>
        <v>REI</v>
      </c>
      <c r="K96" s="69" t="str">
        <f>_xlfn.IFNA(IF('Interactive Selection Sheet'!K29= "", VLOOKUP('Interactive Selection Sheet'!$L29, 'Master List Import'!$A$1:$P$519, 9, FALSE), ""), "")</f>
        <v>907013</v>
      </c>
      <c r="L96" s="69">
        <f>_xlfn.IFNA(IF('Interactive Selection Sheet'!K29= "", VLOOKUP('Interactive Selection Sheet'!$L29, 'Master List Import'!$A$1:$P$519, 10, FALSE), ""), "")</f>
        <v>0</v>
      </c>
      <c r="M96" s="69">
        <f>_xlfn.IFNA(IF('Interactive Selection Sheet'!K29= "", VLOOKUP('Interactive Selection Sheet'!$L29, 'Master List Import'!$A$1:$P$519, 11, FALSE), ""), "")</f>
        <v>0</v>
      </c>
      <c r="N96" s="69">
        <f>_xlfn.IFNA(IF('Interactive Selection Sheet'!K29= "", VLOOKUP('Interactive Selection Sheet'!$L29, 'Master List Import'!$A$1:$P$519, 12, FALSE), ""), "")</f>
        <v>1</v>
      </c>
      <c r="O96" s="69">
        <f>_xlfn.IFNA(IF('Interactive Selection Sheet'!K29= "", VLOOKUP('Interactive Selection Sheet'!$L29, 'Master List Import'!$A$1:$P$519, 13, FALSE), ""), "")</f>
        <v>1920</v>
      </c>
      <c r="P96" s="69" t="str">
        <f>_xlfn.IFNA(IF('Interactive Selection Sheet'!K29= "", VLOOKUP('Interactive Selection Sheet'!$L29, 'Master List Import'!$A$1:$P$519, 14, FALSE), ""), "")</f>
        <v>Blue Bath Towel (Lg)</v>
      </c>
      <c r="Q96" s="69">
        <f>_xlfn.IFNA(IF('Interactive Selection Sheet'!K29= "", VLOOKUP('Interactive Selection Sheet'!$L29, 'Master List Import'!$A$1:$P$519, 15, FALSE), ""), "")</f>
        <v>1</v>
      </c>
      <c r="R96" s="74">
        <f>_xlfn.IFNA(IF('Interactive Selection Sheet'!K29= "", VLOOKUP('Interactive Selection Sheet'!$L29, 'Master List Import'!$A$1:$P$519, 16, FALSE), ""), "")</f>
        <v>10.5</v>
      </c>
    </row>
    <row r="97" spans="1:18" ht="21.75" customHeight="1" x14ac:dyDescent="0.25">
      <c r="A97" s="69">
        <f>_xlfn.IFNA(IF('Interactive Selection Sheet'!$K33= "", VLOOKUP('Interactive Selection Sheet'!$L33, 'Master List Import'!$A$1:$P$519, 2, FALSE), ""), "")</f>
        <v>2000</v>
      </c>
      <c r="B97" s="69" t="str">
        <f>_xlfn.IFNA(IF('Interactive Selection Sheet'!$K33= "", VLOOKUP('Interactive Selection Sheet'!$L33, 'Master List Import'!$A$1:$P$519, 3, FALSE), ""), "")</f>
        <v>Mesh Bag w/Drawstring, 24 x 36</v>
      </c>
      <c r="C97" s="76">
        <f>IF('Interactive Selection Sheet'!$T$2="", "", IF(B97="","",'Interactive Selection Sheet'!$T$2))</f>
        <v>3.5000000000000003E-2</v>
      </c>
      <c r="D97" s="70">
        <f>IF(B97 = "", "", 'Interactive Selection Sheet'!$Q$2)</f>
        <v>4.4999999999999998E-2</v>
      </c>
      <c r="E97" s="70">
        <f>IF(B97="","", 'Interactive Selection Sheet'!$R$2)</f>
        <v>0.02</v>
      </c>
      <c r="F97" s="69" t="str">
        <f>_xlfn.IFNA(IF('Interactive Selection Sheet'!K33= "", VLOOKUP('Interactive Selection Sheet'!$L33, 'Master List Import'!$A$1:$P$519, 4, FALSE), ""), "")</f>
        <v>Laundry</v>
      </c>
      <c r="G97" s="69" t="str">
        <f>_xlfn.IFNA(IF('Interactive Selection Sheet'!K33= "", VLOOKUP('Interactive Selection Sheet'!$L33, 'Master List Import'!$A$1:$P$519, 5, FALSE), ""), "")</f>
        <v>Laundry</v>
      </c>
      <c r="H97" s="69" t="str">
        <f>_xlfn.IFNA(IF('Interactive Selection Sheet'!K33= "", VLOOKUP('Interactive Selection Sheet'!$L33, 'Master List Import'!$A$1:$P$519, 6, FALSE), ""), "")</f>
        <v>Both</v>
      </c>
      <c r="I97" s="72">
        <f>_xlfn.IFNA(IF('Interactive Selection Sheet'!K33= "", VLOOKUP('Interactive Selection Sheet'!$L33, 'Master List Import'!$A$1:$P$519, 7, FALSE), ""), "")</f>
        <v>2.48</v>
      </c>
      <c r="J97" s="69" t="str">
        <f>_xlfn.IFNA(IF('Interactive Selection Sheet'!K33= "", VLOOKUP('Interactive Selection Sheet'!$L33, 'Master List Import'!$A$1:$P$519, 8, FALSE), ""), "")</f>
        <v>REI</v>
      </c>
      <c r="K97" s="69" t="str">
        <f>_xlfn.IFNA(IF('Interactive Selection Sheet'!K33= "", VLOOKUP('Interactive Selection Sheet'!$L33, 'Master List Import'!$A$1:$P$519, 9, FALSE), ""), "")</f>
        <v>907500</v>
      </c>
      <c r="L97" s="69">
        <f>_xlfn.IFNA(IF('Interactive Selection Sheet'!K33= "", VLOOKUP('Interactive Selection Sheet'!$L33, 'Master List Import'!$A$1:$P$519, 10, FALSE), ""), "")</f>
        <v>0</v>
      </c>
      <c r="M97" s="69">
        <f>_xlfn.IFNA(IF('Interactive Selection Sheet'!K33= "", VLOOKUP('Interactive Selection Sheet'!$L33, 'Master List Import'!$A$1:$P$519, 11, FALSE), ""), "")</f>
        <v>0</v>
      </c>
      <c r="N97" s="69">
        <f>_xlfn.IFNA(IF('Interactive Selection Sheet'!K33= "", VLOOKUP('Interactive Selection Sheet'!$L33, 'Master List Import'!$A$1:$P$519, 12, FALSE), ""), "")</f>
        <v>1</v>
      </c>
      <c r="O97" s="69">
        <f>_xlfn.IFNA(IF('Interactive Selection Sheet'!K33= "", VLOOKUP('Interactive Selection Sheet'!$L33, 'Master List Import'!$A$1:$P$519, 13, FALSE), ""), "")</f>
        <v>2000</v>
      </c>
      <c r="P97" s="69" t="str">
        <f>_xlfn.IFNA(IF('Interactive Selection Sheet'!K33= "", VLOOKUP('Interactive Selection Sheet'!$L33, 'Master List Import'!$A$1:$P$519, 14, FALSE), ""), "")</f>
        <v>Mesh Laundry Bag</v>
      </c>
      <c r="Q97" s="69">
        <f>_xlfn.IFNA(IF('Interactive Selection Sheet'!K33= "", VLOOKUP('Interactive Selection Sheet'!$L33, 'Master List Import'!$A$1:$P$519, 15, FALSE), ""), "")</f>
        <v>1</v>
      </c>
      <c r="R97" s="74">
        <f>_xlfn.IFNA(IF('Interactive Selection Sheet'!K33= "", VLOOKUP('Interactive Selection Sheet'!$L33, 'Master List Import'!$A$1:$P$519, 16, FALSE), ""), "")</f>
        <v>7.5</v>
      </c>
    </row>
    <row r="98" spans="1:18" ht="21.75" customHeight="1" x14ac:dyDescent="0.25">
      <c r="A98" s="69">
        <f>_xlfn.IFNA(IF('Interactive Selection Sheet'!P5= "", VLOOKUP('Interactive Selection Sheet'!Q5, 'Master List Import'!$A$1:$P$519, 2, FALSE), ""), "")</f>
        <v>2101</v>
      </c>
      <c r="B98" s="69" t="str">
        <f>_xlfn.IFNA(IF('Interactive Selection Sheet'!P5= "", VLOOKUP('Interactive Selection Sheet'!Q5, 'Master List Import'!$A$1:$P$519, 3, FALSE), ""), "")</f>
        <v>Side Combination Lock Metal (#22015) - 72ct</v>
      </c>
      <c r="C98" s="76">
        <f>IF('Interactive Selection Sheet'!$T$2="", "", IF(B98="","",'Interactive Selection Sheet'!$T$2))</f>
        <v>3.5000000000000003E-2</v>
      </c>
      <c r="D98" s="70">
        <f>IF(B98 = "", "", 'Interactive Selection Sheet'!$P$2)</f>
        <v>4.4999999999999998E-2</v>
      </c>
      <c r="E98" s="70">
        <f>IF(B98="","", 'Interactive Selection Sheet'!$R$2)</f>
        <v>0.02</v>
      </c>
      <c r="F98" s="69" t="str">
        <f>_xlfn.IFNA(IF('Interactive Selection Sheet'!F256= "", VLOOKUP('Interactive Selection Sheet'!Q5, 'Master List Import'!$A$1:$P$519, 4, FALSE), ""), "")</f>
        <v>Security</v>
      </c>
      <c r="G98" s="69" t="str">
        <f>_xlfn.IFNA(IF('Interactive Selection Sheet'!F256= "", VLOOKUP('Interactive Selection Sheet'!Q5, 'Master List Import'!$A$1:$P$519, 5, FALSE), ""), "")</f>
        <v>Security</v>
      </c>
      <c r="H98" s="69" t="str">
        <f>_xlfn.IFNA(IF('Interactive Selection Sheet'!F256= "", VLOOKUP('Interactive Selection Sheet'!Q5, 'Master List Import'!$A$1:$P$519, 6, FALSE), ""), "")</f>
        <v>Both</v>
      </c>
      <c r="I98" s="72">
        <f>_xlfn.IFNA(IF('Interactive Selection Sheet'!F256= "", VLOOKUP('Interactive Selection Sheet'!Q5, 'Master List Import'!$A$1:$P$519, 7, FALSE), ""), "")</f>
        <v>1.75</v>
      </c>
      <c r="J98" s="69" t="str">
        <f>_xlfn.IFNA(IF('Interactive Selection Sheet'!F256= "", VLOOKUP('Interactive Selection Sheet'!Q5, 'Master List Import'!$A$1:$P$519, 8, FALSE), ""), "")</f>
        <v>REI</v>
      </c>
      <c r="K98" s="69" t="str">
        <f>_xlfn.IFNA(IF('Interactive Selection Sheet'!F256= "", VLOOKUP('Interactive Selection Sheet'!Q5, 'Master List Import'!$A$1:$P$519, 9, FALSE), ""), "")</f>
        <v>542125</v>
      </c>
      <c r="L98" s="69">
        <f>_xlfn.IFNA(IF('Interactive Selection Sheet'!F256= "", VLOOKUP('Interactive Selection Sheet'!Q5, 'Master List Import'!$A$1:$P$519, 10, FALSE), ""), "")</f>
        <v>0</v>
      </c>
      <c r="M98" s="69">
        <f>_xlfn.IFNA(IF('Interactive Selection Sheet'!F256= "", VLOOKUP('Interactive Selection Sheet'!Q5, 'Master List Import'!$A$1:$P$519, 11, FALSE), ""), "")</f>
        <v>0</v>
      </c>
      <c r="N98" s="69">
        <f>_xlfn.IFNA(IF('Interactive Selection Sheet'!F256= "", VLOOKUP('Interactive Selection Sheet'!Q5, 'Master List Import'!$A$1:$P$519, 12, FALSE), ""), "")</f>
        <v>72</v>
      </c>
      <c r="O98" s="69">
        <f>_xlfn.IFNA(IF('Interactive Selection Sheet'!F256= "", VLOOKUP('Interactive Selection Sheet'!Q5, 'Master List Import'!$A$1:$P$519, 13, FALSE), ""), "")</f>
        <v>2101</v>
      </c>
      <c r="P98" s="69" t="str">
        <f>_xlfn.IFNA(IF('Interactive Selection Sheet'!F256= "", VLOOKUP('Interactive Selection Sheet'!Q5, 'Master List Import'!$A$1:$P$519, 14, FALSE), ""), "")</f>
        <v>Combination Padlock</v>
      </c>
      <c r="Q98" s="69">
        <f>_xlfn.IFNA(IF('Interactive Selection Sheet'!F256= "", VLOOKUP('Interactive Selection Sheet'!Q5, 'Master List Import'!$A$1:$P$519, 15, FALSE), ""), "")</f>
        <v>1</v>
      </c>
      <c r="R98" s="74">
        <f>_xlfn.IFNA(IF('Interactive Selection Sheet'!F256= "", VLOOKUP('Interactive Selection Sheet'!Q5, 'Master List Import'!$A$1:$P$519, 16, FALSE), ""), "")</f>
        <v>7</v>
      </c>
    </row>
    <row r="99" spans="1:18" ht="21.75" customHeight="1" x14ac:dyDescent="0.25">
      <c r="A99" s="69">
        <f>_xlfn.IFNA(IF('Interactive Selection Sheet'!A113 = "", VLOOKUP('Interactive Selection Sheet'!$B113, 'Master List Import'!$A$1:$P$519, 2, FALSE), ""), "")</f>
        <v>2200</v>
      </c>
      <c r="B99" s="69" t="str">
        <f>_xlfn.IFNA(IF('Interactive Selection Sheet'!A113 = "", VLOOKUP('Interactive Selection Sheet'!$B113, 'Master List Import'!$A$1:$P$519, 3, FALSE), ""), "")</f>
        <v>Bowl w/Lid, 24oz - 150/cs</v>
      </c>
      <c r="C99" s="76">
        <f>IF('Interactive Selection Sheet'!$T$2="", "", IF(B99="","",'Interactive Selection Sheet'!$T$2))</f>
        <v>3.5000000000000003E-2</v>
      </c>
      <c r="D99" s="70">
        <f>IF(B99 = "", "", 'Interactive Selection Sheet'!$Q$2)</f>
        <v>4.4999999999999998E-2</v>
      </c>
      <c r="E99" s="70">
        <f>IF(B99="","", 'Interactive Selection Sheet'!$R$2)</f>
        <v>0.02</v>
      </c>
      <c r="F99" s="69" t="str">
        <f>_xlfn.IFNA(IF('Interactive Selection Sheet'!A113 = "", VLOOKUP('Interactive Selection Sheet'!$B113, 'Master List Import'!$A$1:$P$519, 4, FALSE), ""), "")</f>
        <v>Grocery - Plasticware</v>
      </c>
      <c r="G99" s="69" t="str">
        <f>_xlfn.IFNA(IF('Interactive Selection Sheet'!A113 = "", VLOOKUP('Interactive Selection Sheet'!$B113, 'Master List Import'!$A$1:$P$519, 5, FALSE), ""), "")</f>
        <v>Grocery - Plasticware</v>
      </c>
      <c r="H99" s="69" t="str">
        <f>_xlfn.IFNA(IF('Interactive Selection Sheet'!A113 = "", VLOOKUP('Interactive Selection Sheet'!$B113, 'Master List Import'!$A$1:$P$519, 6, FALSE), ""), "")</f>
        <v>Both</v>
      </c>
      <c r="I99" s="72">
        <f>_xlfn.IFNA(IF('Interactive Selection Sheet'!A113 = "", VLOOKUP('Interactive Selection Sheet'!$B113, 'Master List Import'!$A$1:$P$519, 7, FALSE), ""), "")</f>
        <v>0.41799999999999998</v>
      </c>
      <c r="J99" s="69" t="str">
        <f>_xlfn.IFNA(IF('Interactive Selection Sheet'!A113 = "", VLOOKUP('Interactive Selection Sheet'!$B113, 'Master List Import'!$A$1:$P$519, 8, FALSE), ""), "")</f>
        <v>REI</v>
      </c>
      <c r="K99" s="69" t="str">
        <f>_xlfn.IFNA(IF('Interactive Selection Sheet'!A113 = "", VLOOKUP('Interactive Selection Sheet'!$B113, 'Master List Import'!$A$1:$P$519, 9, FALSE), ""), "")</f>
        <v>569557</v>
      </c>
      <c r="L99" s="69">
        <f>_xlfn.IFNA(IF('Interactive Selection Sheet'!A113 = "", VLOOKUP('Interactive Selection Sheet'!$B113, 'Master List Import'!$A$1:$P$519, 10, FALSE), ""), "")</f>
        <v>0</v>
      </c>
      <c r="M99" s="69">
        <f>_xlfn.IFNA(IF('Interactive Selection Sheet'!A113 = "", VLOOKUP('Interactive Selection Sheet'!$B113, 'Master List Import'!$A$1:$P$519, 11, FALSE), ""), "")</f>
        <v>0</v>
      </c>
      <c r="N99" s="69">
        <f>_xlfn.IFNA(IF('Interactive Selection Sheet'!A113 = "", VLOOKUP('Interactive Selection Sheet'!$B113, 'Master List Import'!$A$1:$P$519, 12, FALSE), ""), "")</f>
        <v>150</v>
      </c>
      <c r="O99" s="69">
        <f>_xlfn.IFNA(IF('Interactive Selection Sheet'!A113 = "", VLOOKUP('Interactive Selection Sheet'!$B113, 'Master List Import'!$A$1:$P$519, 13, FALSE), ""), "")</f>
        <v>2200</v>
      </c>
      <c r="P99" s="69" t="str">
        <f>_xlfn.IFNA(IF('Interactive Selection Sheet'!A113 = "", VLOOKUP('Interactive Selection Sheet'!$B113, 'Master List Import'!$A$1:$P$519, 14, FALSE), ""), "")</f>
        <v>Bowl w/Lid (24oz)</v>
      </c>
      <c r="Q99" s="69">
        <f>_xlfn.IFNA(IF('Interactive Selection Sheet'!A113 = "", VLOOKUP('Interactive Selection Sheet'!$B113, 'Master List Import'!$A$1:$P$519, 15, FALSE), ""), "")</f>
        <v>1</v>
      </c>
      <c r="R99" s="74">
        <f>_xlfn.IFNA(IF('Interactive Selection Sheet'!A113 = "", VLOOKUP('Interactive Selection Sheet'!$B113, 'Master List Import'!$A$1:$P$519, 16, FALSE), ""), "")</f>
        <v>3.15</v>
      </c>
    </row>
    <row r="100" spans="1:18" ht="21.75" customHeight="1" x14ac:dyDescent="0.25">
      <c r="A100" s="69">
        <f>_xlfn.IFNA(IF('Interactive Selection Sheet'!A114 = "", VLOOKUP('Interactive Selection Sheet'!$B114, 'Master List Import'!$A$1:$P$519, 2, FALSE), ""), "")</f>
        <v>2201</v>
      </c>
      <c r="B100" s="69" t="str">
        <f>_xlfn.IFNA(IF('Interactive Selection Sheet'!A114 = "", VLOOKUP('Interactive Selection Sheet'!$B114, 'Master List Import'!$A$1:$P$519, 3, FALSE), ""), "")</f>
        <v>Tumbler w/Lid, Clear Plastic, 22oz - 100/cs</v>
      </c>
      <c r="C100" s="76">
        <f>IF('Interactive Selection Sheet'!$T$2="", "", IF(B100="","",'Interactive Selection Sheet'!$T$2))</f>
        <v>3.5000000000000003E-2</v>
      </c>
      <c r="D100" s="70">
        <f>IF(B100 = "", "", 'Interactive Selection Sheet'!$Q$2)</f>
        <v>4.4999999999999998E-2</v>
      </c>
      <c r="E100" s="70">
        <f>IF(B100="","", 'Interactive Selection Sheet'!$R$2)</f>
        <v>0.02</v>
      </c>
      <c r="F100" s="69" t="str">
        <f>_xlfn.IFNA(IF('Interactive Selection Sheet'!A114 = "", VLOOKUP('Interactive Selection Sheet'!$B114, 'Master List Import'!$A$1:$P$519, 4, FALSE), ""), "")</f>
        <v>Grocery - Plasticware</v>
      </c>
      <c r="G100" s="69" t="str">
        <f>_xlfn.IFNA(IF('Interactive Selection Sheet'!A114 = "", VLOOKUP('Interactive Selection Sheet'!$B114, 'Master List Import'!$A$1:$P$519, 5, FALSE), ""), "")</f>
        <v>Grocery - Plasticware</v>
      </c>
      <c r="H100" s="69" t="str">
        <f>_xlfn.IFNA(IF('Interactive Selection Sheet'!A114 = "", VLOOKUP('Interactive Selection Sheet'!$B114, 'Master List Import'!$A$1:$P$519, 6, FALSE), ""), "")</f>
        <v>Both</v>
      </c>
      <c r="I100" s="72">
        <f>_xlfn.IFNA(IF('Interactive Selection Sheet'!A114 = "", VLOOKUP('Interactive Selection Sheet'!$B114, 'Master List Import'!$A$1:$P$519, 7, FALSE), ""), "")</f>
        <v>0.27</v>
      </c>
      <c r="J100" s="69" t="str">
        <f>_xlfn.IFNA(IF('Interactive Selection Sheet'!A114 = "", VLOOKUP('Interactive Selection Sheet'!$B114, 'Master List Import'!$A$1:$P$519, 8, FALSE), ""), "")</f>
        <v>REI</v>
      </c>
      <c r="K100" s="69" t="str">
        <f>_xlfn.IFNA(IF('Interactive Selection Sheet'!A114 = "", VLOOKUP('Interactive Selection Sheet'!$B114, 'Master List Import'!$A$1:$P$519, 9, FALSE), ""), "")</f>
        <v>569496</v>
      </c>
      <c r="L100" s="69">
        <f>_xlfn.IFNA(IF('Interactive Selection Sheet'!A114 = "", VLOOKUP('Interactive Selection Sheet'!$B114, 'Master List Import'!$A$1:$P$519, 10, FALSE), ""), "")</f>
        <v>0</v>
      </c>
      <c r="M100" s="69">
        <f>_xlfn.IFNA(IF('Interactive Selection Sheet'!A114 = "", VLOOKUP('Interactive Selection Sheet'!$B114, 'Master List Import'!$A$1:$P$519, 11, FALSE), ""), "")</f>
        <v>0</v>
      </c>
      <c r="N100" s="69">
        <f>_xlfn.IFNA(IF('Interactive Selection Sheet'!A114 = "", VLOOKUP('Interactive Selection Sheet'!$B114, 'Master List Import'!$A$1:$P$519, 12, FALSE), ""), "")</f>
        <v>100</v>
      </c>
      <c r="O100" s="69">
        <f>_xlfn.IFNA(IF('Interactive Selection Sheet'!A114 = "", VLOOKUP('Interactive Selection Sheet'!$B114, 'Master List Import'!$A$1:$P$519, 13, FALSE), ""), "")</f>
        <v>2201</v>
      </c>
      <c r="P100" s="69" t="str">
        <f>_xlfn.IFNA(IF('Interactive Selection Sheet'!A114 = "", VLOOKUP('Interactive Selection Sheet'!$B114, 'Master List Import'!$A$1:$P$519, 14, FALSE), ""), "")</f>
        <v>Tumbler w/Lid (22oz)</v>
      </c>
      <c r="Q100" s="69">
        <f>_xlfn.IFNA(IF('Interactive Selection Sheet'!A114 = "", VLOOKUP('Interactive Selection Sheet'!$B114, 'Master List Import'!$A$1:$P$519, 15, FALSE), ""), "")</f>
        <v>1</v>
      </c>
      <c r="R100" s="74">
        <f>_xlfn.IFNA(IF('Interactive Selection Sheet'!A114 = "", VLOOKUP('Interactive Selection Sheet'!$B114, 'Master List Import'!$A$1:$P$519, 16, FALSE), ""), "")</f>
        <v>0.9</v>
      </c>
    </row>
    <row r="101" spans="1:18" ht="21.75" customHeight="1" x14ac:dyDescent="0.25">
      <c r="A101" s="69">
        <f>_xlfn.IFNA(IF('Interactive Selection Sheet'!A115 = "", VLOOKUP('Interactive Selection Sheet'!$B115, 'Master List Import'!$A$1:$P$519, 2, FALSE), ""), "")</f>
        <v>2202</v>
      </c>
      <c r="B101" s="69" t="str">
        <f>_xlfn.IFNA(IF('Interactive Selection Sheet'!A115 = "", VLOOKUP('Interactive Selection Sheet'!$B115, 'Master List Import'!$A$1:$P$519, 3, FALSE), ""), "")</f>
        <v>Clear Soft Mugs, 12oz - 48/cs</v>
      </c>
      <c r="C101" s="76">
        <f>IF('Interactive Selection Sheet'!$T$2="", "", IF(B101="","",'Interactive Selection Sheet'!$T$2))</f>
        <v>3.5000000000000003E-2</v>
      </c>
      <c r="D101" s="70">
        <f>IF(B101 = "", "", 'Interactive Selection Sheet'!$Q$2)</f>
        <v>4.4999999999999998E-2</v>
      </c>
      <c r="E101" s="70">
        <f>IF(B101="","", 'Interactive Selection Sheet'!$R$2)</f>
        <v>0.02</v>
      </c>
      <c r="F101" s="69" t="str">
        <f>_xlfn.IFNA(IF('Interactive Selection Sheet'!A115 = "", VLOOKUP('Interactive Selection Sheet'!$B115, 'Master List Import'!$A$1:$P$519, 4, FALSE), ""), "")</f>
        <v>Grocery - Plasticware</v>
      </c>
      <c r="G101" s="69" t="str">
        <f>_xlfn.IFNA(IF('Interactive Selection Sheet'!A115 = "", VLOOKUP('Interactive Selection Sheet'!$B115, 'Master List Import'!$A$1:$P$519, 5, FALSE), ""), "")</f>
        <v>Grocery - Plasticware</v>
      </c>
      <c r="H101" s="69" t="str">
        <f>_xlfn.IFNA(IF('Interactive Selection Sheet'!A115 = "", VLOOKUP('Interactive Selection Sheet'!$B115, 'Master List Import'!$A$1:$P$519, 6, FALSE), ""), "")</f>
        <v>Both</v>
      </c>
      <c r="I101" s="72">
        <f>_xlfn.IFNA(IF('Interactive Selection Sheet'!A115 = "", VLOOKUP('Interactive Selection Sheet'!$B115, 'Master List Import'!$A$1:$P$519, 7, FALSE), ""), "")</f>
        <v>0.5</v>
      </c>
      <c r="J101" s="69" t="str">
        <f>_xlfn.IFNA(IF('Interactive Selection Sheet'!A115 = "", VLOOKUP('Interactive Selection Sheet'!$B115, 'Master List Import'!$A$1:$P$519, 8, FALSE), ""), "")</f>
        <v>REI</v>
      </c>
      <c r="K101" s="69" t="str">
        <f>_xlfn.IFNA(IF('Interactive Selection Sheet'!A115 = "", VLOOKUP('Interactive Selection Sheet'!$B115, 'Master List Import'!$A$1:$P$519, 9, FALSE), ""), "")</f>
        <v>569514</v>
      </c>
      <c r="L101" s="69">
        <f>_xlfn.IFNA(IF('Interactive Selection Sheet'!A115 = "", VLOOKUP('Interactive Selection Sheet'!$B115, 'Master List Import'!$A$1:$P$519, 10, FALSE), ""), "")</f>
        <v>0</v>
      </c>
      <c r="M101" s="69">
        <f>_xlfn.IFNA(IF('Interactive Selection Sheet'!A115 = "", VLOOKUP('Interactive Selection Sheet'!$B115, 'Master List Import'!$A$1:$P$519, 11, FALSE), ""), "")</f>
        <v>0</v>
      </c>
      <c r="N101" s="69">
        <f>_xlfn.IFNA(IF('Interactive Selection Sheet'!A115 = "", VLOOKUP('Interactive Selection Sheet'!$B115, 'Master List Import'!$A$1:$P$519, 12, FALSE), ""), "")</f>
        <v>48</v>
      </c>
      <c r="O101" s="69">
        <f>_xlfn.IFNA(IF('Interactive Selection Sheet'!A115 = "", VLOOKUP('Interactive Selection Sheet'!$B115, 'Master List Import'!$A$1:$P$519, 13, FALSE), ""), "")</f>
        <v>2202</v>
      </c>
      <c r="P101" s="69" t="str">
        <f>_xlfn.IFNA(IF('Interactive Selection Sheet'!A115 = "", VLOOKUP('Interactive Selection Sheet'!$B115, 'Master List Import'!$A$1:$P$519, 14, FALSE), ""), "")</f>
        <v>Plastic Mug (12oz)</v>
      </c>
      <c r="Q101" s="69">
        <f>_xlfn.IFNA(IF('Interactive Selection Sheet'!A115 = "", VLOOKUP('Interactive Selection Sheet'!$B115, 'Master List Import'!$A$1:$P$519, 15, FALSE), ""), "")</f>
        <v>1</v>
      </c>
      <c r="R101" s="74">
        <f>_xlfn.IFNA(IF('Interactive Selection Sheet'!A115 = "", VLOOKUP('Interactive Selection Sheet'!$B115, 'Master List Import'!$A$1:$P$519, 16, FALSE), ""), "")</f>
        <v>1.5</v>
      </c>
    </row>
    <row r="102" spans="1:18" ht="21.75" customHeight="1" x14ac:dyDescent="0.25">
      <c r="A102" s="69">
        <f>_xlfn.IFNA(IF('Interactive Selection Sheet'!A116 = "", VLOOKUP('Interactive Selection Sheet'!$B116, 'Master List Import'!$A$1:$P$519, 2, FALSE), ""), "")</f>
        <v>2230</v>
      </c>
      <c r="B102" s="69" t="str">
        <f>_xlfn.IFNA(IF('Interactive Selection Sheet'!A116 = "", VLOOKUP('Interactive Selection Sheet'!$B116, 'Master List Import'!$A$1:$P$519, 3, FALSE), ""), "")</f>
        <v>Spork, Beige - 144/cs</v>
      </c>
      <c r="C102" s="76">
        <f>IF('Interactive Selection Sheet'!$T$2="", "", IF(B102="","",'Interactive Selection Sheet'!$T$2))</f>
        <v>3.5000000000000003E-2</v>
      </c>
      <c r="D102" s="70">
        <f>IF(B102 = "", "", 'Interactive Selection Sheet'!$Q$2)</f>
        <v>4.4999999999999998E-2</v>
      </c>
      <c r="E102" s="70">
        <f>IF(B102="","", 'Interactive Selection Sheet'!$R$2)</f>
        <v>0.02</v>
      </c>
      <c r="F102" s="69" t="str">
        <f>_xlfn.IFNA(IF('Interactive Selection Sheet'!A116 = "", VLOOKUP('Interactive Selection Sheet'!$B116, 'Master List Import'!$A$1:$P$519, 4, FALSE), ""), "")</f>
        <v>Grocery - Plasticware</v>
      </c>
      <c r="G102" s="69" t="str">
        <f>_xlfn.IFNA(IF('Interactive Selection Sheet'!A116 = "", VLOOKUP('Interactive Selection Sheet'!$B116, 'Master List Import'!$A$1:$P$519, 5, FALSE), ""), "")</f>
        <v>Grocery - Plasticware</v>
      </c>
      <c r="H102" s="69" t="str">
        <f>_xlfn.IFNA(IF('Interactive Selection Sheet'!A116 = "", VLOOKUP('Interactive Selection Sheet'!$B116, 'Master List Import'!$A$1:$P$519, 6, FALSE), ""), "")</f>
        <v>Both</v>
      </c>
      <c r="I102" s="72">
        <f>_xlfn.IFNA(IF('Interactive Selection Sheet'!A116 = "", VLOOKUP('Interactive Selection Sheet'!$B116, 'Master List Import'!$A$1:$P$519, 7, FALSE), ""), "")</f>
        <v>9.5000000000000001E-2</v>
      </c>
      <c r="J102" s="69" t="str">
        <f>_xlfn.IFNA(IF('Interactive Selection Sheet'!A116 = "", VLOOKUP('Interactive Selection Sheet'!$B116, 'Master List Import'!$A$1:$P$519, 8, FALSE), ""), "")</f>
        <v>REI</v>
      </c>
      <c r="K102" s="69" t="str">
        <f>_xlfn.IFNA(IF('Interactive Selection Sheet'!A116 = "", VLOOKUP('Interactive Selection Sheet'!$B116, 'Master List Import'!$A$1:$P$519, 9, FALSE), ""), "")</f>
        <v>577905</v>
      </c>
      <c r="L102" s="69">
        <f>_xlfn.IFNA(IF('Interactive Selection Sheet'!A116 = "", VLOOKUP('Interactive Selection Sheet'!$B116, 'Master List Import'!$A$1:$P$519, 10, FALSE), ""), "")</f>
        <v>0</v>
      </c>
      <c r="M102" s="69">
        <f>_xlfn.IFNA(IF('Interactive Selection Sheet'!A116 = "", VLOOKUP('Interactive Selection Sheet'!$B116, 'Master List Import'!$A$1:$P$519, 11, FALSE), ""), "")</f>
        <v>0</v>
      </c>
      <c r="N102" s="69">
        <f>_xlfn.IFNA(IF('Interactive Selection Sheet'!A116 = "", VLOOKUP('Interactive Selection Sheet'!$B116, 'Master List Import'!$A$1:$P$519, 12, FALSE), ""), "")</f>
        <v>144</v>
      </c>
      <c r="O102" s="69">
        <f>_xlfn.IFNA(IF('Interactive Selection Sheet'!A116 = "", VLOOKUP('Interactive Selection Sheet'!$B116, 'Master List Import'!$A$1:$P$519, 13, FALSE), ""), "")</f>
        <v>2230</v>
      </c>
      <c r="P102" s="69" t="str">
        <f>_xlfn.IFNA(IF('Interactive Selection Sheet'!A116 = "", VLOOKUP('Interactive Selection Sheet'!$B116, 'Master List Import'!$A$1:$P$519, 14, FALSE), ""), "")</f>
        <v>Yellow Spork</v>
      </c>
      <c r="Q102" s="69">
        <f>_xlfn.IFNA(IF('Interactive Selection Sheet'!A116 = "", VLOOKUP('Interactive Selection Sheet'!$B116, 'Master List Import'!$A$1:$P$519, 15, FALSE), ""), "")</f>
        <v>1</v>
      </c>
      <c r="R102" s="74">
        <f>_xlfn.IFNA(IF('Interactive Selection Sheet'!A116 = "", VLOOKUP('Interactive Selection Sheet'!$B116, 'Master List Import'!$A$1:$P$519, 16, FALSE), ""), "")</f>
        <v>0.35</v>
      </c>
    </row>
    <row r="103" spans="1:18" ht="21.75" customHeight="1" x14ac:dyDescent="0.25">
      <c r="A103" s="69">
        <f>_xlfn.IFNA(IF('Interactive Selection Sheet'!A117 = "", VLOOKUP('Interactive Selection Sheet'!$B117, 'Master List Import'!$A$1:$P$519, 2, FALSE), ""), "")</f>
        <v>2231</v>
      </c>
      <c r="B103" s="69" t="str">
        <f>_xlfn.IFNA(IF('Interactive Selection Sheet'!A117 = "", VLOOKUP('Interactive Selection Sheet'!$B117, 'Master List Import'!$A$1:$P$519, 3, FALSE), ""), "")</f>
        <v>Spork Medium Weight White Wrapped 1000ct</v>
      </c>
      <c r="C103" s="76">
        <f>IF('Interactive Selection Sheet'!$T$2="", "", IF(B103="","",'Interactive Selection Sheet'!$T$2))</f>
        <v>3.5000000000000003E-2</v>
      </c>
      <c r="D103" s="70">
        <f>IF(B103 = "", "", 'Interactive Selection Sheet'!$Q$2)</f>
        <v>4.4999999999999998E-2</v>
      </c>
      <c r="E103" s="70">
        <f>IF(B103="","", 'Interactive Selection Sheet'!$R$2)</f>
        <v>0.02</v>
      </c>
      <c r="F103" s="69" t="str">
        <f>_xlfn.IFNA(IF('Interactive Selection Sheet'!A117 = "", VLOOKUP('Interactive Selection Sheet'!$B117, 'Master List Import'!$A$1:$P$519, 4, FALSE), ""), "")</f>
        <v>Grocery - Plasticware</v>
      </c>
      <c r="G103" s="69" t="str">
        <f>_xlfn.IFNA(IF('Interactive Selection Sheet'!A117 = "", VLOOKUP('Interactive Selection Sheet'!$B117, 'Master List Import'!$A$1:$P$519, 5, FALSE), ""), "")</f>
        <v>Grocery - Plasticware</v>
      </c>
      <c r="H103" s="69" t="str">
        <f>_xlfn.IFNA(IF('Interactive Selection Sheet'!A117 = "", VLOOKUP('Interactive Selection Sheet'!$B117, 'Master List Import'!$A$1:$P$519, 6, FALSE), ""), "")</f>
        <v>Both</v>
      </c>
      <c r="I103" s="72">
        <f>_xlfn.IFNA(IF('Interactive Selection Sheet'!A117 = "", VLOOKUP('Interactive Selection Sheet'!$B117, 'Master List Import'!$A$1:$P$519, 7, FALSE), ""), "")</f>
        <v>1.7999999999999999E-2</v>
      </c>
      <c r="J103" s="69" t="str">
        <f>_xlfn.IFNA(IF('Interactive Selection Sheet'!A117 = "", VLOOKUP('Interactive Selection Sheet'!$B117, 'Master List Import'!$A$1:$P$519, 8, FALSE), ""), "")</f>
        <v>REI</v>
      </c>
      <c r="K103" s="69" t="str">
        <f>_xlfn.IFNA(IF('Interactive Selection Sheet'!A117 = "", VLOOKUP('Interactive Selection Sheet'!$B117, 'Master List Import'!$A$1:$P$519, 9, FALSE), ""), "")</f>
        <v>578000</v>
      </c>
      <c r="L103" s="69">
        <f>_xlfn.IFNA(IF('Interactive Selection Sheet'!A117 = "", VLOOKUP('Interactive Selection Sheet'!$B117, 'Master List Import'!$A$1:$P$519, 10, FALSE), ""), "")</f>
        <v>0</v>
      </c>
      <c r="M103" s="69">
        <f>_xlfn.IFNA(IF('Interactive Selection Sheet'!A117 = "", VLOOKUP('Interactive Selection Sheet'!$B117, 'Master List Import'!$A$1:$P$519, 11, FALSE), ""), "")</f>
        <v>0</v>
      </c>
      <c r="N103" s="69">
        <f>_xlfn.IFNA(IF('Interactive Selection Sheet'!A117 = "", VLOOKUP('Interactive Selection Sheet'!$B117, 'Master List Import'!$A$1:$P$519, 12, FALSE), ""), "")</f>
        <v>1000</v>
      </c>
      <c r="O103" s="69">
        <f>_xlfn.IFNA(IF('Interactive Selection Sheet'!A117 = "", VLOOKUP('Interactive Selection Sheet'!$B117, 'Master List Import'!$A$1:$P$519, 13, FALSE), ""), "")</f>
        <v>2231</v>
      </c>
      <c r="P103" s="69" t="str">
        <f>_xlfn.IFNA(IF('Interactive Selection Sheet'!A117 = "", VLOOKUP('Interactive Selection Sheet'!$B117, 'Master List Import'!$A$1:$P$519, 14, FALSE), ""), "")</f>
        <v>White Spork (Sm)</v>
      </c>
      <c r="Q103" s="69">
        <f>_xlfn.IFNA(IF('Interactive Selection Sheet'!A117 = "", VLOOKUP('Interactive Selection Sheet'!$B117, 'Master List Import'!$A$1:$P$519, 15, FALSE), ""), "")</f>
        <v>1</v>
      </c>
      <c r="R103" s="74">
        <f>_xlfn.IFNA(IF('Interactive Selection Sheet'!A117 = "", VLOOKUP('Interactive Selection Sheet'!$B117, 'Master List Import'!$A$1:$P$519, 16, FALSE), ""), "")</f>
        <v>0.15</v>
      </c>
    </row>
    <row r="104" spans="1:18" ht="21.75" customHeight="1" x14ac:dyDescent="0.25">
      <c r="A104" s="69">
        <f>_xlfn.IFNA(IF('Interactive Selection Sheet'!A145 = "", VLOOKUP('Interactive Selection Sheet'!$B145, 'Master List Import'!$A$1:$P$519, 2, FALSE), ""), "")</f>
        <v>2240</v>
      </c>
      <c r="B104" s="69" t="str">
        <f>_xlfn.IFNA(IF('Interactive Selection Sheet'!A145 = "", VLOOKUP('Interactive Selection Sheet'!$B145, 'Master List Import'!$A$1:$P$519, 3, FALSE), ""), "")</f>
        <v>West Bend Clear Hot Pots #53645R, 350Wt, 4/cs</v>
      </c>
      <c r="C104" s="76">
        <f>IF('Interactive Selection Sheet'!$T$2="", "", IF(B104="","",'Interactive Selection Sheet'!$T$2))</f>
        <v>3.5000000000000003E-2</v>
      </c>
      <c r="D104" s="70">
        <f>IF(B104 = "", "", 'Interactive Selection Sheet'!$Q$2)</f>
        <v>4.4999999999999998E-2</v>
      </c>
      <c r="E104" s="70">
        <f>IF(B104="","", 'Interactive Selection Sheet'!$R$2)</f>
        <v>0.02</v>
      </c>
      <c r="F104" s="69" t="str">
        <f>_xlfn.IFNA(IF('Interactive Selection Sheet'!A145 = "", VLOOKUP('Interactive Selection Sheet'!$B145, 'Master List Import'!$A$1:$P$519, 4, FALSE), ""), "")</f>
        <v>Grocery - Plasticware</v>
      </c>
      <c r="G104" s="69" t="str">
        <f>_xlfn.IFNA(IF('Interactive Selection Sheet'!A145 = "", VLOOKUP('Interactive Selection Sheet'!$B145, 'Master List Import'!$A$1:$P$519, 5, FALSE), ""), "")</f>
        <v>Grocery - Plasticware</v>
      </c>
      <c r="H104" s="69" t="str">
        <f>_xlfn.IFNA(IF('Interactive Selection Sheet'!A145 = "", VLOOKUP('Interactive Selection Sheet'!$B145, 'Master List Import'!$A$1:$P$519, 6, FALSE), ""), "")</f>
        <v>Both</v>
      </c>
      <c r="I104" s="72">
        <f>_xlfn.IFNA(IF('Interactive Selection Sheet'!A145 = "", VLOOKUP('Interactive Selection Sheet'!$B145, 'Master List Import'!$A$1:$P$519, 7, FALSE), ""), "")</f>
        <v>18</v>
      </c>
      <c r="J104" s="69" t="str">
        <f>_xlfn.IFNA(IF('Interactive Selection Sheet'!A145 = "", VLOOKUP('Interactive Selection Sheet'!$B145, 'Master List Import'!$A$1:$P$519, 8, FALSE), ""), "")</f>
        <v>REI</v>
      </c>
      <c r="K104" s="69" t="str">
        <f>_xlfn.IFNA(IF('Interactive Selection Sheet'!A145 = "", VLOOKUP('Interactive Selection Sheet'!$B145, 'Master List Import'!$A$1:$P$519, 9, FALSE), ""), "")</f>
        <v>411107</v>
      </c>
      <c r="L104" s="69">
        <f>_xlfn.IFNA(IF('Interactive Selection Sheet'!A145 = "", VLOOKUP('Interactive Selection Sheet'!$B145, 'Master List Import'!$A$1:$P$519, 10, FALSE), ""), "")</f>
        <v>0</v>
      </c>
      <c r="M104" s="69">
        <f>_xlfn.IFNA(IF('Interactive Selection Sheet'!A145 = "", VLOOKUP('Interactive Selection Sheet'!$B145, 'Master List Import'!$A$1:$P$519, 11, FALSE), ""), "")</f>
        <v>0</v>
      </c>
      <c r="N104" s="69">
        <f>_xlfn.IFNA(IF('Interactive Selection Sheet'!A145 = "", VLOOKUP('Interactive Selection Sheet'!$B145, 'Master List Import'!$A$1:$P$519, 12, FALSE), ""), "")</f>
        <v>4</v>
      </c>
      <c r="O104" s="69">
        <f>_xlfn.IFNA(IF('Interactive Selection Sheet'!A145 = "", VLOOKUP('Interactive Selection Sheet'!$B145, 'Master List Import'!$A$1:$P$519, 13, FALSE), ""), "")</f>
        <v>2240</v>
      </c>
      <c r="P104" s="69" t="str">
        <f>_xlfn.IFNA(IF('Interactive Selection Sheet'!A145 = "", VLOOKUP('Interactive Selection Sheet'!$B145, 'Master List Import'!$A$1:$P$519, 14, FALSE), ""), "")</f>
        <v>Hot Pot - 5 Cup</v>
      </c>
      <c r="Q104" s="69">
        <f>_xlfn.IFNA(IF('Interactive Selection Sheet'!A145 = "", VLOOKUP('Interactive Selection Sheet'!$B145, 'Master List Import'!$A$1:$P$519, 15, FALSE), ""), "")</f>
        <v>1</v>
      </c>
      <c r="R104" s="74">
        <f>_xlfn.IFNA(IF('Interactive Selection Sheet'!A145 = "", VLOOKUP('Interactive Selection Sheet'!$B145, 'Master List Import'!$A$1:$P$519, 16, FALSE), ""), "")</f>
        <v>20</v>
      </c>
    </row>
    <row r="105" spans="1:18" ht="21.75" customHeight="1" x14ac:dyDescent="0.25">
      <c r="A105" s="69">
        <f>_xlfn.IFNA(IF('Interactive Selection Sheet'!A120 = "", VLOOKUP('Interactive Selection Sheet'!$B120, 'Master List Import'!$A$1:$P$519, 2, FALSE), ""), "")</f>
        <v>2300</v>
      </c>
      <c r="B105" s="69" t="str">
        <f>_xlfn.IFNA(IF('Interactive Selection Sheet'!A120 = "", VLOOKUP('Interactive Selection Sheet'!$B120, 'Master List Import'!$A$1:$P$519, 3, FALSE), ""), "")</f>
        <v>Energizer Batteries AA - 48/cs</v>
      </c>
      <c r="C105" s="76">
        <f>IF('Interactive Selection Sheet'!$T$2="", "", IF(B105="","",'Interactive Selection Sheet'!$T$2))</f>
        <v>3.5000000000000003E-2</v>
      </c>
      <c r="D105" s="70">
        <f>IF(B105 = "", "", 'Interactive Selection Sheet'!$Q$2)</f>
        <v>4.4999999999999998E-2</v>
      </c>
      <c r="E105" s="70">
        <f>IF(B105="","", 'Interactive Selection Sheet'!$R$2)</f>
        <v>0.02</v>
      </c>
      <c r="F105" s="69" t="str">
        <f>_xlfn.IFNA(IF('Interactive Selection Sheet'!A120 = "", VLOOKUP('Interactive Selection Sheet'!$B120, 'Master List Import'!$A$1:$P$519, 4, FALSE), ""), "")</f>
        <v>Electronics</v>
      </c>
      <c r="G105" s="69" t="str">
        <f>_xlfn.IFNA(IF('Interactive Selection Sheet'!A120 = "", VLOOKUP('Interactive Selection Sheet'!$B120, 'Master List Import'!$A$1:$P$519, 5, FALSE), ""), "")</f>
        <v>Electronics</v>
      </c>
      <c r="H105" s="69" t="str">
        <f>_xlfn.IFNA(IF('Interactive Selection Sheet'!A120 = "", VLOOKUP('Interactive Selection Sheet'!$B120, 'Master List Import'!$A$1:$P$519, 6, FALSE), ""), "")</f>
        <v>Both</v>
      </c>
      <c r="I105" s="72">
        <f>_xlfn.IFNA(IF('Interactive Selection Sheet'!A120 = "", VLOOKUP('Interactive Selection Sheet'!$B120, 'Master List Import'!$A$1:$P$519, 7, FALSE), ""), "")</f>
        <v>0.34</v>
      </c>
      <c r="J105" s="69" t="str">
        <f>_xlfn.IFNA(IF('Interactive Selection Sheet'!A120 = "", VLOOKUP('Interactive Selection Sheet'!$B120, 'Master List Import'!$A$1:$P$519, 8, FALSE), ""), "")</f>
        <v>REI</v>
      </c>
      <c r="K105" s="69" t="str">
        <f>_xlfn.IFNA(IF('Interactive Selection Sheet'!A120 = "", VLOOKUP('Interactive Selection Sheet'!$B120, 'Master List Import'!$A$1:$P$519, 9, FALSE), ""), "")</f>
        <v>442840</v>
      </c>
      <c r="L105" s="69">
        <f>_xlfn.IFNA(IF('Interactive Selection Sheet'!A120 = "", VLOOKUP('Interactive Selection Sheet'!$B120, 'Master List Import'!$A$1:$P$519, 10, FALSE), ""), "")</f>
        <v>0</v>
      </c>
      <c r="M105" s="69">
        <f>_xlfn.IFNA(IF('Interactive Selection Sheet'!A120 = "", VLOOKUP('Interactive Selection Sheet'!$B120, 'Master List Import'!$A$1:$P$519, 11, FALSE), ""), "")</f>
        <v>0</v>
      </c>
      <c r="N105" s="69">
        <f>_xlfn.IFNA(IF('Interactive Selection Sheet'!A120 = "", VLOOKUP('Interactive Selection Sheet'!$B120, 'Master List Import'!$A$1:$P$519, 12, FALSE), ""), "")</f>
        <v>48</v>
      </c>
      <c r="O105" s="69">
        <f>_xlfn.IFNA(IF('Interactive Selection Sheet'!A120 = "", VLOOKUP('Interactive Selection Sheet'!$B120, 'Master List Import'!$A$1:$P$519, 13, FALSE), ""), "")</f>
        <v>2300</v>
      </c>
      <c r="P105" s="69" t="str">
        <f>_xlfn.IFNA(IF('Interactive Selection Sheet'!A120 = "", VLOOKUP('Interactive Selection Sheet'!$B120, 'Master List Import'!$A$1:$P$519, 14, FALSE), ""), "")</f>
        <v>AA Batteries (2pk)</v>
      </c>
      <c r="Q105" s="69">
        <f>_xlfn.IFNA(IF('Interactive Selection Sheet'!A120 = "", VLOOKUP('Interactive Selection Sheet'!$B120, 'Master List Import'!$A$1:$P$519, 15, FALSE), ""), "")</f>
        <v>2</v>
      </c>
      <c r="R105" s="74">
        <f>_xlfn.IFNA(IF('Interactive Selection Sheet'!A120 = "", VLOOKUP('Interactive Selection Sheet'!$B120, 'Master List Import'!$A$1:$P$519, 16, FALSE), ""), "")</f>
        <v>2.8</v>
      </c>
    </row>
    <row r="106" spans="1:18" ht="21.75" customHeight="1" x14ac:dyDescent="0.25">
      <c r="A106" s="69">
        <f>_xlfn.IFNA(IF('Interactive Selection Sheet'!A121 = "", VLOOKUP('Interactive Selection Sheet'!$B121, 'Master List Import'!$A$1:$P$519, 2, FALSE), ""), "")</f>
        <v>2301</v>
      </c>
      <c r="B106" s="69" t="str">
        <f>_xlfn.IFNA(IF('Interactive Selection Sheet'!A121 = "", VLOOKUP('Interactive Selection Sheet'!$B121, 'Master List Import'!$A$1:$P$519, 3, FALSE), ""), "")</f>
        <v>Tenergy Batteries AA, 4pk - 12/cs</v>
      </c>
      <c r="C106" s="76">
        <f>IF('Interactive Selection Sheet'!$T$2="", "", IF(B106="","",'Interactive Selection Sheet'!$T$2))</f>
        <v>3.5000000000000003E-2</v>
      </c>
      <c r="D106" s="70">
        <f>IF(B106 = "", "", 'Interactive Selection Sheet'!$Q$2)</f>
        <v>4.4999999999999998E-2</v>
      </c>
      <c r="E106" s="70">
        <f>IF(B106="","", 'Interactive Selection Sheet'!$R$2)</f>
        <v>0.02</v>
      </c>
      <c r="F106" s="69" t="str">
        <f>_xlfn.IFNA(IF('Interactive Selection Sheet'!A121 = "", VLOOKUP('Interactive Selection Sheet'!$B121, 'Master List Import'!$A$1:$P$519, 4, FALSE), ""), "")</f>
        <v>Electronics</v>
      </c>
      <c r="G106" s="69" t="str">
        <f>_xlfn.IFNA(IF('Interactive Selection Sheet'!A121 = "", VLOOKUP('Interactive Selection Sheet'!$B121, 'Master List Import'!$A$1:$P$519, 5, FALSE), ""), "")</f>
        <v>Electronics</v>
      </c>
      <c r="H106" s="69" t="str">
        <f>_xlfn.IFNA(IF('Interactive Selection Sheet'!A121 = "", VLOOKUP('Interactive Selection Sheet'!$B121, 'Master List Import'!$A$1:$P$519, 6, FALSE), ""), "")</f>
        <v>Both</v>
      </c>
      <c r="I106" s="72">
        <f>_xlfn.IFNA(IF('Interactive Selection Sheet'!A121 = "", VLOOKUP('Interactive Selection Sheet'!$B121, 'Master List Import'!$A$1:$P$519, 7, FALSE), ""), "")</f>
        <v>1.1000000000000001</v>
      </c>
      <c r="J106" s="69" t="str">
        <f>_xlfn.IFNA(IF('Interactive Selection Sheet'!A121 = "", VLOOKUP('Interactive Selection Sheet'!$B121, 'Master List Import'!$A$1:$P$519, 8, FALSE), ""), "")</f>
        <v>REI</v>
      </c>
      <c r="K106" s="69" t="str">
        <f>_xlfn.IFNA(IF('Interactive Selection Sheet'!A121 = "", VLOOKUP('Interactive Selection Sheet'!$B121, 'Master List Import'!$A$1:$P$519, 9, FALSE), ""), "")</f>
        <v>442920</v>
      </c>
      <c r="L106" s="69">
        <f>_xlfn.IFNA(IF('Interactive Selection Sheet'!A121 = "", VLOOKUP('Interactive Selection Sheet'!$B121, 'Master List Import'!$A$1:$P$519, 10, FALSE), ""), "")</f>
        <v>0</v>
      </c>
      <c r="M106" s="69">
        <f>_xlfn.IFNA(IF('Interactive Selection Sheet'!A121 = "", VLOOKUP('Interactive Selection Sheet'!$B121, 'Master List Import'!$A$1:$P$519, 11, FALSE), ""), "")</f>
        <v>0</v>
      </c>
      <c r="N106" s="69">
        <f>_xlfn.IFNA(IF('Interactive Selection Sheet'!A121 = "", VLOOKUP('Interactive Selection Sheet'!$B121, 'Master List Import'!$A$1:$P$519, 12, FALSE), ""), "")</f>
        <v>12</v>
      </c>
      <c r="O106" s="69">
        <f>_xlfn.IFNA(IF('Interactive Selection Sheet'!A121 = "", VLOOKUP('Interactive Selection Sheet'!$B121, 'Master List Import'!$A$1:$P$519, 13, FALSE), ""), "")</f>
        <v>2301</v>
      </c>
      <c r="P106" s="69" t="str">
        <f>_xlfn.IFNA(IF('Interactive Selection Sheet'!A121 = "", VLOOKUP('Interactive Selection Sheet'!$B121, 'Master List Import'!$A$1:$P$519, 14, FALSE), ""), "")</f>
        <v>AA Batteries (4pk)</v>
      </c>
      <c r="Q106" s="69">
        <f>_xlfn.IFNA(IF('Interactive Selection Sheet'!A121 = "", VLOOKUP('Interactive Selection Sheet'!$B121, 'Master List Import'!$A$1:$P$519, 15, FALSE), ""), "")</f>
        <v>1</v>
      </c>
      <c r="R106" s="74">
        <f>_xlfn.IFNA(IF('Interactive Selection Sheet'!A121 = "", VLOOKUP('Interactive Selection Sheet'!$B121, 'Master List Import'!$A$1:$P$519, 16, FALSE), ""), "")</f>
        <v>3.75</v>
      </c>
    </row>
    <row r="107" spans="1:18" ht="21.75" customHeight="1" x14ac:dyDescent="0.25">
      <c r="A107" s="69">
        <f>_xlfn.IFNA(IF('Interactive Selection Sheet'!A122 = "", VLOOKUP('Interactive Selection Sheet'!$B122, 'Master List Import'!$A$1:$P$519, 2, FALSE), ""), "")</f>
        <v>2310</v>
      </c>
      <c r="B107" s="69" t="str">
        <f>_xlfn.IFNA(IF('Interactive Selection Sheet'!A122 = "", VLOOKUP('Interactive Selection Sheet'!$B122, 'Master List Import'!$A$1:$P$519, 3, FALSE), ""), "")</f>
        <v>Energizer Batteries AAA - 48/cs</v>
      </c>
      <c r="C107" s="76">
        <f>IF('Interactive Selection Sheet'!$T$2="", "", IF(B107="","",'Interactive Selection Sheet'!$T$2))</f>
        <v>3.5000000000000003E-2</v>
      </c>
      <c r="D107" s="70">
        <f>IF(B107 = "", "", 'Interactive Selection Sheet'!$Q$2)</f>
        <v>4.4999999999999998E-2</v>
      </c>
      <c r="E107" s="70">
        <f>IF(B107="","", 'Interactive Selection Sheet'!$R$2)</f>
        <v>0.02</v>
      </c>
      <c r="F107" s="69" t="str">
        <f>_xlfn.IFNA(IF('Interactive Selection Sheet'!A122 = "", VLOOKUP('Interactive Selection Sheet'!$B122, 'Master List Import'!$A$1:$P$519, 4, FALSE), ""), "")</f>
        <v>Electronics</v>
      </c>
      <c r="G107" s="69" t="str">
        <f>_xlfn.IFNA(IF('Interactive Selection Sheet'!A122 = "", VLOOKUP('Interactive Selection Sheet'!$B122, 'Master List Import'!$A$1:$P$519, 5, FALSE), ""), "")</f>
        <v>Electronics</v>
      </c>
      <c r="H107" s="69" t="str">
        <f>_xlfn.IFNA(IF('Interactive Selection Sheet'!A122 = "", VLOOKUP('Interactive Selection Sheet'!$B122, 'Master List Import'!$A$1:$P$519, 6, FALSE), ""), "")</f>
        <v>Both</v>
      </c>
      <c r="I107" s="72">
        <f>_xlfn.IFNA(IF('Interactive Selection Sheet'!A122 = "", VLOOKUP('Interactive Selection Sheet'!$B122, 'Master List Import'!$A$1:$P$519, 7, FALSE), ""), "")</f>
        <v>0.34</v>
      </c>
      <c r="J107" s="69" t="str">
        <f>_xlfn.IFNA(IF('Interactive Selection Sheet'!A122 = "", VLOOKUP('Interactive Selection Sheet'!$B122, 'Master List Import'!$A$1:$P$519, 8, FALSE), ""), "")</f>
        <v>REI</v>
      </c>
      <c r="K107" s="69" t="str">
        <f>_xlfn.IFNA(IF('Interactive Selection Sheet'!A122 = "", VLOOKUP('Interactive Selection Sheet'!$B122, 'Master List Import'!$A$1:$P$519, 9, FALSE), ""), "")</f>
        <v>442841</v>
      </c>
      <c r="L107" s="69">
        <f>_xlfn.IFNA(IF('Interactive Selection Sheet'!A122 = "", VLOOKUP('Interactive Selection Sheet'!$B122, 'Master List Import'!$A$1:$P$519, 10, FALSE), ""), "")</f>
        <v>0</v>
      </c>
      <c r="M107" s="69">
        <f>_xlfn.IFNA(IF('Interactive Selection Sheet'!A122 = "", VLOOKUP('Interactive Selection Sheet'!$B122, 'Master List Import'!$A$1:$P$519, 11, FALSE), ""), "")</f>
        <v>0</v>
      </c>
      <c r="N107" s="69">
        <f>_xlfn.IFNA(IF('Interactive Selection Sheet'!A122 = "", VLOOKUP('Interactive Selection Sheet'!$B122, 'Master List Import'!$A$1:$P$519, 12, FALSE), ""), "")</f>
        <v>48</v>
      </c>
      <c r="O107" s="69">
        <f>_xlfn.IFNA(IF('Interactive Selection Sheet'!A122 = "", VLOOKUP('Interactive Selection Sheet'!$B122, 'Master List Import'!$A$1:$P$519, 13, FALSE), ""), "")</f>
        <v>2310</v>
      </c>
      <c r="P107" s="69" t="str">
        <f>_xlfn.IFNA(IF('Interactive Selection Sheet'!A122 = "", VLOOKUP('Interactive Selection Sheet'!$B122, 'Master List Import'!$A$1:$P$519, 14, FALSE), ""), "")</f>
        <v>AAA Batteries (2pk)</v>
      </c>
      <c r="Q107" s="69">
        <f>_xlfn.IFNA(IF('Interactive Selection Sheet'!A122 = "", VLOOKUP('Interactive Selection Sheet'!$B122, 'Master List Import'!$A$1:$P$519, 15, FALSE), ""), "")</f>
        <v>2</v>
      </c>
      <c r="R107" s="74">
        <f>_xlfn.IFNA(IF('Interactive Selection Sheet'!A122 = "", VLOOKUP('Interactive Selection Sheet'!$B122, 'Master List Import'!$A$1:$P$519, 16, FALSE), ""), "")</f>
        <v>2.8</v>
      </c>
    </row>
    <row r="108" spans="1:18" ht="21.75" customHeight="1" x14ac:dyDescent="0.25">
      <c r="A108" s="69">
        <f>_xlfn.IFNA(IF('Interactive Selection Sheet'!A123 = "", VLOOKUP('Interactive Selection Sheet'!$B123, 'Master List Import'!$A$1:$P$519, 2, FALSE), ""), "")</f>
        <v>2400</v>
      </c>
      <c r="B108" s="69" t="str">
        <f>_xlfn.IFNA(IF('Interactive Selection Sheet'!A123 = "", VLOOKUP('Interactive Selection Sheet'!$B123, 'Master List Import'!$A$1:$P$519, 3, FALSE), ""), "")</f>
        <v>JWIN JXM AM/FM Radio, Clear</v>
      </c>
      <c r="C108" s="76">
        <f>IF('Interactive Selection Sheet'!$T$2="", "", IF(B108="","",'Interactive Selection Sheet'!$T$2))</f>
        <v>3.5000000000000003E-2</v>
      </c>
      <c r="D108" s="70">
        <f>IF(B108 = "", "", 'Interactive Selection Sheet'!$Q$2)</f>
        <v>4.4999999999999998E-2</v>
      </c>
      <c r="E108" s="70">
        <f>IF(B108="","", 'Interactive Selection Sheet'!$R$2)</f>
        <v>0.02</v>
      </c>
      <c r="F108" s="69" t="str">
        <f>_xlfn.IFNA(IF('Interactive Selection Sheet'!A123 = "", VLOOKUP('Interactive Selection Sheet'!$B123, 'Master List Import'!$A$1:$P$519, 4, FALSE), ""), "")</f>
        <v>Electronics</v>
      </c>
      <c r="G108" s="69" t="str">
        <f>_xlfn.IFNA(IF('Interactive Selection Sheet'!A123 = "", VLOOKUP('Interactive Selection Sheet'!$B123, 'Master List Import'!$A$1:$P$519, 5, FALSE), ""), "")</f>
        <v>Electronics</v>
      </c>
      <c r="H108" s="69" t="str">
        <f>_xlfn.IFNA(IF('Interactive Selection Sheet'!A123 = "", VLOOKUP('Interactive Selection Sheet'!$B123, 'Master List Import'!$A$1:$P$519, 6, FALSE), ""), "")</f>
        <v>Both</v>
      </c>
      <c r="I108" s="72">
        <f>_xlfn.IFNA(IF('Interactive Selection Sheet'!A123 = "", VLOOKUP('Interactive Selection Sheet'!$B123, 'Master List Import'!$A$1:$P$519, 7, FALSE), ""), "")</f>
        <v>13.5</v>
      </c>
      <c r="J108" s="69" t="str">
        <f>_xlfn.IFNA(IF('Interactive Selection Sheet'!A123 = "", VLOOKUP('Interactive Selection Sheet'!$B123, 'Master List Import'!$A$1:$P$519, 8, FALSE), ""), "")</f>
        <v>REI</v>
      </c>
      <c r="K108" s="69" t="str">
        <f>_xlfn.IFNA(IF('Interactive Selection Sheet'!A123 = "", VLOOKUP('Interactive Selection Sheet'!$B123, 'Master List Import'!$A$1:$P$519, 9, FALSE), ""), "")</f>
        <v>411199</v>
      </c>
      <c r="L108" s="69">
        <f>_xlfn.IFNA(IF('Interactive Selection Sheet'!A123 = "", VLOOKUP('Interactive Selection Sheet'!$B123, 'Master List Import'!$A$1:$P$519, 10, FALSE), ""), "")</f>
        <v>0</v>
      </c>
      <c r="M108" s="69">
        <f>_xlfn.IFNA(IF('Interactive Selection Sheet'!A123 = "", VLOOKUP('Interactive Selection Sheet'!$B123, 'Master List Import'!$A$1:$P$519, 11, FALSE), ""), "")</f>
        <v>0</v>
      </c>
      <c r="N108" s="69">
        <f>_xlfn.IFNA(IF('Interactive Selection Sheet'!A123 = "", VLOOKUP('Interactive Selection Sheet'!$B123, 'Master List Import'!$A$1:$P$519, 12, FALSE), ""), "")</f>
        <v>1</v>
      </c>
      <c r="O108" s="69">
        <f>_xlfn.IFNA(IF('Interactive Selection Sheet'!A123 = "", VLOOKUP('Interactive Selection Sheet'!$B123, 'Master List Import'!$A$1:$P$519, 13, FALSE), ""), "")</f>
        <v>2400</v>
      </c>
      <c r="P108" s="69" t="str">
        <f>_xlfn.IFNA(IF('Interactive Selection Sheet'!A123 = "", VLOOKUP('Interactive Selection Sheet'!$B123, 'Master List Import'!$A$1:$P$519, 14, FALSE), ""), "")</f>
        <v>AM/FM Radio</v>
      </c>
      <c r="Q108" s="69">
        <f>_xlfn.IFNA(IF('Interactive Selection Sheet'!A123 = "", VLOOKUP('Interactive Selection Sheet'!$B123, 'Master List Import'!$A$1:$P$519, 15, FALSE), ""), "")</f>
        <v>1</v>
      </c>
      <c r="R108" s="74">
        <f>_xlfn.IFNA(IF('Interactive Selection Sheet'!A123 = "", VLOOKUP('Interactive Selection Sheet'!$B123, 'Master List Import'!$A$1:$P$519, 16, FALSE), ""), "")</f>
        <v>40.5</v>
      </c>
    </row>
    <row r="109" spans="1:18" ht="21.75" customHeight="1" x14ac:dyDescent="0.25">
      <c r="A109" s="69">
        <f>_xlfn.IFNA(IF('Interactive Selection Sheet'!A124 = "", VLOOKUP('Interactive Selection Sheet'!$B124, 'Master List Import'!$A$1:$P$519, 2, FALSE), ""), "")</f>
        <v>2500</v>
      </c>
      <c r="B109" s="69" t="str">
        <f>_xlfn.IFNA(IF('Interactive Selection Sheet'!A124 = "", VLOOKUP('Interactive Selection Sheet'!$B124, 'Master List Import'!$A$1:$P$519, 3, FALSE), ""), "")</f>
        <v>Sentry Ear-Buds 3.5ft, Black (HO220)</v>
      </c>
      <c r="C109" s="76">
        <f>IF('Interactive Selection Sheet'!$T$2="", "", IF(B109="","",'Interactive Selection Sheet'!$T$2))</f>
        <v>3.5000000000000003E-2</v>
      </c>
      <c r="D109" s="70">
        <f>IF(B109 = "", "", 'Interactive Selection Sheet'!$Q$2)</f>
        <v>4.4999999999999998E-2</v>
      </c>
      <c r="E109" s="70">
        <f>IF(B109="","", 'Interactive Selection Sheet'!$R$2)</f>
        <v>0.02</v>
      </c>
      <c r="F109" s="69" t="str">
        <f>_xlfn.IFNA(IF('Interactive Selection Sheet'!A124 = "", VLOOKUP('Interactive Selection Sheet'!$B124, 'Master List Import'!$A$1:$P$519, 4, FALSE), ""), "")</f>
        <v>Electronics</v>
      </c>
      <c r="G109" s="69" t="str">
        <f>_xlfn.IFNA(IF('Interactive Selection Sheet'!A124 = "", VLOOKUP('Interactive Selection Sheet'!$B124, 'Master List Import'!$A$1:$P$519, 5, FALSE), ""), "")</f>
        <v>Electronics</v>
      </c>
      <c r="H109" s="69" t="str">
        <f>_xlfn.IFNA(IF('Interactive Selection Sheet'!A124 = "", VLOOKUP('Interactive Selection Sheet'!$B124, 'Master List Import'!$A$1:$P$519, 6, FALSE), ""), "")</f>
        <v>Both</v>
      </c>
      <c r="I109" s="72">
        <f>_xlfn.IFNA(IF('Interactive Selection Sheet'!A124 = "", VLOOKUP('Interactive Selection Sheet'!$B124, 'Master List Import'!$A$1:$P$519, 7, FALSE), ""), "")</f>
        <v>1.25</v>
      </c>
      <c r="J109" s="69" t="str">
        <f>_xlfn.IFNA(IF('Interactive Selection Sheet'!A124 = "", VLOOKUP('Interactive Selection Sheet'!$B124, 'Master List Import'!$A$1:$P$519, 8, FALSE), ""), "")</f>
        <v>REI</v>
      </c>
      <c r="K109" s="69" t="str">
        <f>_xlfn.IFNA(IF('Interactive Selection Sheet'!A124 = "", VLOOKUP('Interactive Selection Sheet'!$B124, 'Master List Import'!$A$1:$P$519, 9, FALSE), ""), "")</f>
        <v>411151</v>
      </c>
      <c r="L109" s="69">
        <f>_xlfn.IFNA(IF('Interactive Selection Sheet'!A124 = "", VLOOKUP('Interactive Selection Sheet'!$B124, 'Master List Import'!$A$1:$P$519, 10, FALSE), ""), "")</f>
        <v>0</v>
      </c>
      <c r="M109" s="69">
        <f>_xlfn.IFNA(IF('Interactive Selection Sheet'!A124 = "", VLOOKUP('Interactive Selection Sheet'!$B124, 'Master List Import'!$A$1:$P$519, 11, FALSE), ""), "")</f>
        <v>0</v>
      </c>
      <c r="N109" s="69">
        <f>_xlfn.IFNA(IF('Interactive Selection Sheet'!A124 = "", VLOOKUP('Interactive Selection Sheet'!$B124, 'Master List Import'!$A$1:$P$519, 12, FALSE), ""), "")</f>
        <v>1</v>
      </c>
      <c r="O109" s="69">
        <f>_xlfn.IFNA(IF('Interactive Selection Sheet'!A124 = "", VLOOKUP('Interactive Selection Sheet'!$B124, 'Master List Import'!$A$1:$P$519, 13, FALSE), ""), "")</f>
        <v>2500</v>
      </c>
      <c r="P109" s="69" t="str">
        <f>_xlfn.IFNA(IF('Interactive Selection Sheet'!A124 = "", VLOOKUP('Interactive Selection Sheet'!$B124, 'Master List Import'!$A$1:$P$519, 14, FALSE), ""), "")</f>
        <v>Sentry Earbuds</v>
      </c>
      <c r="Q109" s="69">
        <f>_xlfn.IFNA(IF('Interactive Selection Sheet'!A124 = "", VLOOKUP('Interactive Selection Sheet'!$B124, 'Master List Import'!$A$1:$P$519, 15, FALSE), ""), "")</f>
        <v>1</v>
      </c>
      <c r="R109" s="74">
        <f>_xlfn.IFNA(IF('Interactive Selection Sheet'!A124 = "", VLOOKUP('Interactive Selection Sheet'!$B124, 'Master List Import'!$A$1:$P$519, 16, FALSE), ""), "")</f>
        <v>4.3</v>
      </c>
    </row>
    <row r="110" spans="1:18" ht="21.75" customHeight="1" x14ac:dyDescent="0.25">
      <c r="A110" s="69">
        <f>_xlfn.IFNA(IF('Interactive Selection Sheet'!A125 = "", VLOOKUP('Interactive Selection Sheet'!$B125, 'Master List Import'!$A$1:$P$519, 2, FALSE), ""), "")</f>
        <v>2501</v>
      </c>
      <c r="B110" s="69" t="str">
        <f>_xlfn.IFNA(IF('Interactive Selection Sheet'!A125 = "", VLOOKUP('Interactive Selection Sheet'!$B125, 'Master List Import'!$A$1:$P$519, 3, FALSE), ""), "")</f>
        <v>Koss CL-3 Earbuds</v>
      </c>
      <c r="C110" s="76">
        <f>IF('Interactive Selection Sheet'!$T$2="", "", IF(B110="","",'Interactive Selection Sheet'!$T$2))</f>
        <v>3.5000000000000003E-2</v>
      </c>
      <c r="D110" s="70">
        <f>IF(B110 = "", "", 'Interactive Selection Sheet'!$Q$2)</f>
        <v>4.4999999999999998E-2</v>
      </c>
      <c r="E110" s="70">
        <f>IF(B110="","", 'Interactive Selection Sheet'!$R$2)</f>
        <v>0.02</v>
      </c>
      <c r="F110" s="69" t="str">
        <f>_xlfn.IFNA(IF('Interactive Selection Sheet'!A125 = "", VLOOKUP('Interactive Selection Sheet'!$B125, 'Master List Import'!$A$1:$P$519, 4, FALSE), ""), "")</f>
        <v>Electronics</v>
      </c>
      <c r="G110" s="69" t="str">
        <f>_xlfn.IFNA(IF('Interactive Selection Sheet'!A125 = "", VLOOKUP('Interactive Selection Sheet'!$B125, 'Master List Import'!$A$1:$P$519, 5, FALSE), ""), "")</f>
        <v>Electronics</v>
      </c>
      <c r="H110" s="69" t="str">
        <f>_xlfn.IFNA(IF('Interactive Selection Sheet'!A125 = "", VLOOKUP('Interactive Selection Sheet'!$B125, 'Master List Import'!$A$1:$P$519, 6, FALSE), ""), "")</f>
        <v>Both</v>
      </c>
      <c r="I110" s="72">
        <f>_xlfn.IFNA(IF('Interactive Selection Sheet'!A125 = "", VLOOKUP('Interactive Selection Sheet'!$B125, 'Master List Import'!$A$1:$P$519, 7, FALSE), ""), "")</f>
        <v>2.75</v>
      </c>
      <c r="J110" s="69" t="str">
        <f>_xlfn.IFNA(IF('Interactive Selection Sheet'!A125 = "", VLOOKUP('Interactive Selection Sheet'!$B125, 'Master List Import'!$A$1:$P$519, 8, FALSE), ""), "")</f>
        <v>REI</v>
      </c>
      <c r="K110" s="69" t="str">
        <f>_xlfn.IFNA(IF('Interactive Selection Sheet'!A125 = "", VLOOKUP('Interactive Selection Sheet'!$B125, 'Master List Import'!$A$1:$P$519, 9, FALSE), ""), "")</f>
        <v>411154</v>
      </c>
      <c r="L110" s="69">
        <f>_xlfn.IFNA(IF('Interactive Selection Sheet'!A125 = "", VLOOKUP('Interactive Selection Sheet'!$B125, 'Master List Import'!$A$1:$P$519, 10, FALSE), ""), "")</f>
        <v>0</v>
      </c>
      <c r="M110" s="69">
        <f>_xlfn.IFNA(IF('Interactive Selection Sheet'!A125 = "", VLOOKUP('Interactive Selection Sheet'!$B125, 'Master List Import'!$A$1:$P$519, 11, FALSE), ""), "")</f>
        <v>0</v>
      </c>
      <c r="N110" s="69">
        <f>_xlfn.IFNA(IF('Interactive Selection Sheet'!A125 = "", VLOOKUP('Interactive Selection Sheet'!$B125, 'Master List Import'!$A$1:$P$519, 12, FALSE), ""), "")</f>
        <v>1</v>
      </c>
      <c r="O110" s="69">
        <f>_xlfn.IFNA(IF('Interactive Selection Sheet'!A125 = "", VLOOKUP('Interactive Selection Sheet'!$B125, 'Master List Import'!$A$1:$P$519, 13, FALSE), ""), "")</f>
        <v>2501</v>
      </c>
      <c r="P110" s="69" t="str">
        <f>_xlfn.IFNA(IF('Interactive Selection Sheet'!A125 = "", VLOOKUP('Interactive Selection Sheet'!$B125, 'Master List Import'!$A$1:$P$519, 14, FALSE), ""), "")</f>
        <v>Koss CL-3 Earbuds</v>
      </c>
      <c r="Q110" s="69">
        <f>_xlfn.IFNA(IF('Interactive Selection Sheet'!A125 = "", VLOOKUP('Interactive Selection Sheet'!$B125, 'Master List Import'!$A$1:$P$519, 15, FALSE), ""), "")</f>
        <v>1</v>
      </c>
      <c r="R110" s="74">
        <f>_xlfn.IFNA(IF('Interactive Selection Sheet'!A125 = "", VLOOKUP('Interactive Selection Sheet'!$B125, 'Master List Import'!$A$1:$P$519, 16, FALSE), ""), "")</f>
        <v>8.6</v>
      </c>
    </row>
    <row r="111" spans="1:18" ht="21.75" customHeight="1" x14ac:dyDescent="0.25">
      <c r="A111" s="69">
        <f>_xlfn.IFNA(IF('Interactive Selection Sheet'!A126 = "", VLOOKUP('Interactive Selection Sheet'!$B126, 'Master List Import'!$A$1:$P$519, 2, FALSE), ""), "")</f>
        <v>2510</v>
      </c>
      <c r="B111" s="69" t="str">
        <f>_xlfn.IFNA(IF('Interactive Selection Sheet'!A126 = "", VLOOKUP('Interactive Selection Sheet'!$B126, 'Master List Import'!$A$1:$P$519, 3, FALSE), ""), "")</f>
        <v>Earbuds w/Microphone</v>
      </c>
      <c r="C111" s="76">
        <f>IF('Interactive Selection Sheet'!$T$2="", "", IF(B111="","",'Interactive Selection Sheet'!$T$2))</f>
        <v>3.5000000000000003E-2</v>
      </c>
      <c r="D111" s="70">
        <f>IF(B111 = "", "", 'Interactive Selection Sheet'!$Q$2)</f>
        <v>4.4999999999999998E-2</v>
      </c>
      <c r="E111" s="70">
        <f>IF(B111="","", 'Interactive Selection Sheet'!$R$2)</f>
        <v>0.02</v>
      </c>
      <c r="F111" s="69" t="str">
        <f>_xlfn.IFNA(IF('Interactive Selection Sheet'!A126 = "", VLOOKUP('Interactive Selection Sheet'!$B126, 'Master List Import'!$A$1:$P$519, 4, FALSE), ""), "")</f>
        <v>Electronics</v>
      </c>
      <c r="G111" s="69" t="str">
        <f>_xlfn.IFNA(IF('Interactive Selection Sheet'!A126 = "", VLOOKUP('Interactive Selection Sheet'!$B126, 'Master List Import'!$A$1:$P$519, 5, FALSE), ""), "")</f>
        <v>Electronics</v>
      </c>
      <c r="H111" s="69" t="str">
        <f>_xlfn.IFNA(IF('Interactive Selection Sheet'!A126 = "", VLOOKUP('Interactive Selection Sheet'!$B126, 'Master List Import'!$A$1:$P$519, 6, FALSE), ""), "")</f>
        <v>Both</v>
      </c>
      <c r="I111" s="72">
        <f>_xlfn.IFNA(IF('Interactive Selection Sheet'!A126 = "", VLOOKUP('Interactive Selection Sheet'!$B126, 'Master List Import'!$A$1:$P$519, 7, FALSE), ""), "")</f>
        <v>0.59</v>
      </c>
      <c r="J111" s="69" t="str">
        <f>_xlfn.IFNA(IF('Interactive Selection Sheet'!A126 = "", VLOOKUP('Interactive Selection Sheet'!$B126, 'Master List Import'!$A$1:$P$519, 8, FALSE), ""), "")</f>
        <v>City Tele-Coin Company, Inc.</v>
      </c>
      <c r="K111" s="69" t="str">
        <f>_xlfn.IFNA(IF('Interactive Selection Sheet'!A126 = "", VLOOKUP('Interactive Selection Sheet'!$B126, 'Master List Import'!$A$1:$P$519, 9, FALSE), ""), "")</f>
        <v>625</v>
      </c>
      <c r="L111" s="69">
        <f>_xlfn.IFNA(IF('Interactive Selection Sheet'!A126 = "", VLOOKUP('Interactive Selection Sheet'!$B126, 'Master List Import'!$A$1:$P$519, 10, FALSE), ""), "")</f>
        <v>0</v>
      </c>
      <c r="M111" s="69">
        <f>_xlfn.IFNA(IF('Interactive Selection Sheet'!A126 = "", VLOOKUP('Interactive Selection Sheet'!$B126, 'Master List Import'!$A$1:$P$519, 11, FALSE), ""), "")</f>
        <v>0</v>
      </c>
      <c r="N111" s="69">
        <f>_xlfn.IFNA(IF('Interactive Selection Sheet'!A126 = "", VLOOKUP('Interactive Selection Sheet'!$B126, 'Master List Import'!$A$1:$P$519, 12, FALSE), ""), "")</f>
        <v>1</v>
      </c>
      <c r="O111" s="69">
        <f>_xlfn.IFNA(IF('Interactive Selection Sheet'!A126 = "", VLOOKUP('Interactive Selection Sheet'!$B126, 'Master List Import'!$A$1:$P$519, 13, FALSE), ""), "")</f>
        <v>2510</v>
      </c>
      <c r="P111" s="69" t="str">
        <f>_xlfn.IFNA(IF('Interactive Selection Sheet'!A126 = "", VLOOKUP('Interactive Selection Sheet'!$B126, 'Master List Import'!$A$1:$P$519, 14, FALSE), ""), "")</f>
        <v>Earbuds w/Microphone</v>
      </c>
      <c r="Q111" s="69">
        <f>_xlfn.IFNA(IF('Interactive Selection Sheet'!A126 = "", VLOOKUP('Interactive Selection Sheet'!$B126, 'Master List Import'!$A$1:$P$519, 15, FALSE), ""), "")</f>
        <v>1</v>
      </c>
      <c r="R111" s="74">
        <f>_xlfn.IFNA(IF('Interactive Selection Sheet'!A126 = "", VLOOKUP('Interactive Selection Sheet'!$B126, 'Master List Import'!$A$1:$P$519, 16, FALSE), ""), "")</f>
        <v>5</v>
      </c>
    </row>
    <row r="112" spans="1:18" ht="21.75" customHeight="1" x14ac:dyDescent="0.25">
      <c r="A112" s="69">
        <f>_xlfn.IFNA(IF('Interactive Selection Sheet'!A130 = "", VLOOKUP('Interactive Selection Sheet'!$B130, 'Master List Import'!$A$1:$P$519, 2, FALSE), ""), "")</f>
        <v>2600</v>
      </c>
      <c r="B112" s="69" t="str">
        <f>_xlfn.IFNA(IF('Interactive Selection Sheet'!A130 = "", VLOOKUP('Interactive Selection Sheet'!$B130, 'Master List Import'!$A$1:$P$519, 3, FALSE), ""), "")</f>
        <v>Playing Cards - 12/cs</v>
      </c>
      <c r="C112" s="76">
        <f>IF('Interactive Selection Sheet'!$T$2="", "", IF(B112="","",'Interactive Selection Sheet'!$T$2))</f>
        <v>3.5000000000000003E-2</v>
      </c>
      <c r="D112" s="70">
        <f>IF(B112 = "", "", 'Interactive Selection Sheet'!$Q$2)</f>
        <v>4.4999999999999998E-2</v>
      </c>
      <c r="E112" s="70">
        <f>IF(B112="","", 'Interactive Selection Sheet'!$R$2)</f>
        <v>0.02</v>
      </c>
      <c r="F112" s="69" t="str">
        <f>_xlfn.IFNA(IF('Interactive Selection Sheet'!A130 = "", VLOOKUP('Interactive Selection Sheet'!$B130, 'Master List Import'!$A$1:$P$519, 4, FALSE), ""), "")</f>
        <v>Games</v>
      </c>
      <c r="G112" s="69" t="str">
        <f>_xlfn.IFNA(IF('Interactive Selection Sheet'!A130 = "", VLOOKUP('Interactive Selection Sheet'!$B130, 'Master List Import'!$A$1:$P$519, 5, FALSE), ""), "")</f>
        <v>Games</v>
      </c>
      <c r="H112" s="69" t="str">
        <f>_xlfn.IFNA(IF('Interactive Selection Sheet'!A130 = "", VLOOKUP('Interactive Selection Sheet'!$B130, 'Master List Import'!$A$1:$P$519, 6, FALSE), ""), "")</f>
        <v>Both</v>
      </c>
      <c r="I112" s="72">
        <f>_xlfn.IFNA(IF('Interactive Selection Sheet'!A130 = "", VLOOKUP('Interactive Selection Sheet'!$B130, 'Master List Import'!$A$1:$P$519, 7, FALSE), ""), "")</f>
        <v>0.43</v>
      </c>
      <c r="J112" s="69" t="str">
        <f>_xlfn.IFNA(IF('Interactive Selection Sheet'!A130 = "", VLOOKUP('Interactive Selection Sheet'!$B130, 'Master List Import'!$A$1:$P$519, 8, FALSE), ""), "")</f>
        <v>REI</v>
      </c>
      <c r="K112" s="69" t="str">
        <f>_xlfn.IFNA(IF('Interactive Selection Sheet'!A130 = "", VLOOKUP('Interactive Selection Sheet'!$B130, 'Master List Import'!$A$1:$P$519, 9, FALSE), ""), "")</f>
        <v>411316</v>
      </c>
      <c r="L112" s="69">
        <f>_xlfn.IFNA(IF('Interactive Selection Sheet'!A130 = "", VLOOKUP('Interactive Selection Sheet'!$B130, 'Master List Import'!$A$1:$P$519, 10, FALSE), ""), "")</f>
        <v>0</v>
      </c>
      <c r="M112" s="69">
        <f>_xlfn.IFNA(IF('Interactive Selection Sheet'!A130 = "", VLOOKUP('Interactive Selection Sheet'!$B130, 'Master List Import'!$A$1:$P$519, 11, FALSE), ""), "")</f>
        <v>0</v>
      </c>
      <c r="N112" s="69">
        <f>_xlfn.IFNA(IF('Interactive Selection Sheet'!A130 = "", VLOOKUP('Interactive Selection Sheet'!$B130, 'Master List Import'!$A$1:$P$519, 12, FALSE), ""), "")</f>
        <v>12</v>
      </c>
      <c r="O112" s="69">
        <f>_xlfn.IFNA(IF('Interactive Selection Sheet'!A130 = "", VLOOKUP('Interactive Selection Sheet'!$B130, 'Master List Import'!$A$1:$P$519, 13, FALSE), ""), "")</f>
        <v>2600</v>
      </c>
      <c r="P112" s="69" t="str">
        <f>_xlfn.IFNA(IF('Interactive Selection Sheet'!A130 = "", VLOOKUP('Interactive Selection Sheet'!$B130, 'Master List Import'!$A$1:$P$519, 14, FALSE), ""), "")</f>
        <v>Playing Cards</v>
      </c>
      <c r="Q112" s="69">
        <f>_xlfn.IFNA(IF('Interactive Selection Sheet'!A130 = "", VLOOKUP('Interactive Selection Sheet'!$B130, 'Master List Import'!$A$1:$P$519, 15, FALSE), ""), "")</f>
        <v>1</v>
      </c>
      <c r="R112" s="74">
        <f>_xlfn.IFNA(IF('Interactive Selection Sheet'!A130 = "", VLOOKUP('Interactive Selection Sheet'!$B130, 'Master List Import'!$A$1:$P$519, 16, FALSE), ""), "")</f>
        <v>1.85</v>
      </c>
    </row>
    <row r="113" spans="1:18" ht="21.75" customHeight="1" x14ac:dyDescent="0.25">
      <c r="A113" s="69">
        <f>_xlfn.IFNA(IF('Interactive Selection Sheet'!A131 = "", VLOOKUP('Interactive Selection Sheet'!$B131, 'Master List Import'!$A$1:$P$519, 2, FALSE), ""), "")</f>
        <v>2601</v>
      </c>
      <c r="B113" s="69" t="str">
        <f>_xlfn.IFNA(IF('Interactive Selection Sheet'!A131 = "", VLOOKUP('Interactive Selection Sheet'!$B131, 'Master List Import'!$A$1:$P$519, 3, FALSE), ""), "")</f>
        <v>Double-Six Dominoes, Wooden - 12/cs</v>
      </c>
      <c r="C113" s="76">
        <f>IF('Interactive Selection Sheet'!$T$2="", "", IF(B113="","",'Interactive Selection Sheet'!$T$2))</f>
        <v>3.5000000000000003E-2</v>
      </c>
      <c r="D113" s="70">
        <f>IF(B113 = "", "", 'Interactive Selection Sheet'!$Q$2)</f>
        <v>4.4999999999999998E-2</v>
      </c>
      <c r="E113" s="70">
        <f>IF(B113="","", 'Interactive Selection Sheet'!$R$2)</f>
        <v>0.02</v>
      </c>
      <c r="F113" s="69" t="str">
        <f>_xlfn.IFNA(IF('Interactive Selection Sheet'!A131 = "", VLOOKUP('Interactive Selection Sheet'!$B131, 'Master List Import'!$A$1:$P$519, 4, FALSE), ""), "")</f>
        <v>Games</v>
      </c>
      <c r="G113" s="69" t="str">
        <f>_xlfn.IFNA(IF('Interactive Selection Sheet'!A131 = "", VLOOKUP('Interactive Selection Sheet'!$B131, 'Master List Import'!$A$1:$P$519, 5, FALSE), ""), "")</f>
        <v>Games</v>
      </c>
      <c r="H113" s="69" t="str">
        <f>_xlfn.IFNA(IF('Interactive Selection Sheet'!A131 = "", VLOOKUP('Interactive Selection Sheet'!$B131, 'Master List Import'!$A$1:$P$519, 6, FALSE), ""), "")</f>
        <v>Both</v>
      </c>
      <c r="I113" s="72">
        <f>_xlfn.IFNA(IF('Interactive Selection Sheet'!A131 = "", VLOOKUP('Interactive Selection Sheet'!$B131, 'Master List Import'!$A$1:$P$519, 7, FALSE), ""), "")</f>
        <v>1.7050000000000001</v>
      </c>
      <c r="J113" s="69" t="str">
        <f>_xlfn.IFNA(IF('Interactive Selection Sheet'!A131 = "", VLOOKUP('Interactive Selection Sheet'!$B131, 'Master List Import'!$A$1:$P$519, 8, FALSE), ""), "")</f>
        <v>REI</v>
      </c>
      <c r="K113" s="69" t="str">
        <f>_xlfn.IFNA(IF('Interactive Selection Sheet'!A131 = "", VLOOKUP('Interactive Selection Sheet'!$B131, 'Master List Import'!$A$1:$P$519, 9, FALSE), ""), "")</f>
        <v>409212</v>
      </c>
      <c r="L113" s="69">
        <f>_xlfn.IFNA(IF('Interactive Selection Sheet'!A131 = "", VLOOKUP('Interactive Selection Sheet'!$B131, 'Master List Import'!$A$1:$P$519, 10, FALSE), ""), "")</f>
        <v>0</v>
      </c>
      <c r="M113" s="69">
        <f>_xlfn.IFNA(IF('Interactive Selection Sheet'!A131 = "", VLOOKUP('Interactive Selection Sheet'!$B131, 'Master List Import'!$A$1:$P$519, 11, FALSE), ""), "")</f>
        <v>0</v>
      </c>
      <c r="N113" s="69">
        <f>_xlfn.IFNA(IF('Interactive Selection Sheet'!A131 = "", VLOOKUP('Interactive Selection Sheet'!$B131, 'Master List Import'!$A$1:$P$519, 12, FALSE), ""), "")</f>
        <v>12</v>
      </c>
      <c r="O113" s="69">
        <f>_xlfn.IFNA(IF('Interactive Selection Sheet'!A131 = "", VLOOKUP('Interactive Selection Sheet'!$B131, 'Master List Import'!$A$1:$P$519, 13, FALSE), ""), "")</f>
        <v>2601</v>
      </c>
      <c r="P113" s="69" t="str">
        <f>_xlfn.IFNA(IF('Interactive Selection Sheet'!A131 = "", VLOOKUP('Interactive Selection Sheet'!$B131, 'Master List Import'!$A$1:$P$519, 14, FALSE), ""), "")</f>
        <v>Double-Six Dominoes</v>
      </c>
      <c r="Q113" s="69">
        <f>_xlfn.IFNA(IF('Interactive Selection Sheet'!A131 = "", VLOOKUP('Interactive Selection Sheet'!$B131, 'Master List Import'!$A$1:$P$519, 15, FALSE), ""), "")</f>
        <v>1</v>
      </c>
      <c r="R113" s="74">
        <f>_xlfn.IFNA(IF('Interactive Selection Sheet'!A131 = "", VLOOKUP('Interactive Selection Sheet'!$B131, 'Master List Import'!$A$1:$P$519, 16, FALSE), ""), "")</f>
        <v>5.25</v>
      </c>
    </row>
    <row r="114" spans="1:18" ht="21.75" customHeight="1" x14ac:dyDescent="0.25">
      <c r="A114" s="69">
        <f>_xlfn.IFNA(IF('Interactive Selection Sheet'!A136 = "", VLOOKUP('Interactive Selection Sheet'!$B136, 'Master List Import'!$A$1:$P$519, 2, FALSE), ""), "")</f>
        <v>2602</v>
      </c>
      <c r="B114" s="69" t="str">
        <f>_xlfn.IFNA(IF('Interactive Selection Sheet'!A136 = "", VLOOKUP('Interactive Selection Sheet'!$B136, 'Master List Import'!$A$1:$P$519, 3, FALSE), ""), "")</f>
        <v>SKIP BO Card Game, International Games</v>
      </c>
      <c r="C114" s="76">
        <f>IF('Interactive Selection Sheet'!$T$2="", "", IF(B114="","",'Interactive Selection Sheet'!$T$2))</f>
        <v>3.5000000000000003E-2</v>
      </c>
      <c r="D114" s="70">
        <f>IF(B114 = "", "", 'Interactive Selection Sheet'!$Q$2)</f>
        <v>4.4999999999999998E-2</v>
      </c>
      <c r="E114" s="70">
        <f>IF(B114="","", 'Interactive Selection Sheet'!$R$2)</f>
        <v>0.02</v>
      </c>
      <c r="F114" s="69" t="str">
        <f>_xlfn.IFNA(IF('Interactive Selection Sheet'!A136 = "", VLOOKUP('Interactive Selection Sheet'!$B136, 'Master List Import'!$A$1:$P$519, 4, FALSE), ""), "")</f>
        <v>Games</v>
      </c>
      <c r="G114" s="69" t="str">
        <f>_xlfn.IFNA(IF('Interactive Selection Sheet'!A136 = "", VLOOKUP('Interactive Selection Sheet'!$B136, 'Master List Import'!$A$1:$P$519, 5, FALSE), ""), "")</f>
        <v>Games</v>
      </c>
      <c r="H114" s="69" t="str">
        <f>_xlfn.IFNA(IF('Interactive Selection Sheet'!A136 = "", VLOOKUP('Interactive Selection Sheet'!$B136, 'Master List Import'!$A$1:$P$519, 6, FALSE), ""), "")</f>
        <v>Both</v>
      </c>
      <c r="I114" s="72">
        <f>_xlfn.IFNA(IF('Interactive Selection Sheet'!A136 = "", VLOOKUP('Interactive Selection Sheet'!$B136, 'Master List Import'!$A$1:$P$519, 7, FALSE), ""), "")</f>
        <v>7.99</v>
      </c>
      <c r="J114" s="69" t="str">
        <f>_xlfn.IFNA(IF('Interactive Selection Sheet'!A136 = "", VLOOKUP('Interactive Selection Sheet'!$B136, 'Master List Import'!$A$1:$P$519, 8, FALSE), ""), "")</f>
        <v>Amazon</v>
      </c>
      <c r="K114" s="69" t="str">
        <f>_xlfn.IFNA(IF('Interactive Selection Sheet'!A136 = "", VLOOKUP('Interactive Selection Sheet'!$B136, 'Master List Import'!$A$1:$P$519, 9, FALSE), ""), "")</f>
        <v>SKIP BO (No Item #)</v>
      </c>
      <c r="L114" s="69">
        <f>_xlfn.IFNA(IF('Interactive Selection Sheet'!A136 = "", VLOOKUP('Interactive Selection Sheet'!$B136, 'Master List Import'!$A$1:$P$519, 10, FALSE), ""), "")</f>
        <v>0</v>
      </c>
      <c r="M114" s="69">
        <f>_xlfn.IFNA(IF('Interactive Selection Sheet'!A136 = "", VLOOKUP('Interactive Selection Sheet'!$B136, 'Master List Import'!$A$1:$P$519, 11, FALSE), ""), "")</f>
        <v>0</v>
      </c>
      <c r="N114" s="69">
        <f>_xlfn.IFNA(IF('Interactive Selection Sheet'!A136 = "", VLOOKUP('Interactive Selection Sheet'!$B136, 'Master List Import'!$A$1:$P$519, 12, FALSE), ""), "")</f>
        <v>1</v>
      </c>
      <c r="O114" s="69">
        <f>_xlfn.IFNA(IF('Interactive Selection Sheet'!A136 = "", VLOOKUP('Interactive Selection Sheet'!$B136, 'Master List Import'!$A$1:$P$519, 13, FALSE), ""), "")</f>
        <v>2602</v>
      </c>
      <c r="P114" s="69" t="str">
        <f>_xlfn.IFNA(IF('Interactive Selection Sheet'!A136 = "", VLOOKUP('Interactive Selection Sheet'!$B136, 'Master List Import'!$A$1:$P$519, 14, FALSE), ""), "")</f>
        <v>SKIP BO</v>
      </c>
      <c r="Q114" s="69">
        <f>_xlfn.IFNA(IF('Interactive Selection Sheet'!A136 = "", VLOOKUP('Interactive Selection Sheet'!$B136, 'Master List Import'!$A$1:$P$519, 15, FALSE), ""), "")</f>
        <v>1</v>
      </c>
      <c r="R114" s="74">
        <f>_xlfn.IFNA(IF('Interactive Selection Sheet'!A136 = "", VLOOKUP('Interactive Selection Sheet'!$B136, 'Master List Import'!$A$1:$P$519, 16, FALSE), ""), "")</f>
        <v>22</v>
      </c>
    </row>
    <row r="115" spans="1:18" ht="21.75" customHeight="1" x14ac:dyDescent="0.25">
      <c r="A115" s="69">
        <f>_xlfn.IFNA(IF('Interactive Selection Sheet'!A137 = "", VLOOKUP('Interactive Selection Sheet'!$B137, 'Master List Import'!$A$1:$P$519, 2, FALSE), ""), "")</f>
        <v>2603</v>
      </c>
      <c r="B115" s="69" t="str">
        <f>_xlfn.IFNA(IF('Interactive Selection Sheet'!A137 = "", VLOOKUP('Interactive Selection Sheet'!$B137, 'Master List Import'!$A$1:$P$519, 3, FALSE), ""), "")</f>
        <v>Rook Card Game, Hasbro</v>
      </c>
      <c r="C115" s="76">
        <f>IF('Interactive Selection Sheet'!$T$2="", "", IF(B115="","",'Interactive Selection Sheet'!$T$2))</f>
        <v>3.5000000000000003E-2</v>
      </c>
      <c r="D115" s="70">
        <f>IF(B115 = "", "", 'Interactive Selection Sheet'!$Q$2)</f>
        <v>4.4999999999999998E-2</v>
      </c>
      <c r="E115" s="70">
        <f>IF(B115="","", 'Interactive Selection Sheet'!$R$2)</f>
        <v>0.02</v>
      </c>
      <c r="F115" s="69" t="str">
        <f>_xlfn.IFNA(IF('Interactive Selection Sheet'!A137 = "", VLOOKUP('Interactive Selection Sheet'!$B137, 'Master List Import'!$A$1:$P$519, 4, FALSE), ""), "")</f>
        <v>Games</v>
      </c>
      <c r="G115" s="69" t="str">
        <f>_xlfn.IFNA(IF('Interactive Selection Sheet'!A137 = "", VLOOKUP('Interactive Selection Sheet'!$B137, 'Master List Import'!$A$1:$P$519, 5, FALSE), ""), "")</f>
        <v>Games</v>
      </c>
      <c r="H115" s="69" t="str">
        <f>_xlfn.IFNA(IF('Interactive Selection Sheet'!A137 = "", VLOOKUP('Interactive Selection Sheet'!$B137, 'Master List Import'!$A$1:$P$519, 6, FALSE), ""), "")</f>
        <v>Both</v>
      </c>
      <c r="I115" s="72">
        <f>_xlfn.IFNA(IF('Interactive Selection Sheet'!A137 = "", VLOOKUP('Interactive Selection Sheet'!$B137, 'Master List Import'!$A$1:$P$519, 7, FALSE), ""), "")</f>
        <v>4.3899999999999997</v>
      </c>
      <c r="J115" s="69" t="str">
        <f>_xlfn.IFNA(IF('Interactive Selection Sheet'!A137 = "", VLOOKUP('Interactive Selection Sheet'!$B137, 'Master List Import'!$A$1:$P$519, 8, FALSE), ""), "")</f>
        <v>Amazon</v>
      </c>
      <c r="K115" s="69" t="str">
        <f>_xlfn.IFNA(IF('Interactive Selection Sheet'!A137 = "", VLOOKUP('Interactive Selection Sheet'!$B137, 'Master List Import'!$A$1:$P$519, 9, FALSE), ""), "")</f>
        <v>Rook (No Item #)</v>
      </c>
      <c r="L115" s="69">
        <f>_xlfn.IFNA(IF('Interactive Selection Sheet'!A137 = "", VLOOKUP('Interactive Selection Sheet'!$B137, 'Master List Import'!$A$1:$P$519, 10, FALSE), ""), "")</f>
        <v>0</v>
      </c>
      <c r="M115" s="69">
        <f>_xlfn.IFNA(IF('Interactive Selection Sheet'!A137 = "", VLOOKUP('Interactive Selection Sheet'!$B137, 'Master List Import'!$A$1:$P$519, 11, FALSE), ""), "")</f>
        <v>0</v>
      </c>
      <c r="N115" s="69">
        <f>_xlfn.IFNA(IF('Interactive Selection Sheet'!A137 = "", VLOOKUP('Interactive Selection Sheet'!$B137, 'Master List Import'!$A$1:$P$519, 12, FALSE), ""), "")</f>
        <v>1</v>
      </c>
      <c r="O115" s="69">
        <f>_xlfn.IFNA(IF('Interactive Selection Sheet'!A137 = "", VLOOKUP('Interactive Selection Sheet'!$B137, 'Master List Import'!$A$1:$P$519, 13, FALSE), ""), "")</f>
        <v>2603</v>
      </c>
      <c r="P115" s="69" t="str">
        <f>_xlfn.IFNA(IF('Interactive Selection Sheet'!A137 = "", VLOOKUP('Interactive Selection Sheet'!$B137, 'Master List Import'!$A$1:$P$519, 14, FALSE), ""), "")</f>
        <v>Rook</v>
      </c>
      <c r="Q115" s="69">
        <f>_xlfn.IFNA(IF('Interactive Selection Sheet'!A137 = "", VLOOKUP('Interactive Selection Sheet'!$B137, 'Master List Import'!$A$1:$P$519, 15, FALSE), ""), "")</f>
        <v>1</v>
      </c>
      <c r="R115" s="74">
        <f>_xlfn.IFNA(IF('Interactive Selection Sheet'!A137 = "", VLOOKUP('Interactive Selection Sheet'!$B137, 'Master List Import'!$A$1:$P$519, 16, FALSE), ""), "")</f>
        <v>13</v>
      </c>
    </row>
    <row r="116" spans="1:18" ht="21.75" customHeight="1" x14ac:dyDescent="0.25">
      <c r="A116" s="69">
        <f>_xlfn.IFNA(IF('Interactive Selection Sheet'!A138 = "", VLOOKUP('Interactive Selection Sheet'!$B138, 'Master List Import'!$A$1:$P$519, 2, FALSE), ""), "")</f>
        <v>2604</v>
      </c>
      <c r="B116" s="69" t="str">
        <f>_xlfn.IFNA(IF('Interactive Selection Sheet'!A138 = "", VLOOKUP('Interactive Selection Sheet'!$B138, 'Master List Import'!$A$1:$P$519, 3, FALSE), ""), "")</f>
        <v>Farkle Flip Card Game, PlayMonster</v>
      </c>
      <c r="C116" s="76">
        <f>IF('Interactive Selection Sheet'!$T$2="", "", IF(B116="","",'Interactive Selection Sheet'!$T$2))</f>
        <v>3.5000000000000003E-2</v>
      </c>
      <c r="D116" s="70">
        <f>IF(B116 = "", "", 'Interactive Selection Sheet'!$Q$2)</f>
        <v>4.4999999999999998E-2</v>
      </c>
      <c r="E116" s="70">
        <f>IF(B116="","", 'Interactive Selection Sheet'!$R$2)</f>
        <v>0.02</v>
      </c>
      <c r="F116" s="69" t="str">
        <f>_xlfn.IFNA(IF('Interactive Selection Sheet'!A138 = "", VLOOKUP('Interactive Selection Sheet'!$B138, 'Master List Import'!$A$1:$P$519, 4, FALSE), ""), "")</f>
        <v>Games</v>
      </c>
      <c r="G116" s="69" t="str">
        <f>_xlfn.IFNA(IF('Interactive Selection Sheet'!A138 = "", VLOOKUP('Interactive Selection Sheet'!$B138, 'Master List Import'!$A$1:$P$519, 5, FALSE), ""), "")</f>
        <v>Games</v>
      </c>
      <c r="H116" s="69" t="str">
        <f>_xlfn.IFNA(IF('Interactive Selection Sheet'!A138 = "", VLOOKUP('Interactive Selection Sheet'!$B138, 'Master List Import'!$A$1:$P$519, 6, FALSE), ""), "")</f>
        <v>Both</v>
      </c>
      <c r="I116" s="72">
        <f>_xlfn.IFNA(IF('Interactive Selection Sheet'!A138 = "", VLOOKUP('Interactive Selection Sheet'!$B138, 'Master List Import'!$A$1:$P$519, 7, FALSE), ""), "")</f>
        <v>5.49</v>
      </c>
      <c r="J116" s="69" t="str">
        <f>_xlfn.IFNA(IF('Interactive Selection Sheet'!A138 = "", VLOOKUP('Interactive Selection Sheet'!$B138, 'Master List Import'!$A$1:$P$519, 8, FALSE), ""), "")</f>
        <v>Amazon</v>
      </c>
      <c r="K116" s="69" t="str">
        <f>_xlfn.IFNA(IF('Interactive Selection Sheet'!A138 = "", VLOOKUP('Interactive Selection Sheet'!$B138, 'Master List Import'!$A$1:$P$519, 9, FALSE), ""), "")</f>
        <v>Farkle Flip (No Item #)</v>
      </c>
      <c r="L116" s="69">
        <f>_xlfn.IFNA(IF('Interactive Selection Sheet'!A138 = "", VLOOKUP('Interactive Selection Sheet'!$B138, 'Master List Import'!$A$1:$P$519, 10, FALSE), ""), "")</f>
        <v>0</v>
      </c>
      <c r="M116" s="69">
        <f>_xlfn.IFNA(IF('Interactive Selection Sheet'!A138 = "", VLOOKUP('Interactive Selection Sheet'!$B138, 'Master List Import'!$A$1:$P$519, 11, FALSE), ""), "")</f>
        <v>0</v>
      </c>
      <c r="N116" s="69">
        <f>_xlfn.IFNA(IF('Interactive Selection Sheet'!A138 = "", VLOOKUP('Interactive Selection Sheet'!$B138, 'Master List Import'!$A$1:$P$519, 12, FALSE), ""), "")</f>
        <v>1</v>
      </c>
      <c r="O116" s="69">
        <f>_xlfn.IFNA(IF('Interactive Selection Sheet'!A138 = "", VLOOKUP('Interactive Selection Sheet'!$B138, 'Master List Import'!$A$1:$P$519, 13, FALSE), ""), "")</f>
        <v>2604</v>
      </c>
      <c r="P116" s="69" t="str">
        <f>_xlfn.IFNA(IF('Interactive Selection Sheet'!A138 = "", VLOOKUP('Interactive Selection Sheet'!$B138, 'Master List Import'!$A$1:$P$519, 14, FALSE), ""), "")</f>
        <v>Farkle Flip</v>
      </c>
      <c r="Q116" s="69">
        <f>_xlfn.IFNA(IF('Interactive Selection Sheet'!A138 = "", VLOOKUP('Interactive Selection Sheet'!$B138, 'Master List Import'!$A$1:$P$519, 15, FALSE), ""), "")</f>
        <v>1</v>
      </c>
      <c r="R116" s="74">
        <f>_xlfn.IFNA(IF('Interactive Selection Sheet'!A138 = "", VLOOKUP('Interactive Selection Sheet'!$B138, 'Master List Import'!$A$1:$P$519, 16, FALSE), ""), "")</f>
        <v>15</v>
      </c>
    </row>
    <row r="117" spans="1:18" ht="21.75" customHeight="1" x14ac:dyDescent="0.25">
      <c r="A117" s="69">
        <f>_xlfn.IFNA(IF('Interactive Selection Sheet'!A139 = "", VLOOKUP('Interactive Selection Sheet'!$B139, 'Master List Import'!$A$1:$P$519, 2, FALSE), ""), "")</f>
        <v>2605</v>
      </c>
      <c r="B117" s="69" t="str">
        <f>_xlfn.IFNA(IF('Interactive Selection Sheet'!A139 = "", VLOOKUP('Interactive Selection Sheet'!$B139, 'Master List Import'!$A$1:$P$519, 3, FALSE), ""), "")</f>
        <v>Phase 10 Card Game, Mattel</v>
      </c>
      <c r="C117" s="76">
        <f>IF('Interactive Selection Sheet'!$T$2="", "", IF(B117="","",'Interactive Selection Sheet'!$T$2))</f>
        <v>3.5000000000000003E-2</v>
      </c>
      <c r="D117" s="70">
        <f>IF(B117 = "", "", 'Interactive Selection Sheet'!$Q$2)</f>
        <v>4.4999999999999998E-2</v>
      </c>
      <c r="E117" s="70">
        <f>IF(B117="","", 'Interactive Selection Sheet'!$R$2)</f>
        <v>0.02</v>
      </c>
      <c r="F117" s="69" t="str">
        <f>_xlfn.IFNA(IF('Interactive Selection Sheet'!A139 = "", VLOOKUP('Interactive Selection Sheet'!$B139, 'Master List Import'!$A$1:$P$519, 4, FALSE), ""), "")</f>
        <v>Games</v>
      </c>
      <c r="G117" s="69" t="str">
        <f>_xlfn.IFNA(IF('Interactive Selection Sheet'!A139 = "", VLOOKUP('Interactive Selection Sheet'!$B139, 'Master List Import'!$A$1:$P$519, 5, FALSE), ""), "")</f>
        <v>Games</v>
      </c>
      <c r="H117" s="69" t="str">
        <f>_xlfn.IFNA(IF('Interactive Selection Sheet'!A139 = "", VLOOKUP('Interactive Selection Sheet'!$B139, 'Master List Import'!$A$1:$P$519, 6, FALSE), ""), "")</f>
        <v>Both</v>
      </c>
      <c r="I117" s="72">
        <f>_xlfn.IFNA(IF('Interactive Selection Sheet'!A139 = "", VLOOKUP('Interactive Selection Sheet'!$B139, 'Master List Import'!$A$1:$P$519, 7, FALSE), ""), "")</f>
        <v>6.95</v>
      </c>
      <c r="J117" s="69" t="str">
        <f>_xlfn.IFNA(IF('Interactive Selection Sheet'!A139 = "", VLOOKUP('Interactive Selection Sheet'!$B139, 'Master List Import'!$A$1:$P$519, 8, FALSE), ""), "")</f>
        <v>Amazon</v>
      </c>
      <c r="K117" s="69" t="str">
        <f>_xlfn.IFNA(IF('Interactive Selection Sheet'!A139 = "", VLOOKUP('Interactive Selection Sheet'!$B139, 'Master List Import'!$A$1:$P$519, 9, FALSE), ""), "")</f>
        <v>Phase 10 (No Item #)</v>
      </c>
      <c r="L117" s="69">
        <f>_xlfn.IFNA(IF('Interactive Selection Sheet'!A139 = "", VLOOKUP('Interactive Selection Sheet'!$B139, 'Master List Import'!$A$1:$P$519, 10, FALSE), ""), "")</f>
        <v>0</v>
      </c>
      <c r="M117" s="69">
        <f>_xlfn.IFNA(IF('Interactive Selection Sheet'!A139 = "", VLOOKUP('Interactive Selection Sheet'!$B139, 'Master List Import'!$A$1:$P$519, 11, FALSE), ""), "")</f>
        <v>0</v>
      </c>
      <c r="N117" s="69">
        <f>_xlfn.IFNA(IF('Interactive Selection Sheet'!A139 = "", VLOOKUP('Interactive Selection Sheet'!$B139, 'Master List Import'!$A$1:$P$519, 12, FALSE), ""), "")</f>
        <v>1</v>
      </c>
      <c r="O117" s="69">
        <f>_xlfn.IFNA(IF('Interactive Selection Sheet'!A139 = "", VLOOKUP('Interactive Selection Sheet'!$B139, 'Master List Import'!$A$1:$P$519, 13, FALSE), ""), "")</f>
        <v>2605</v>
      </c>
      <c r="P117" s="69" t="str">
        <f>_xlfn.IFNA(IF('Interactive Selection Sheet'!A139 = "", VLOOKUP('Interactive Selection Sheet'!$B139, 'Master List Import'!$A$1:$P$519, 14, FALSE), ""), "")</f>
        <v>Phase 10</v>
      </c>
      <c r="Q117" s="69">
        <f>_xlfn.IFNA(IF('Interactive Selection Sheet'!A139 = "", VLOOKUP('Interactive Selection Sheet'!$B139, 'Master List Import'!$A$1:$P$519, 15, FALSE), ""), "")</f>
        <v>1</v>
      </c>
      <c r="R117" s="74">
        <f>_xlfn.IFNA(IF('Interactive Selection Sheet'!A139 = "", VLOOKUP('Interactive Selection Sheet'!$B139, 'Master List Import'!$A$1:$P$519, 16, FALSE), ""), "")</f>
        <v>21</v>
      </c>
    </row>
    <row r="118" spans="1:18" ht="21.75" customHeight="1" x14ac:dyDescent="0.25">
      <c r="A118" s="69">
        <f>_xlfn.IFNA(IF('Interactive Selection Sheet'!A140 = "", VLOOKUP('Interactive Selection Sheet'!$B140, 'Master List Import'!$A$1:$P$519, 2, FALSE), ""), "")</f>
        <v>2606</v>
      </c>
      <c r="B118" s="69" t="str">
        <f>_xlfn.IFNA(IF('Interactive Selection Sheet'!A140 = "", VLOOKUP('Interactive Selection Sheet'!$B140, 'Master List Import'!$A$1:$P$519, 3, FALSE), ""), "")</f>
        <v>UNO, Classic Card Game, Mattell</v>
      </c>
      <c r="C118" s="76">
        <f>IF('Interactive Selection Sheet'!$T$2="", "", IF(B118="","",'Interactive Selection Sheet'!$T$2))</f>
        <v>3.5000000000000003E-2</v>
      </c>
      <c r="D118" s="70">
        <f>IF(B118 = "", "", 'Interactive Selection Sheet'!$Q$2)</f>
        <v>4.4999999999999998E-2</v>
      </c>
      <c r="E118" s="70">
        <f>IF(B118="","", 'Interactive Selection Sheet'!$R$2)</f>
        <v>0.02</v>
      </c>
      <c r="F118" s="69" t="str">
        <f>_xlfn.IFNA(IF('Interactive Selection Sheet'!A140 = "", VLOOKUP('Interactive Selection Sheet'!$B140, 'Master List Import'!$A$1:$P$519, 4, FALSE), ""), "")</f>
        <v>Games</v>
      </c>
      <c r="G118" s="69" t="str">
        <f>_xlfn.IFNA(IF('Interactive Selection Sheet'!A140 = "", VLOOKUP('Interactive Selection Sheet'!$B140, 'Master List Import'!$A$1:$P$519, 5, FALSE), ""), "")</f>
        <v>Games</v>
      </c>
      <c r="H118" s="69" t="str">
        <f>_xlfn.IFNA(IF('Interactive Selection Sheet'!A140 = "", VLOOKUP('Interactive Selection Sheet'!$B140, 'Master List Import'!$A$1:$P$519, 6, FALSE), ""), "")</f>
        <v>Both</v>
      </c>
      <c r="I118" s="72">
        <f>_xlfn.IFNA(IF('Interactive Selection Sheet'!A140 = "", VLOOKUP('Interactive Selection Sheet'!$B140, 'Master List Import'!$A$1:$P$519, 7, FALSE), ""), "")</f>
        <v>6.87</v>
      </c>
      <c r="J118" s="69" t="str">
        <f>_xlfn.IFNA(IF('Interactive Selection Sheet'!A140 = "", VLOOKUP('Interactive Selection Sheet'!$B140, 'Master List Import'!$A$1:$P$519, 8, FALSE), ""), "")</f>
        <v>Amazon</v>
      </c>
      <c r="K118" s="69" t="str">
        <f>_xlfn.IFNA(IF('Interactive Selection Sheet'!A140 = "", VLOOKUP('Interactive Selection Sheet'!$B140, 'Master List Import'!$A$1:$P$519, 9, FALSE), ""), "")</f>
        <v>UNO (No Item #)</v>
      </c>
      <c r="L118" s="69">
        <f>_xlfn.IFNA(IF('Interactive Selection Sheet'!A140 = "", VLOOKUP('Interactive Selection Sheet'!$B140, 'Master List Import'!$A$1:$P$519, 10, FALSE), ""), "")</f>
        <v>0</v>
      </c>
      <c r="M118" s="69">
        <f>_xlfn.IFNA(IF('Interactive Selection Sheet'!A140 = "", VLOOKUP('Interactive Selection Sheet'!$B140, 'Master List Import'!$A$1:$P$519, 11, FALSE), ""), "")</f>
        <v>0</v>
      </c>
      <c r="N118" s="69">
        <f>_xlfn.IFNA(IF('Interactive Selection Sheet'!A140 = "", VLOOKUP('Interactive Selection Sheet'!$B140, 'Master List Import'!$A$1:$P$519, 12, FALSE), ""), "")</f>
        <v>1</v>
      </c>
      <c r="O118" s="69">
        <f>_xlfn.IFNA(IF('Interactive Selection Sheet'!A140 = "", VLOOKUP('Interactive Selection Sheet'!$B140, 'Master List Import'!$A$1:$P$519, 13, FALSE), ""), "")</f>
        <v>2606</v>
      </c>
      <c r="P118" s="69" t="str">
        <f>_xlfn.IFNA(IF('Interactive Selection Sheet'!A140 = "", VLOOKUP('Interactive Selection Sheet'!$B140, 'Master List Import'!$A$1:$P$519, 14, FALSE), ""), "")</f>
        <v>UNO</v>
      </c>
      <c r="Q118" s="69">
        <f>_xlfn.IFNA(IF('Interactive Selection Sheet'!A140 = "", VLOOKUP('Interactive Selection Sheet'!$B140, 'Master List Import'!$A$1:$P$519, 15, FALSE), ""), "")</f>
        <v>1</v>
      </c>
      <c r="R118" s="74">
        <f>_xlfn.IFNA(IF('Interactive Selection Sheet'!A140 = "", VLOOKUP('Interactive Selection Sheet'!$B140, 'Master List Import'!$A$1:$P$519, 16, FALSE), ""), "")</f>
        <v>20</v>
      </c>
    </row>
    <row r="119" spans="1:18" ht="21.75" customHeight="1" x14ac:dyDescent="0.25">
      <c r="A119" s="69">
        <f>_xlfn.IFNA(IF('Interactive Selection Sheet'!A132 = "", VLOOKUP('Interactive Selection Sheet'!$B132, 'Master List Import'!$A$1:$P$519, 2, FALSE), ""), "")</f>
        <v>2610</v>
      </c>
      <c r="B119" s="69" t="str">
        <f>_xlfn.IFNA(IF('Interactive Selection Sheet'!A132 = "", VLOOKUP('Interactive Selection Sheet'!$B132, 'Master List Import'!$A$1:$P$519, 3, FALSE), ""), "")</f>
        <v>Checkerboard Set - 12/cs</v>
      </c>
      <c r="C119" s="76">
        <f>IF('Interactive Selection Sheet'!$T$2="", "", IF(B119="","",'Interactive Selection Sheet'!$T$2))</f>
        <v>3.5000000000000003E-2</v>
      </c>
      <c r="D119" s="70">
        <f>IF(B119 = "", "", 'Interactive Selection Sheet'!$Q$2)</f>
        <v>4.4999999999999998E-2</v>
      </c>
      <c r="E119" s="70">
        <f>IF(B119="","", 'Interactive Selection Sheet'!$R$2)</f>
        <v>0.02</v>
      </c>
      <c r="F119" s="69" t="str">
        <f>_xlfn.IFNA(IF('Interactive Selection Sheet'!A132 = "", VLOOKUP('Interactive Selection Sheet'!$B132, 'Master List Import'!$A$1:$P$519, 4, FALSE), ""), "")</f>
        <v>Games</v>
      </c>
      <c r="G119" s="69" t="str">
        <f>_xlfn.IFNA(IF('Interactive Selection Sheet'!A132 = "", VLOOKUP('Interactive Selection Sheet'!$B132, 'Master List Import'!$A$1:$P$519, 5, FALSE), ""), "")</f>
        <v>Games</v>
      </c>
      <c r="H119" s="69" t="str">
        <f>_xlfn.IFNA(IF('Interactive Selection Sheet'!A132 = "", VLOOKUP('Interactive Selection Sheet'!$B132, 'Master List Import'!$A$1:$P$519, 6, FALSE), ""), "")</f>
        <v>Both</v>
      </c>
      <c r="I119" s="72">
        <f>_xlfn.IFNA(IF('Interactive Selection Sheet'!A132 = "", VLOOKUP('Interactive Selection Sheet'!$B132, 'Master List Import'!$A$1:$P$519, 7, FALSE), ""), "")</f>
        <v>2.86</v>
      </c>
      <c r="J119" s="69" t="str">
        <f>_xlfn.IFNA(IF('Interactive Selection Sheet'!A132 = "", VLOOKUP('Interactive Selection Sheet'!$B132, 'Master List Import'!$A$1:$P$519, 8, FALSE), ""), "")</f>
        <v>REI</v>
      </c>
      <c r="K119" s="69" t="str">
        <f>_xlfn.IFNA(IF('Interactive Selection Sheet'!A132 = "", VLOOKUP('Interactive Selection Sheet'!$B132, 'Master List Import'!$A$1:$P$519, 9, FALSE), ""), "")</f>
        <v>409210</v>
      </c>
      <c r="L119" s="69">
        <f>_xlfn.IFNA(IF('Interactive Selection Sheet'!A132 = "", VLOOKUP('Interactive Selection Sheet'!$B132, 'Master List Import'!$A$1:$P$519, 10, FALSE), ""), "")</f>
        <v>0</v>
      </c>
      <c r="M119" s="69">
        <f>_xlfn.IFNA(IF('Interactive Selection Sheet'!A132 = "", VLOOKUP('Interactive Selection Sheet'!$B132, 'Master List Import'!$A$1:$P$519, 11, FALSE), ""), "")</f>
        <v>0</v>
      </c>
      <c r="N119" s="69">
        <f>_xlfn.IFNA(IF('Interactive Selection Sheet'!A132 = "", VLOOKUP('Interactive Selection Sheet'!$B132, 'Master List Import'!$A$1:$P$519, 12, FALSE), ""), "")</f>
        <v>12</v>
      </c>
      <c r="O119" s="69">
        <f>_xlfn.IFNA(IF('Interactive Selection Sheet'!A132 = "", VLOOKUP('Interactive Selection Sheet'!$B132, 'Master List Import'!$A$1:$P$519, 13, FALSE), ""), "")</f>
        <v>2610</v>
      </c>
      <c r="P119" s="69" t="str">
        <f>_xlfn.IFNA(IF('Interactive Selection Sheet'!A132 = "", VLOOKUP('Interactive Selection Sheet'!$B132, 'Master List Import'!$A$1:$P$519, 14, FALSE), ""), "")</f>
        <v>Checkers Set</v>
      </c>
      <c r="Q119" s="69">
        <f>_xlfn.IFNA(IF('Interactive Selection Sheet'!A132 = "", VLOOKUP('Interactive Selection Sheet'!$B132, 'Master List Import'!$A$1:$P$519, 15, FALSE), ""), "")</f>
        <v>1</v>
      </c>
      <c r="R119" s="74">
        <f>_xlfn.IFNA(IF('Interactive Selection Sheet'!A132 = "", VLOOKUP('Interactive Selection Sheet'!$B132, 'Master List Import'!$A$1:$P$519, 16, FALSE), ""), "")</f>
        <v>8.75</v>
      </c>
    </row>
    <row r="120" spans="1:18" ht="21.75" customHeight="1" x14ac:dyDescent="0.25">
      <c r="A120" s="69">
        <f>_xlfn.IFNA(IF('Interactive Selection Sheet'!A133 = "", VLOOKUP('Interactive Selection Sheet'!$B133, 'Master List Import'!$A$1:$P$519, 2, FALSE), ""), "")</f>
        <v>2611</v>
      </c>
      <c r="B120" s="69" t="str">
        <f>_xlfn.IFNA(IF('Interactive Selection Sheet'!A133 = "", VLOOKUP('Interactive Selection Sheet'!$B133, 'Master List Import'!$A$1:$P$519, 3, FALSE), ""), "")</f>
        <v>Chess Set - 12/cs</v>
      </c>
      <c r="C120" s="76">
        <f>IF('Interactive Selection Sheet'!$T$2="", "", IF(B120="","",'Interactive Selection Sheet'!$T$2))</f>
        <v>3.5000000000000003E-2</v>
      </c>
      <c r="D120" s="70">
        <f>IF(B120 = "", "", 'Interactive Selection Sheet'!$Q$2)</f>
        <v>4.4999999999999998E-2</v>
      </c>
      <c r="E120" s="70">
        <f>IF(B120="","", 'Interactive Selection Sheet'!$R$2)</f>
        <v>0.02</v>
      </c>
      <c r="F120" s="69" t="str">
        <f>_xlfn.IFNA(IF('Interactive Selection Sheet'!A133 = "", VLOOKUP('Interactive Selection Sheet'!$B133, 'Master List Import'!$A$1:$P$519, 4, FALSE), ""), "")</f>
        <v>Games</v>
      </c>
      <c r="G120" s="69" t="str">
        <f>_xlfn.IFNA(IF('Interactive Selection Sheet'!A133 = "", VLOOKUP('Interactive Selection Sheet'!$B133, 'Master List Import'!$A$1:$P$519, 5, FALSE), ""), "")</f>
        <v>Games</v>
      </c>
      <c r="H120" s="69" t="str">
        <f>_xlfn.IFNA(IF('Interactive Selection Sheet'!A133 = "", VLOOKUP('Interactive Selection Sheet'!$B133, 'Master List Import'!$A$1:$P$519, 6, FALSE), ""), "")</f>
        <v>Both</v>
      </c>
      <c r="I120" s="72">
        <f>_xlfn.IFNA(IF('Interactive Selection Sheet'!A133 = "", VLOOKUP('Interactive Selection Sheet'!$B133, 'Master List Import'!$A$1:$P$519, 7, FALSE), ""), "")</f>
        <v>3.4</v>
      </c>
      <c r="J120" s="69" t="str">
        <f>_xlfn.IFNA(IF('Interactive Selection Sheet'!A133 = "", VLOOKUP('Interactive Selection Sheet'!$B133, 'Master List Import'!$A$1:$P$519, 8, FALSE), ""), "")</f>
        <v>REI</v>
      </c>
      <c r="K120" s="69" t="str">
        <f>_xlfn.IFNA(IF('Interactive Selection Sheet'!A133 = "", VLOOKUP('Interactive Selection Sheet'!$B133, 'Master List Import'!$A$1:$P$519, 9, FALSE), ""), "")</f>
        <v>409211</v>
      </c>
      <c r="L120" s="69">
        <f>_xlfn.IFNA(IF('Interactive Selection Sheet'!A133 = "", VLOOKUP('Interactive Selection Sheet'!$B133, 'Master List Import'!$A$1:$P$519, 10, FALSE), ""), "")</f>
        <v>0</v>
      </c>
      <c r="M120" s="69">
        <f>_xlfn.IFNA(IF('Interactive Selection Sheet'!A133 = "", VLOOKUP('Interactive Selection Sheet'!$B133, 'Master List Import'!$A$1:$P$519, 11, FALSE), ""), "")</f>
        <v>0</v>
      </c>
      <c r="N120" s="69">
        <f>_xlfn.IFNA(IF('Interactive Selection Sheet'!A133 = "", VLOOKUP('Interactive Selection Sheet'!$B133, 'Master List Import'!$A$1:$P$519, 12, FALSE), ""), "")</f>
        <v>12</v>
      </c>
      <c r="O120" s="69">
        <f>_xlfn.IFNA(IF('Interactive Selection Sheet'!A133 = "", VLOOKUP('Interactive Selection Sheet'!$B133, 'Master List Import'!$A$1:$P$519, 13, FALSE), ""), "")</f>
        <v>2611</v>
      </c>
      <c r="P120" s="69" t="str">
        <f>_xlfn.IFNA(IF('Interactive Selection Sheet'!A133 = "", VLOOKUP('Interactive Selection Sheet'!$B133, 'Master List Import'!$A$1:$P$519, 14, FALSE), ""), "")</f>
        <v>Chess Set</v>
      </c>
      <c r="Q120" s="69">
        <f>_xlfn.IFNA(IF('Interactive Selection Sheet'!A133 = "", VLOOKUP('Interactive Selection Sheet'!$B133, 'Master List Import'!$A$1:$P$519, 15, FALSE), ""), "")</f>
        <v>1</v>
      </c>
      <c r="R120" s="74">
        <f>_xlfn.IFNA(IF('Interactive Selection Sheet'!A133 = "", VLOOKUP('Interactive Selection Sheet'!$B133, 'Master List Import'!$A$1:$P$519, 16, FALSE), ""), "")</f>
        <v>10.5</v>
      </c>
    </row>
    <row r="121" spans="1:18" ht="21.75" customHeight="1" x14ac:dyDescent="0.25">
      <c r="A121" s="69">
        <f>_xlfn.IFNA(IF('Interactive Selection Sheet'!A134 = "", VLOOKUP('Interactive Selection Sheet'!$B134, 'Master List Import'!$A$1:$P$519, 2, FALSE), ""), "")</f>
        <v>2620</v>
      </c>
      <c r="B121" s="69" t="str">
        <f>_xlfn.IFNA(IF('Interactive Selection Sheet'!A134 = "", VLOOKUP('Interactive Selection Sheet'!$B134, 'Master List Import'!$A$1:$P$519, 3, FALSE), ""), "")</f>
        <v>Variety Puzzles &amp; Games Book</v>
      </c>
      <c r="C121" s="76">
        <f>IF('Interactive Selection Sheet'!$T$2="", "", IF(B121="","",'Interactive Selection Sheet'!$T$2))</f>
        <v>3.5000000000000003E-2</v>
      </c>
      <c r="D121" s="70">
        <f>IF(B121 = "", "", 'Interactive Selection Sheet'!$Q$2)</f>
        <v>4.4999999999999998E-2</v>
      </c>
      <c r="E121" s="70">
        <f>IF(B121="","", 'Interactive Selection Sheet'!$R$2)</f>
        <v>0.02</v>
      </c>
      <c r="F121" s="69" t="str">
        <f>_xlfn.IFNA(IF('Interactive Selection Sheet'!A134 = "", VLOOKUP('Interactive Selection Sheet'!$B134, 'Master List Import'!$A$1:$P$519, 4, FALSE), ""), "")</f>
        <v>Games</v>
      </c>
      <c r="G121" s="69" t="str">
        <f>_xlfn.IFNA(IF('Interactive Selection Sheet'!A134 = "", VLOOKUP('Interactive Selection Sheet'!$B134, 'Master List Import'!$A$1:$P$519, 5, FALSE), ""), "")</f>
        <v>Games</v>
      </c>
      <c r="H121" s="69" t="str">
        <f>_xlfn.IFNA(IF('Interactive Selection Sheet'!A134 = "", VLOOKUP('Interactive Selection Sheet'!$B134, 'Master List Import'!$A$1:$P$519, 6, FALSE), ""), "")</f>
        <v>Both</v>
      </c>
      <c r="I121" s="72">
        <f>_xlfn.IFNA(IF('Interactive Selection Sheet'!A134 = "", VLOOKUP('Interactive Selection Sheet'!$B134, 'Master List Import'!$A$1:$P$519, 7, FALSE), ""), "")</f>
        <v>0.95</v>
      </c>
      <c r="J121" s="69" t="str">
        <f>_xlfn.IFNA(IF('Interactive Selection Sheet'!A134 = "", VLOOKUP('Interactive Selection Sheet'!$B134, 'Master List Import'!$A$1:$P$519, 8, FALSE), ""), "")</f>
        <v>REI</v>
      </c>
      <c r="K121" s="69" t="str">
        <f>_xlfn.IFNA(IF('Interactive Selection Sheet'!A134 = "", VLOOKUP('Interactive Selection Sheet'!$B134, 'Master List Import'!$A$1:$P$519, 9, FALSE), ""), "")</f>
        <v>409201</v>
      </c>
      <c r="L121" s="69">
        <f>_xlfn.IFNA(IF('Interactive Selection Sheet'!A134 = "", VLOOKUP('Interactive Selection Sheet'!$B134, 'Master List Import'!$A$1:$P$519, 10, FALSE), ""), "")</f>
        <v>0</v>
      </c>
      <c r="M121" s="69">
        <f>_xlfn.IFNA(IF('Interactive Selection Sheet'!A134 = "", VLOOKUP('Interactive Selection Sheet'!$B134, 'Master List Import'!$A$1:$P$519, 11, FALSE), ""), "")</f>
        <v>0</v>
      </c>
      <c r="N121" s="69">
        <f>_xlfn.IFNA(IF('Interactive Selection Sheet'!A134 = "", VLOOKUP('Interactive Selection Sheet'!$B134, 'Master List Import'!$A$1:$P$519, 12, FALSE), ""), "")</f>
        <v>1</v>
      </c>
      <c r="O121" s="69">
        <f>_xlfn.IFNA(IF('Interactive Selection Sheet'!A134 = "", VLOOKUP('Interactive Selection Sheet'!$B134, 'Master List Import'!$A$1:$P$519, 13, FALSE), ""), "")</f>
        <v>2620</v>
      </c>
      <c r="P121" s="69" t="str">
        <f>_xlfn.IFNA(IF('Interactive Selection Sheet'!A134 = "", VLOOKUP('Interactive Selection Sheet'!$B134, 'Master List Import'!$A$1:$P$519, 14, FALSE), ""), "")</f>
        <v>Variety Puzzle Book</v>
      </c>
      <c r="Q121" s="69">
        <f>_xlfn.IFNA(IF('Interactive Selection Sheet'!A134 = "", VLOOKUP('Interactive Selection Sheet'!$B134, 'Master List Import'!$A$1:$P$519, 15, FALSE), ""), "")</f>
        <v>1</v>
      </c>
      <c r="R121" s="74">
        <f>_xlfn.IFNA(IF('Interactive Selection Sheet'!A134 = "", VLOOKUP('Interactive Selection Sheet'!$B134, 'Master List Import'!$A$1:$P$519, 16, FALSE), ""), "")</f>
        <v>2.85</v>
      </c>
    </row>
    <row r="122" spans="1:18" ht="21.75" customHeight="1" x14ac:dyDescent="0.25">
      <c r="A122" s="69">
        <f>_xlfn.IFNA(IF('Interactive Selection Sheet'!A135 = "", VLOOKUP('Interactive Selection Sheet'!$B135, 'Master List Import'!$A$1:$P$519, 2, FALSE), ""), "")</f>
        <v>2621</v>
      </c>
      <c r="B122" s="69" t="str">
        <f>_xlfn.IFNA(IF('Interactive Selection Sheet'!A135 = "", VLOOKUP('Interactive Selection Sheet'!$B135, 'Master List Import'!$A$1:$P$519, 3, FALSE), ""), "")</f>
        <v>Bible Word Find Book</v>
      </c>
      <c r="C122" s="76">
        <f>IF('Interactive Selection Sheet'!$T$2="", "", IF(B122="","",'Interactive Selection Sheet'!$T$2))</f>
        <v>3.5000000000000003E-2</v>
      </c>
      <c r="D122" s="70">
        <f>IF(B122 = "", "", 'Interactive Selection Sheet'!$Q$2)</f>
        <v>4.4999999999999998E-2</v>
      </c>
      <c r="E122" s="70">
        <f>IF(B122="","", 'Interactive Selection Sheet'!$R$2)</f>
        <v>0.02</v>
      </c>
      <c r="F122" s="69" t="str">
        <f>_xlfn.IFNA(IF('Interactive Selection Sheet'!A135 = "", VLOOKUP('Interactive Selection Sheet'!$B135, 'Master List Import'!$A$1:$P$519, 4, FALSE), ""), "")</f>
        <v>Games</v>
      </c>
      <c r="G122" s="69" t="str">
        <f>_xlfn.IFNA(IF('Interactive Selection Sheet'!A135 = "", VLOOKUP('Interactive Selection Sheet'!$B135, 'Master List Import'!$A$1:$P$519, 5, FALSE), ""), "")</f>
        <v>Games</v>
      </c>
      <c r="H122" s="69" t="str">
        <f>_xlfn.IFNA(IF('Interactive Selection Sheet'!A135 = "", VLOOKUP('Interactive Selection Sheet'!$B135, 'Master List Import'!$A$1:$P$519, 6, FALSE), ""), "")</f>
        <v>Both</v>
      </c>
      <c r="I122" s="72">
        <f>_xlfn.IFNA(IF('Interactive Selection Sheet'!A135 = "", VLOOKUP('Interactive Selection Sheet'!$B135, 'Master List Import'!$A$1:$P$519, 7, FALSE), ""), "")</f>
        <v>0.93</v>
      </c>
      <c r="J122" s="69" t="str">
        <f>_xlfn.IFNA(IF('Interactive Selection Sheet'!A135 = "", VLOOKUP('Interactive Selection Sheet'!$B135, 'Master List Import'!$A$1:$P$519, 8, FALSE), ""), "")</f>
        <v>REI</v>
      </c>
      <c r="K122" s="69" t="str">
        <f>_xlfn.IFNA(IF('Interactive Selection Sheet'!A135 = "", VLOOKUP('Interactive Selection Sheet'!$B135, 'Master List Import'!$A$1:$P$519, 9, FALSE), ""), "")</f>
        <v>409203</v>
      </c>
      <c r="L122" s="69">
        <f>_xlfn.IFNA(IF('Interactive Selection Sheet'!A135 = "", VLOOKUP('Interactive Selection Sheet'!$B135, 'Master List Import'!$A$1:$P$519, 10, FALSE), ""), "")</f>
        <v>0</v>
      </c>
      <c r="M122" s="69">
        <f>_xlfn.IFNA(IF('Interactive Selection Sheet'!A135 = "", VLOOKUP('Interactive Selection Sheet'!$B135, 'Master List Import'!$A$1:$P$519, 11, FALSE), ""), "")</f>
        <v>0</v>
      </c>
      <c r="N122" s="69">
        <f>_xlfn.IFNA(IF('Interactive Selection Sheet'!A135 = "", VLOOKUP('Interactive Selection Sheet'!$B135, 'Master List Import'!$A$1:$P$519, 12, FALSE), ""), "")</f>
        <v>1</v>
      </c>
      <c r="O122" s="69">
        <f>_xlfn.IFNA(IF('Interactive Selection Sheet'!A135 = "", VLOOKUP('Interactive Selection Sheet'!$B135, 'Master List Import'!$A$1:$P$519, 13, FALSE), ""), "")</f>
        <v>2621</v>
      </c>
      <c r="P122" s="69" t="str">
        <f>_xlfn.IFNA(IF('Interactive Selection Sheet'!A135 = "", VLOOKUP('Interactive Selection Sheet'!$B135, 'Master List Import'!$A$1:$P$519, 14, FALSE), ""), "")</f>
        <v>Bible Word Find Book</v>
      </c>
      <c r="Q122" s="69">
        <f>_xlfn.IFNA(IF('Interactive Selection Sheet'!A135 = "", VLOOKUP('Interactive Selection Sheet'!$B135, 'Master List Import'!$A$1:$P$519, 15, FALSE), ""), "")</f>
        <v>1</v>
      </c>
      <c r="R122" s="74">
        <f>_xlfn.IFNA(IF('Interactive Selection Sheet'!A135 = "", VLOOKUP('Interactive Selection Sheet'!$B135, 'Master List Import'!$A$1:$P$519, 16, FALSE), ""), "")</f>
        <v>2.85</v>
      </c>
    </row>
    <row r="123" spans="1:18" ht="21.75" customHeight="1" x14ac:dyDescent="0.25">
      <c r="A123" s="69">
        <f>_xlfn.IFNA(IF('Interactive Selection Sheet'!A141 = "", VLOOKUP('Interactive Selection Sheet'!$B141, 'Master List Import'!$A$1:$P$519, 2, FALSE), ""), "")</f>
        <v>2622</v>
      </c>
      <c r="B123" s="69" t="str">
        <f>_xlfn.IFNA(IF('Interactive Selection Sheet'!A141 = "", VLOOKUP('Interactive Selection Sheet'!$B141, 'Master List Import'!$A$1:$P$519, 3, FALSE), ""), "")</f>
        <v>Adult Coloring Book, Random Design - 72/cs</v>
      </c>
      <c r="C123" s="76">
        <f>IF('Interactive Selection Sheet'!$T$2="", "", IF(B123="","",'Interactive Selection Sheet'!$T$2))</f>
        <v>3.5000000000000003E-2</v>
      </c>
      <c r="D123" s="70">
        <f>IF(B123 = "", "", 'Interactive Selection Sheet'!$Q$2)</f>
        <v>4.4999999999999998E-2</v>
      </c>
      <c r="E123" s="70">
        <f>IF(B123="","", 'Interactive Selection Sheet'!$R$2)</f>
        <v>0.02</v>
      </c>
      <c r="F123" s="69" t="str">
        <f>_xlfn.IFNA(IF('Interactive Selection Sheet'!A141 = "", VLOOKUP('Interactive Selection Sheet'!$B141, 'Master List Import'!$A$1:$P$519, 4, FALSE), ""), "")</f>
        <v>Games</v>
      </c>
      <c r="G123" s="69" t="str">
        <f>_xlfn.IFNA(IF('Interactive Selection Sheet'!A141 = "", VLOOKUP('Interactive Selection Sheet'!$B141, 'Master List Import'!$A$1:$P$519, 5, FALSE), ""), "")</f>
        <v>Games</v>
      </c>
      <c r="H123" s="69" t="str">
        <f>_xlfn.IFNA(IF('Interactive Selection Sheet'!A141 = "", VLOOKUP('Interactive Selection Sheet'!$B141, 'Master List Import'!$A$1:$P$519, 6, FALSE), ""), "")</f>
        <v>Both</v>
      </c>
      <c r="I123" s="72">
        <f>_xlfn.IFNA(IF('Interactive Selection Sheet'!A141 = "", VLOOKUP('Interactive Selection Sheet'!$B141, 'Master List Import'!$A$1:$P$519, 7, FALSE), ""), "")</f>
        <v>0.98329999999999995</v>
      </c>
      <c r="J123" s="69" t="str">
        <f>_xlfn.IFNA(IF('Interactive Selection Sheet'!A141 = "", VLOOKUP('Interactive Selection Sheet'!$B141, 'Master List Import'!$A$1:$P$519, 8, FALSE), ""), "")</f>
        <v>REI</v>
      </c>
      <c r="K123" s="69" t="str">
        <f>_xlfn.IFNA(IF('Interactive Selection Sheet'!A141 = "", VLOOKUP('Interactive Selection Sheet'!$B141, 'Master List Import'!$A$1:$P$519, 9, FALSE), ""), "")</f>
        <v>409207</v>
      </c>
      <c r="L123" s="69">
        <f>_xlfn.IFNA(IF('Interactive Selection Sheet'!A141 = "", VLOOKUP('Interactive Selection Sheet'!$B141, 'Master List Import'!$A$1:$P$519, 10, FALSE), ""), "")</f>
        <v>0</v>
      </c>
      <c r="M123" s="69">
        <f>_xlfn.IFNA(IF('Interactive Selection Sheet'!A141 = "", VLOOKUP('Interactive Selection Sheet'!$B141, 'Master List Import'!$A$1:$P$519, 11, FALSE), ""), "")</f>
        <v>0</v>
      </c>
      <c r="N123" s="69">
        <f>_xlfn.IFNA(IF('Interactive Selection Sheet'!A141 = "", VLOOKUP('Interactive Selection Sheet'!$B141, 'Master List Import'!$A$1:$P$519, 12, FALSE), ""), "")</f>
        <v>72</v>
      </c>
      <c r="O123" s="69">
        <f>_xlfn.IFNA(IF('Interactive Selection Sheet'!A141 = "", VLOOKUP('Interactive Selection Sheet'!$B141, 'Master List Import'!$A$1:$P$519, 13, FALSE), ""), "")</f>
        <v>2622</v>
      </c>
      <c r="P123" s="69" t="str">
        <f>_xlfn.IFNA(IF('Interactive Selection Sheet'!A141 = "", VLOOKUP('Interactive Selection Sheet'!$B141, 'Master List Import'!$A$1:$P$519, 14, FALSE), ""), "")</f>
        <v>Adult Coloring Book</v>
      </c>
      <c r="Q123" s="69">
        <f>_xlfn.IFNA(IF('Interactive Selection Sheet'!A141 = "", VLOOKUP('Interactive Selection Sheet'!$B141, 'Master List Import'!$A$1:$P$519, 15, FALSE), ""), "")</f>
        <v>1</v>
      </c>
      <c r="R123" s="74">
        <f>_xlfn.IFNA(IF('Interactive Selection Sheet'!A141 = "", VLOOKUP('Interactive Selection Sheet'!$B141, 'Master List Import'!$A$1:$P$519, 16, FALSE), ""), "")</f>
        <v>3.5</v>
      </c>
    </row>
    <row r="124" spans="1:18" ht="21.75" customHeight="1" x14ac:dyDescent="0.25">
      <c r="A124" s="69">
        <f>_xlfn.IFNA(IF('Interactive Selection Sheet'!$K113= "", VLOOKUP('Interactive Selection Sheet'!$L113, 'Master List Import'!$A$1:$P$519, 2, FALSE), ""), "")</f>
        <v>2650</v>
      </c>
      <c r="B124" s="69" t="str">
        <f>_xlfn.IFNA(IF('Interactive Selection Sheet'!$K113= "", VLOOKUP('Interactive Selection Sheet'!$L113, 'Master List Import'!$A$1:$P$519, 3, FALSE), ""), "")</f>
        <v>Webster's Standard Dictionary</v>
      </c>
      <c r="C124" s="76">
        <f>IF('Interactive Selection Sheet'!$T$2="", "", IF(B124="","",'Interactive Selection Sheet'!$T$2))</f>
        <v>3.5000000000000003E-2</v>
      </c>
      <c r="D124" s="70">
        <f>IF(B124 = "", "", 'Interactive Selection Sheet'!$Q$2)</f>
        <v>4.4999999999999998E-2</v>
      </c>
      <c r="E124" s="70">
        <f>IF(B124="","", 'Interactive Selection Sheet'!$R$2)</f>
        <v>0.02</v>
      </c>
      <c r="F124" s="69" t="str">
        <f>_xlfn.IFNA(IF('Interactive Selection Sheet'!K113= "", VLOOKUP('Interactive Selection Sheet'!$L113, 'Master List Import'!$A$1:$P$519, 4, FALSE), ""), "")</f>
        <v>Stationery</v>
      </c>
      <c r="G124" s="69" t="str">
        <f>_xlfn.IFNA(IF('Interactive Selection Sheet'!K113= "", VLOOKUP('Interactive Selection Sheet'!$L113, 'Master List Import'!$A$1:$P$519, 5, FALSE), ""), "")</f>
        <v>Stationery</v>
      </c>
      <c r="H124" s="69" t="str">
        <f>_xlfn.IFNA(IF('Interactive Selection Sheet'!K113= "", VLOOKUP('Interactive Selection Sheet'!$L113, 'Master List Import'!$A$1:$P$519, 6, FALSE), ""), "")</f>
        <v>Both</v>
      </c>
      <c r="I124" s="72">
        <f>_xlfn.IFNA(IF('Interactive Selection Sheet'!K113= "", VLOOKUP('Interactive Selection Sheet'!$L113, 'Master List Import'!$A$1:$P$519, 7, FALSE), ""), "")</f>
        <v>0.95</v>
      </c>
      <c r="J124" s="69" t="str">
        <f>_xlfn.IFNA(IF('Interactive Selection Sheet'!K113= "", VLOOKUP('Interactive Selection Sheet'!$L113, 'Master List Import'!$A$1:$P$519, 8, FALSE), ""), "")</f>
        <v>REI</v>
      </c>
      <c r="K124" s="69" t="str">
        <f>_xlfn.IFNA(IF('Interactive Selection Sheet'!K113= "", VLOOKUP('Interactive Selection Sheet'!$L113, 'Master List Import'!$A$1:$P$519, 9, FALSE), ""), "")</f>
        <v>409144</v>
      </c>
      <c r="L124" s="69">
        <f>_xlfn.IFNA(IF('Interactive Selection Sheet'!K113= "", VLOOKUP('Interactive Selection Sheet'!$L113, 'Master List Import'!$A$1:$P$519, 10, FALSE), ""), "")</f>
        <v>0</v>
      </c>
      <c r="M124" s="69">
        <f>_xlfn.IFNA(IF('Interactive Selection Sheet'!K113= "", VLOOKUP('Interactive Selection Sheet'!$L113, 'Master List Import'!$A$1:$P$519, 11, FALSE), ""), "")</f>
        <v>0</v>
      </c>
      <c r="N124" s="69">
        <f>_xlfn.IFNA(IF('Interactive Selection Sheet'!K113= "", VLOOKUP('Interactive Selection Sheet'!$L113, 'Master List Import'!$A$1:$P$519, 12, FALSE), ""), "")</f>
        <v>1</v>
      </c>
      <c r="O124" s="69">
        <f>_xlfn.IFNA(IF('Interactive Selection Sheet'!K113= "", VLOOKUP('Interactive Selection Sheet'!$L113, 'Master List Import'!$A$1:$P$519, 13, FALSE), ""), "")</f>
        <v>2650</v>
      </c>
      <c r="P124" s="69" t="str">
        <f>_xlfn.IFNA(IF('Interactive Selection Sheet'!K113= "", VLOOKUP('Interactive Selection Sheet'!$L113, 'Master List Import'!$A$1:$P$519, 14, FALSE), ""), "")</f>
        <v>Webster's Dictionary</v>
      </c>
      <c r="Q124" s="69">
        <f>_xlfn.IFNA(IF('Interactive Selection Sheet'!K113= "", VLOOKUP('Interactive Selection Sheet'!$L113, 'Master List Import'!$A$1:$P$519, 15, FALSE), ""), "")</f>
        <v>1</v>
      </c>
      <c r="R124" s="74">
        <f>_xlfn.IFNA(IF('Interactive Selection Sheet'!K113= "", VLOOKUP('Interactive Selection Sheet'!$L113, 'Master List Import'!$A$1:$P$519, 16, FALSE), ""), "")</f>
        <v>3.5</v>
      </c>
    </row>
    <row r="125" spans="1:18" ht="21.75" customHeight="1" x14ac:dyDescent="0.25">
      <c r="A125" s="69">
        <f>_xlfn.IFNA(IF('Interactive Selection Sheet'!$K114= "", VLOOKUP('Interactive Selection Sheet'!$L114, 'Master List Import'!$A$1:$P$519, 2, FALSE), ""), "")</f>
        <v>3000</v>
      </c>
      <c r="B125" s="69" t="str">
        <f>_xlfn.IFNA(IF('Interactive Selection Sheet'!$K114= "", VLOOKUP('Interactive Selection Sheet'!$L114, 'Master List Import'!$A$1:$P$519, 3, FALSE), ""), "")</f>
        <v>Writing Pad, Ruled White Letter Size 8.5 x 11, 50pgs - 72/cs</v>
      </c>
      <c r="C125" s="76">
        <f>IF('Interactive Selection Sheet'!$T$2="", "", IF(B125="","",'Interactive Selection Sheet'!$T$2))</f>
        <v>3.5000000000000003E-2</v>
      </c>
      <c r="D125" s="70">
        <f>IF(B125 = "", "", 'Interactive Selection Sheet'!$Q$2)</f>
        <v>4.4999999999999998E-2</v>
      </c>
      <c r="E125" s="70">
        <f>IF(B125="","", 'Interactive Selection Sheet'!$R$2)</f>
        <v>0.02</v>
      </c>
      <c r="F125" s="69" t="str">
        <f>_xlfn.IFNA(IF('Interactive Selection Sheet'!K114= "", VLOOKUP('Interactive Selection Sheet'!$L114, 'Master List Import'!$A$1:$P$519, 4, FALSE), ""), "")</f>
        <v>Stationery</v>
      </c>
      <c r="G125" s="69" t="str">
        <f>_xlfn.IFNA(IF('Interactive Selection Sheet'!K114= "", VLOOKUP('Interactive Selection Sheet'!$L114, 'Master List Import'!$A$1:$P$519, 5, FALSE), ""), "")</f>
        <v>Stationery</v>
      </c>
      <c r="H125" s="69" t="str">
        <f>_xlfn.IFNA(IF('Interactive Selection Sheet'!K114= "", VLOOKUP('Interactive Selection Sheet'!$L114, 'Master List Import'!$A$1:$P$519, 6, FALSE), ""), "")</f>
        <v>Both</v>
      </c>
      <c r="I125" s="72">
        <f>_xlfn.IFNA(IF('Interactive Selection Sheet'!K114= "", VLOOKUP('Interactive Selection Sheet'!$L114, 'Master List Import'!$A$1:$P$519, 7, FALSE), ""), "")</f>
        <v>0.66</v>
      </c>
      <c r="J125" s="69" t="str">
        <f>_xlfn.IFNA(IF('Interactive Selection Sheet'!K114= "", VLOOKUP('Interactive Selection Sheet'!$L114, 'Master List Import'!$A$1:$P$519, 8, FALSE), ""), "")</f>
        <v>REI</v>
      </c>
      <c r="K125" s="69" t="str">
        <f>_xlfn.IFNA(IF('Interactive Selection Sheet'!K114= "", VLOOKUP('Interactive Selection Sheet'!$L114, 'Master List Import'!$A$1:$P$519, 9, FALSE), ""), "")</f>
        <v>406715</v>
      </c>
      <c r="L125" s="69">
        <f>_xlfn.IFNA(IF('Interactive Selection Sheet'!K114= "", VLOOKUP('Interactive Selection Sheet'!$L114, 'Master List Import'!$A$1:$P$519, 10, FALSE), ""), "")</f>
        <v>0</v>
      </c>
      <c r="M125" s="69">
        <f>_xlfn.IFNA(IF('Interactive Selection Sheet'!K114= "", VLOOKUP('Interactive Selection Sheet'!$L114, 'Master List Import'!$A$1:$P$519, 11, FALSE), ""), "")</f>
        <v>0</v>
      </c>
      <c r="N125" s="69">
        <f>_xlfn.IFNA(IF('Interactive Selection Sheet'!K114= "", VLOOKUP('Interactive Selection Sheet'!$L114, 'Master List Import'!$A$1:$P$519, 12, FALSE), ""), "")</f>
        <v>72</v>
      </c>
      <c r="O125" s="69">
        <f>_xlfn.IFNA(IF('Interactive Selection Sheet'!K114= "", VLOOKUP('Interactive Selection Sheet'!$L114, 'Master List Import'!$A$1:$P$519, 13, FALSE), ""), "")</f>
        <v>3000</v>
      </c>
      <c r="P125" s="69" t="str">
        <f>_xlfn.IFNA(IF('Interactive Selection Sheet'!K114= "", VLOOKUP('Interactive Selection Sheet'!$L114, 'Master List Import'!$A$1:$P$519, 14, FALSE), ""), "")</f>
        <v>Writing Pad (8.5x11, 50pg)</v>
      </c>
      <c r="Q125" s="69">
        <f>_xlfn.IFNA(IF('Interactive Selection Sheet'!K114= "", VLOOKUP('Interactive Selection Sheet'!$L114, 'Master List Import'!$A$1:$P$519, 15, FALSE), ""), "")</f>
        <v>1</v>
      </c>
      <c r="R125" s="74">
        <f>_xlfn.IFNA(IF('Interactive Selection Sheet'!K114= "", VLOOKUP('Interactive Selection Sheet'!$L114, 'Master List Import'!$A$1:$P$519, 16, FALSE), ""), "")</f>
        <v>2.1</v>
      </c>
    </row>
    <row r="126" spans="1:18" ht="21.75" customHeight="1" x14ac:dyDescent="0.25">
      <c r="A126" s="69">
        <f>_xlfn.IFNA(IF('Interactive Selection Sheet'!$K115= "", VLOOKUP('Interactive Selection Sheet'!$L115, 'Master List Import'!$A$1:$P$519, 2, FALSE), ""), "")</f>
        <v>3001</v>
      </c>
      <c r="B126" s="69" t="str">
        <f>_xlfn.IFNA(IF('Interactive Selection Sheet'!$K115= "", VLOOKUP('Interactive Selection Sheet'!$L115, 'Master List Import'!$A$1:$P$519, 3, FALSE), ""), "")</f>
        <v>Writing Pad, Ruled White Legal Size 8.5 x 14, 50pgs - 72/cs</v>
      </c>
      <c r="C126" s="76">
        <f>IF('Interactive Selection Sheet'!$T$2="", "", IF(B126="","",'Interactive Selection Sheet'!$T$2))</f>
        <v>3.5000000000000003E-2</v>
      </c>
      <c r="D126" s="70">
        <f>IF(B126 = "", "", 'Interactive Selection Sheet'!$Q$2)</f>
        <v>4.4999999999999998E-2</v>
      </c>
      <c r="E126" s="70">
        <f>IF(B126="","", 'Interactive Selection Sheet'!$R$2)</f>
        <v>0.02</v>
      </c>
      <c r="F126" s="69" t="str">
        <f>_xlfn.IFNA(IF('Interactive Selection Sheet'!K115= "", VLOOKUP('Interactive Selection Sheet'!$L115, 'Master List Import'!$A$1:$P$519, 4, FALSE), ""), "")</f>
        <v>Stationery</v>
      </c>
      <c r="G126" s="69" t="str">
        <f>_xlfn.IFNA(IF('Interactive Selection Sheet'!K115= "", VLOOKUP('Interactive Selection Sheet'!$L115, 'Master List Import'!$A$1:$P$519, 5, FALSE), ""), "")</f>
        <v>Stationery</v>
      </c>
      <c r="H126" s="69" t="str">
        <f>_xlfn.IFNA(IF('Interactive Selection Sheet'!K115= "", VLOOKUP('Interactive Selection Sheet'!$L115, 'Master List Import'!$A$1:$P$519, 6, FALSE), ""), "")</f>
        <v>Both</v>
      </c>
      <c r="I126" s="72">
        <f>_xlfn.IFNA(IF('Interactive Selection Sheet'!K115= "", VLOOKUP('Interactive Selection Sheet'!$L115, 'Master List Import'!$A$1:$P$519, 7, FALSE), ""), "")</f>
        <v>0.82</v>
      </c>
      <c r="J126" s="69" t="str">
        <f>_xlfn.IFNA(IF('Interactive Selection Sheet'!K115= "", VLOOKUP('Interactive Selection Sheet'!$L115, 'Master List Import'!$A$1:$P$519, 8, FALSE), ""), "")</f>
        <v>REI</v>
      </c>
      <c r="K126" s="69" t="str">
        <f>_xlfn.IFNA(IF('Interactive Selection Sheet'!K115= "", VLOOKUP('Interactive Selection Sheet'!$L115, 'Master List Import'!$A$1:$P$519, 9, FALSE), ""), "")</f>
        <v>406753</v>
      </c>
      <c r="L126" s="69">
        <f>_xlfn.IFNA(IF('Interactive Selection Sheet'!K115= "", VLOOKUP('Interactive Selection Sheet'!$L115, 'Master List Import'!$A$1:$P$519, 10, FALSE), ""), "")</f>
        <v>0</v>
      </c>
      <c r="M126" s="69">
        <f>_xlfn.IFNA(IF('Interactive Selection Sheet'!K115= "", VLOOKUP('Interactive Selection Sheet'!$L115, 'Master List Import'!$A$1:$P$519, 11, FALSE), ""), "")</f>
        <v>0</v>
      </c>
      <c r="N126" s="69">
        <f>_xlfn.IFNA(IF('Interactive Selection Sheet'!K115= "", VLOOKUP('Interactive Selection Sheet'!$L115, 'Master List Import'!$A$1:$P$519, 12, FALSE), ""), "")</f>
        <v>72</v>
      </c>
      <c r="O126" s="69">
        <f>_xlfn.IFNA(IF('Interactive Selection Sheet'!K115= "", VLOOKUP('Interactive Selection Sheet'!$L115, 'Master List Import'!$A$1:$P$519, 13, FALSE), ""), "")</f>
        <v>3001</v>
      </c>
      <c r="P126" s="69" t="str">
        <f>_xlfn.IFNA(IF('Interactive Selection Sheet'!K115= "", VLOOKUP('Interactive Selection Sheet'!$L115, 'Master List Import'!$A$1:$P$519, 14, FALSE), ""), "")</f>
        <v>Writing Pad (8.5x14, 50pg)</v>
      </c>
      <c r="Q126" s="69">
        <f>_xlfn.IFNA(IF('Interactive Selection Sheet'!K115= "", VLOOKUP('Interactive Selection Sheet'!$L115, 'Master List Import'!$A$1:$P$519, 15, FALSE), ""), "")</f>
        <v>1</v>
      </c>
      <c r="R126" s="74">
        <f>_xlfn.IFNA(IF('Interactive Selection Sheet'!K115= "", VLOOKUP('Interactive Selection Sheet'!$L115, 'Master List Import'!$A$1:$P$519, 16, FALSE), ""), "")</f>
        <v>2.5</v>
      </c>
    </row>
    <row r="127" spans="1:18" ht="21.75" customHeight="1" x14ac:dyDescent="0.25">
      <c r="A127" s="69">
        <f>_xlfn.IFNA(IF('Interactive Selection Sheet'!$K116= "", VLOOKUP('Interactive Selection Sheet'!$L116, 'Master List Import'!$A$1:$P$519, 2, FALSE), ""), "")</f>
        <v>3020</v>
      </c>
      <c r="B127" s="69" t="str">
        <f>_xlfn.IFNA(IF('Interactive Selection Sheet'!$K116= "", VLOOKUP('Interactive Selection Sheet'!$L116, 'Master List Import'!$A$1:$P$519, 3, FALSE), ""), "")</f>
        <v>Scratch Pad, Plain White, 8.5 x 11, 50pgs - 72/cs</v>
      </c>
      <c r="C127" s="76">
        <f>IF('Interactive Selection Sheet'!$T$2="", "", IF(B127="","",'Interactive Selection Sheet'!$T$2))</f>
        <v>3.5000000000000003E-2</v>
      </c>
      <c r="D127" s="70">
        <f>IF(B127 = "", "", 'Interactive Selection Sheet'!$Q$2)</f>
        <v>4.4999999999999998E-2</v>
      </c>
      <c r="E127" s="70">
        <f>IF(B127="","", 'Interactive Selection Sheet'!$R$2)</f>
        <v>0.02</v>
      </c>
      <c r="F127" s="69" t="str">
        <f>_xlfn.IFNA(IF('Interactive Selection Sheet'!K116= "", VLOOKUP('Interactive Selection Sheet'!$L116, 'Master List Import'!$A$1:$P$519, 4, FALSE), ""), "")</f>
        <v>Stationery</v>
      </c>
      <c r="G127" s="69" t="str">
        <f>_xlfn.IFNA(IF('Interactive Selection Sheet'!K116= "", VLOOKUP('Interactive Selection Sheet'!$L116, 'Master List Import'!$A$1:$P$519, 5, FALSE), ""), "")</f>
        <v>Stationery</v>
      </c>
      <c r="H127" s="69" t="str">
        <f>_xlfn.IFNA(IF('Interactive Selection Sheet'!K116= "", VLOOKUP('Interactive Selection Sheet'!$L116, 'Master List Import'!$A$1:$P$519, 6, FALSE), ""), "")</f>
        <v>Both</v>
      </c>
      <c r="I127" s="72">
        <f>_xlfn.IFNA(IF('Interactive Selection Sheet'!K116= "", VLOOKUP('Interactive Selection Sheet'!$L116, 'Master List Import'!$A$1:$P$519, 7, FALSE), ""), "")</f>
        <v>0.69</v>
      </c>
      <c r="J127" s="69" t="str">
        <f>_xlfn.IFNA(IF('Interactive Selection Sheet'!K116= "", VLOOKUP('Interactive Selection Sheet'!$L116, 'Master List Import'!$A$1:$P$519, 8, FALSE), ""), "")</f>
        <v>REI</v>
      </c>
      <c r="K127" s="69" t="str">
        <f>_xlfn.IFNA(IF('Interactive Selection Sheet'!K116= "", VLOOKUP('Interactive Selection Sheet'!$L116, 'Master List Import'!$A$1:$P$519, 9, FALSE), ""), "")</f>
        <v>406716</v>
      </c>
      <c r="L127" s="69">
        <f>_xlfn.IFNA(IF('Interactive Selection Sheet'!K116= "", VLOOKUP('Interactive Selection Sheet'!$L116, 'Master List Import'!$A$1:$P$519, 10, FALSE), ""), "")</f>
        <v>0</v>
      </c>
      <c r="M127" s="69">
        <f>_xlfn.IFNA(IF('Interactive Selection Sheet'!K116= "", VLOOKUP('Interactive Selection Sheet'!$L116, 'Master List Import'!$A$1:$P$519, 11, FALSE), ""), "")</f>
        <v>0</v>
      </c>
      <c r="N127" s="69">
        <f>_xlfn.IFNA(IF('Interactive Selection Sheet'!K116= "", VLOOKUP('Interactive Selection Sheet'!$L116, 'Master List Import'!$A$1:$P$519, 12, FALSE), ""), "")</f>
        <v>72</v>
      </c>
      <c r="O127" s="69">
        <f>_xlfn.IFNA(IF('Interactive Selection Sheet'!K116= "", VLOOKUP('Interactive Selection Sheet'!$L116, 'Master List Import'!$A$1:$P$519, 13, FALSE), ""), "")</f>
        <v>3020</v>
      </c>
      <c r="P127" s="69" t="str">
        <f>_xlfn.IFNA(IF('Interactive Selection Sheet'!K116= "", VLOOKUP('Interactive Selection Sheet'!$L116, 'Master List Import'!$A$1:$P$519, 14, FALSE), ""), "")</f>
        <v>Art Pad (8.5x11, 50pg)</v>
      </c>
      <c r="Q127" s="69">
        <f>_xlfn.IFNA(IF('Interactive Selection Sheet'!K116= "", VLOOKUP('Interactive Selection Sheet'!$L116, 'Master List Import'!$A$1:$P$519, 15, FALSE), ""), "")</f>
        <v>1</v>
      </c>
      <c r="R127" s="74">
        <f>_xlfn.IFNA(IF('Interactive Selection Sheet'!K116= "", VLOOKUP('Interactive Selection Sheet'!$L116, 'Master List Import'!$A$1:$P$519, 16, FALSE), ""), "")</f>
        <v>2.8</v>
      </c>
    </row>
    <row r="128" spans="1:18" ht="21.75" customHeight="1" x14ac:dyDescent="0.25">
      <c r="A128" s="69">
        <f>_xlfn.IFNA(IF('Interactive Selection Sheet'!$K117= "", VLOOKUP('Interactive Selection Sheet'!$L117, 'Master List Import'!$A$1:$P$519, 2, FALSE), ""), "")</f>
        <v>3030</v>
      </c>
      <c r="B128" s="69" t="str">
        <f>_xlfn.IFNA(IF('Interactive Selection Sheet'!$K117= "", VLOOKUP('Interactive Selection Sheet'!$L117, 'Master List Import'!$A$1:$P$519, 3, FALSE), ""), "")</f>
        <v>Shorty Pencil</v>
      </c>
      <c r="C128" s="76">
        <f>IF('Interactive Selection Sheet'!$T$2="", "", IF(B128="","",'Interactive Selection Sheet'!$T$2))</f>
        <v>3.5000000000000003E-2</v>
      </c>
      <c r="D128" s="70">
        <f>IF(B128 = "", "", 'Interactive Selection Sheet'!$Q$2)</f>
        <v>4.4999999999999998E-2</v>
      </c>
      <c r="E128" s="70">
        <f>IF(B128="","", 'Interactive Selection Sheet'!$R$2)</f>
        <v>0.02</v>
      </c>
      <c r="F128" s="69" t="str">
        <f>_xlfn.IFNA(IF('Interactive Selection Sheet'!K117= "", VLOOKUP('Interactive Selection Sheet'!$L117, 'Master List Import'!$A$1:$P$519, 4, FALSE), ""), "")</f>
        <v>Stationery</v>
      </c>
      <c r="G128" s="69" t="str">
        <f>_xlfn.IFNA(IF('Interactive Selection Sheet'!K117= "", VLOOKUP('Interactive Selection Sheet'!$L117, 'Master List Import'!$A$1:$P$519, 5, FALSE), ""), "")</f>
        <v>Stationery</v>
      </c>
      <c r="H128" s="69" t="str">
        <f>_xlfn.IFNA(IF('Interactive Selection Sheet'!K117= "", VLOOKUP('Interactive Selection Sheet'!$L117, 'Master List Import'!$A$1:$P$519, 6, FALSE), ""), "")</f>
        <v>Both</v>
      </c>
      <c r="I128" s="72">
        <f>_xlfn.IFNA(IF('Interactive Selection Sheet'!K117= "", VLOOKUP('Interactive Selection Sheet'!$L117, 'Master List Import'!$A$1:$P$519, 7, FALSE), ""), "")</f>
        <v>3.5000000000000003E-2</v>
      </c>
      <c r="J128" s="69" t="str">
        <f>_xlfn.IFNA(IF('Interactive Selection Sheet'!K117= "", VLOOKUP('Interactive Selection Sheet'!$L117, 'Master List Import'!$A$1:$P$519, 8, FALSE), ""), "")</f>
        <v>REI</v>
      </c>
      <c r="K128" s="69" t="str">
        <f>_xlfn.IFNA(IF('Interactive Selection Sheet'!K117= "", VLOOKUP('Interactive Selection Sheet'!$L117, 'Master List Import'!$A$1:$P$519, 9, FALSE), ""), "")</f>
        <v>404897</v>
      </c>
      <c r="L128" s="69">
        <f>_xlfn.IFNA(IF('Interactive Selection Sheet'!K117= "", VLOOKUP('Interactive Selection Sheet'!$L117, 'Master List Import'!$A$1:$P$519, 10, FALSE), ""), "")</f>
        <v>0</v>
      </c>
      <c r="M128" s="69">
        <f>_xlfn.IFNA(IF('Interactive Selection Sheet'!K117= "", VLOOKUP('Interactive Selection Sheet'!$L117, 'Master List Import'!$A$1:$P$519, 11, FALSE), ""), "")</f>
        <v>0</v>
      </c>
      <c r="N128" s="69">
        <f>_xlfn.IFNA(IF('Interactive Selection Sheet'!K117= "", VLOOKUP('Interactive Selection Sheet'!$L117, 'Master List Import'!$A$1:$P$519, 12, FALSE), ""), "")</f>
        <v>144</v>
      </c>
      <c r="O128" s="69">
        <f>_xlfn.IFNA(IF('Interactive Selection Sheet'!K117= "", VLOOKUP('Interactive Selection Sheet'!$L117, 'Master List Import'!$A$1:$P$519, 13, FALSE), ""), "")</f>
        <v>3030</v>
      </c>
      <c r="P128" s="69" t="str">
        <f>_xlfn.IFNA(IF('Interactive Selection Sheet'!K117= "", VLOOKUP('Interactive Selection Sheet'!$L117, 'Master List Import'!$A$1:$P$519, 14, FALSE), ""), "")</f>
        <v>Shorty Pencil</v>
      </c>
      <c r="Q128" s="69">
        <f>_xlfn.IFNA(IF('Interactive Selection Sheet'!K117= "", VLOOKUP('Interactive Selection Sheet'!$L117, 'Master List Import'!$A$1:$P$519, 15, FALSE), ""), "")</f>
        <v>1</v>
      </c>
      <c r="R128" s="74">
        <f>_xlfn.IFNA(IF('Interactive Selection Sheet'!K117= "", VLOOKUP('Interactive Selection Sheet'!$L117, 'Master List Import'!$A$1:$P$519, 16, FALSE), ""), "")</f>
        <v>0.25</v>
      </c>
    </row>
    <row r="129" spans="1:18" ht="21.75" customHeight="1" x14ac:dyDescent="0.25">
      <c r="A129" s="69">
        <f>_xlfn.IFNA(IF('Interactive Selection Sheet'!$K118= "", VLOOKUP('Interactive Selection Sheet'!$L118, 'Master List Import'!$A$1:$P$519, 2, FALSE), ""), "")</f>
        <v>3031</v>
      </c>
      <c r="B129" s="69" t="str">
        <f>_xlfn.IFNA(IF('Interactive Selection Sheet'!$K118= "", VLOOKUP('Interactive Selection Sheet'!$L118, 'Master List Import'!$A$1:$P$519, 3, FALSE), ""), "")</f>
        <v>#2 Pencils 20ct</v>
      </c>
      <c r="C129" s="76">
        <f>IF('Interactive Selection Sheet'!$T$2="", "", IF(B129="","",'Interactive Selection Sheet'!$T$2))</f>
        <v>3.5000000000000003E-2</v>
      </c>
      <c r="D129" s="70">
        <f>IF(B129 = "", "", 'Interactive Selection Sheet'!$Q$2)</f>
        <v>4.4999999999999998E-2</v>
      </c>
      <c r="E129" s="70">
        <f>IF(B129="","", 'Interactive Selection Sheet'!$R$2)</f>
        <v>0.02</v>
      </c>
      <c r="F129" s="69" t="str">
        <f>_xlfn.IFNA(IF('Interactive Selection Sheet'!K118= "", VLOOKUP('Interactive Selection Sheet'!$L118, 'Master List Import'!$A$1:$P$519, 4, FALSE), ""), "")</f>
        <v>Stationery</v>
      </c>
      <c r="G129" s="69" t="str">
        <f>_xlfn.IFNA(IF('Interactive Selection Sheet'!K118= "", VLOOKUP('Interactive Selection Sheet'!$L118, 'Master List Import'!$A$1:$P$519, 5, FALSE), ""), "")</f>
        <v>Stationery</v>
      </c>
      <c r="H129" s="69" t="str">
        <f>_xlfn.IFNA(IF('Interactive Selection Sheet'!K118= "", VLOOKUP('Interactive Selection Sheet'!$L118, 'Master List Import'!$A$1:$P$519, 6, FALSE), ""), "")</f>
        <v>Both</v>
      </c>
      <c r="I129" s="72">
        <f>_xlfn.IFNA(IF('Interactive Selection Sheet'!K118= "", VLOOKUP('Interactive Selection Sheet'!$L118, 'Master List Import'!$A$1:$P$519, 7, FALSE), ""), "")</f>
        <v>0.08</v>
      </c>
      <c r="J129" s="69" t="str">
        <f>_xlfn.IFNA(IF('Interactive Selection Sheet'!K118= "", VLOOKUP('Interactive Selection Sheet'!$L118, 'Master List Import'!$A$1:$P$519, 8, FALSE), ""), "")</f>
        <v>REI</v>
      </c>
      <c r="K129" s="69" t="str">
        <f>_xlfn.IFNA(IF('Interactive Selection Sheet'!K118= "", VLOOKUP('Interactive Selection Sheet'!$L118, 'Master List Import'!$A$1:$P$519, 9, FALSE), ""), "")</f>
        <v>404930</v>
      </c>
      <c r="L129" s="69">
        <f>_xlfn.IFNA(IF('Interactive Selection Sheet'!K118= "", VLOOKUP('Interactive Selection Sheet'!$L118, 'Master List Import'!$A$1:$P$519, 10, FALSE), ""), "")</f>
        <v>0</v>
      </c>
      <c r="M129" s="69">
        <f>_xlfn.IFNA(IF('Interactive Selection Sheet'!K118= "", VLOOKUP('Interactive Selection Sheet'!$L118, 'Master List Import'!$A$1:$P$519, 11, FALSE), ""), "")</f>
        <v>0</v>
      </c>
      <c r="N129" s="69">
        <f>_xlfn.IFNA(IF('Interactive Selection Sheet'!K118= "", VLOOKUP('Interactive Selection Sheet'!$L118, 'Master List Import'!$A$1:$P$519, 12, FALSE), ""), "")</f>
        <v>20</v>
      </c>
      <c r="O129" s="69">
        <f>_xlfn.IFNA(IF('Interactive Selection Sheet'!K118= "", VLOOKUP('Interactive Selection Sheet'!$L118, 'Master List Import'!$A$1:$P$519, 13, FALSE), ""), "")</f>
        <v>3031</v>
      </c>
      <c r="P129" s="69" t="str">
        <f>_xlfn.IFNA(IF('Interactive Selection Sheet'!K118= "", VLOOKUP('Interactive Selection Sheet'!$L118, 'Master List Import'!$A$1:$P$519, 14, FALSE), ""), "")</f>
        <v>#2 Pencil</v>
      </c>
      <c r="Q129" s="69">
        <f>_xlfn.IFNA(IF('Interactive Selection Sheet'!K118= "", VLOOKUP('Interactive Selection Sheet'!$L118, 'Master List Import'!$A$1:$P$519, 15, FALSE), ""), "")</f>
        <v>1</v>
      </c>
      <c r="R129" s="74">
        <f>_xlfn.IFNA(IF('Interactive Selection Sheet'!K118= "", VLOOKUP('Interactive Selection Sheet'!$L118, 'Master List Import'!$A$1:$P$519, 16, FALSE), ""), "")</f>
        <v>0.5</v>
      </c>
    </row>
    <row r="130" spans="1:18" ht="21.75" customHeight="1" x14ac:dyDescent="0.25">
      <c r="A130" s="69">
        <f>_xlfn.IFNA(IF('Interactive Selection Sheet'!$K119= "", VLOOKUP('Interactive Selection Sheet'!$L119, 'Master List Import'!$A$1:$P$519, 2, FALSE), ""), "")</f>
        <v>3035</v>
      </c>
      <c r="B130" s="69" t="str">
        <f>_xlfn.IFNA(IF('Interactive Selection Sheet'!$K119= "", VLOOKUP('Interactive Selection Sheet'!$L119, 'Master List Import'!$A$1:$P$519, 3, FALSE), ""), "")</f>
        <v>Coloring Pencils, 12pk - 12/cs</v>
      </c>
      <c r="C130" s="76">
        <f>IF('Interactive Selection Sheet'!$T$2="", "", IF(B130="","",'Interactive Selection Sheet'!$T$2))</f>
        <v>3.5000000000000003E-2</v>
      </c>
      <c r="D130" s="70">
        <f>IF(B130 = "", "", 'Interactive Selection Sheet'!$Q$2)</f>
        <v>4.4999999999999998E-2</v>
      </c>
      <c r="E130" s="70">
        <f>IF(B130="","", 'Interactive Selection Sheet'!$R$2)</f>
        <v>0.02</v>
      </c>
      <c r="F130" s="69" t="str">
        <f>_xlfn.IFNA(IF('Interactive Selection Sheet'!K119= "", VLOOKUP('Interactive Selection Sheet'!$L119, 'Master List Import'!$A$1:$P$519, 4, FALSE), ""), "")</f>
        <v>Stationery</v>
      </c>
      <c r="G130" s="69" t="str">
        <f>_xlfn.IFNA(IF('Interactive Selection Sheet'!K119= "", VLOOKUP('Interactive Selection Sheet'!$L119, 'Master List Import'!$A$1:$P$519, 5, FALSE), ""), "")</f>
        <v>Stationery</v>
      </c>
      <c r="H130" s="69" t="str">
        <f>_xlfn.IFNA(IF('Interactive Selection Sheet'!K119= "", VLOOKUP('Interactive Selection Sheet'!$L119, 'Master List Import'!$A$1:$P$519, 6, FALSE), ""), "")</f>
        <v>Both</v>
      </c>
      <c r="I130" s="72">
        <f>_xlfn.IFNA(IF('Interactive Selection Sheet'!K119= "", VLOOKUP('Interactive Selection Sheet'!$L119, 'Master List Import'!$A$1:$P$519, 7, FALSE), ""), "")</f>
        <v>1.35</v>
      </c>
      <c r="J130" s="69" t="str">
        <f>_xlfn.IFNA(IF('Interactive Selection Sheet'!K119= "", VLOOKUP('Interactive Selection Sheet'!$L119, 'Master List Import'!$A$1:$P$519, 8, FALSE), ""), "")</f>
        <v>REI</v>
      </c>
      <c r="K130" s="69" t="str">
        <f>_xlfn.IFNA(IF('Interactive Selection Sheet'!K119= "", VLOOKUP('Interactive Selection Sheet'!$L119, 'Master List Import'!$A$1:$P$519, 9, FALSE), ""), "")</f>
        <v>407655</v>
      </c>
      <c r="L130" s="69">
        <f>_xlfn.IFNA(IF('Interactive Selection Sheet'!K119= "", VLOOKUP('Interactive Selection Sheet'!$L119, 'Master List Import'!$A$1:$P$519, 10, FALSE), ""), "")</f>
        <v>0</v>
      </c>
      <c r="M130" s="69">
        <f>_xlfn.IFNA(IF('Interactive Selection Sheet'!K119= "", VLOOKUP('Interactive Selection Sheet'!$L119, 'Master List Import'!$A$1:$P$519, 11, FALSE), ""), "")</f>
        <v>0</v>
      </c>
      <c r="N130" s="69">
        <f>_xlfn.IFNA(IF('Interactive Selection Sheet'!K119= "", VLOOKUP('Interactive Selection Sheet'!$L119, 'Master List Import'!$A$1:$P$519, 12, FALSE), ""), "")</f>
        <v>12</v>
      </c>
      <c r="O130" s="69">
        <f>_xlfn.IFNA(IF('Interactive Selection Sheet'!K119= "", VLOOKUP('Interactive Selection Sheet'!$L119, 'Master List Import'!$A$1:$P$519, 13, FALSE), ""), "")</f>
        <v>3035</v>
      </c>
      <c r="P130" s="69" t="str">
        <f>_xlfn.IFNA(IF('Interactive Selection Sheet'!K119= "", VLOOKUP('Interactive Selection Sheet'!$L119, 'Master List Import'!$A$1:$P$519, 14, FALSE), ""), "")</f>
        <v>Colored Pencils (12pk)</v>
      </c>
      <c r="Q130" s="69">
        <f>_xlfn.IFNA(IF('Interactive Selection Sheet'!K119= "", VLOOKUP('Interactive Selection Sheet'!$L119, 'Master List Import'!$A$1:$P$519, 15, FALSE), ""), "")</f>
        <v>1</v>
      </c>
      <c r="R130" s="74">
        <f>_xlfn.IFNA(IF('Interactive Selection Sheet'!K119= "", VLOOKUP('Interactive Selection Sheet'!$L119, 'Master List Import'!$A$1:$P$519, 16, FALSE), ""), "")</f>
        <v>5</v>
      </c>
    </row>
    <row r="131" spans="1:18" ht="21.75" customHeight="1" x14ac:dyDescent="0.25">
      <c r="A131" s="69">
        <f>_xlfn.IFNA(IF('Interactive Selection Sheet'!$K120= "", VLOOKUP('Interactive Selection Sheet'!$L120, 'Master List Import'!$A$1:$P$519, 2, FALSE), ""), "")</f>
        <v>3040</v>
      </c>
      <c r="B131" s="69" t="str">
        <f>_xlfn.IFNA(IF('Interactive Selection Sheet'!$K120= "", VLOOKUP('Interactive Selection Sheet'!$L120, 'Master List Import'!$A$1:$P$519, 3, FALSE), ""), "")</f>
        <v>Pink Cap Erasers - 50/cs</v>
      </c>
      <c r="C131" s="76">
        <f>IF('Interactive Selection Sheet'!$T$2="", "", IF(B131="","",'Interactive Selection Sheet'!$T$2))</f>
        <v>3.5000000000000003E-2</v>
      </c>
      <c r="D131" s="70">
        <f>IF(B131 = "", "", 'Interactive Selection Sheet'!$Q$2)</f>
        <v>4.4999999999999998E-2</v>
      </c>
      <c r="E131" s="70">
        <f>IF(B131="","", 'Interactive Selection Sheet'!$R$2)</f>
        <v>0.02</v>
      </c>
      <c r="F131" s="69" t="str">
        <f>_xlfn.IFNA(IF('Interactive Selection Sheet'!K120= "", VLOOKUP('Interactive Selection Sheet'!$L120, 'Master List Import'!$A$1:$P$519, 4, FALSE), ""), "")</f>
        <v>Stationery</v>
      </c>
      <c r="G131" s="69" t="str">
        <f>_xlfn.IFNA(IF('Interactive Selection Sheet'!K120= "", VLOOKUP('Interactive Selection Sheet'!$L120, 'Master List Import'!$A$1:$P$519, 5, FALSE), ""), "")</f>
        <v>Stationery</v>
      </c>
      <c r="H131" s="69" t="str">
        <f>_xlfn.IFNA(IF('Interactive Selection Sheet'!K120= "", VLOOKUP('Interactive Selection Sheet'!$L120, 'Master List Import'!$A$1:$P$519, 6, FALSE), ""), "")</f>
        <v>Both</v>
      </c>
      <c r="I131" s="72">
        <f>_xlfn.IFNA(IF('Interactive Selection Sheet'!K120= "", VLOOKUP('Interactive Selection Sheet'!$L120, 'Master List Import'!$A$1:$P$519, 7, FALSE), ""), "")</f>
        <v>0.05</v>
      </c>
      <c r="J131" s="69" t="str">
        <f>_xlfn.IFNA(IF('Interactive Selection Sheet'!K120= "", VLOOKUP('Interactive Selection Sheet'!$L120, 'Master List Import'!$A$1:$P$519, 8, FALSE), ""), "")</f>
        <v>REI</v>
      </c>
      <c r="K131" s="69" t="str">
        <f>_xlfn.IFNA(IF('Interactive Selection Sheet'!K120= "", VLOOKUP('Interactive Selection Sheet'!$L120, 'Master List Import'!$A$1:$P$519, 9, FALSE), ""), "")</f>
        <v>408745</v>
      </c>
      <c r="L131" s="69">
        <f>_xlfn.IFNA(IF('Interactive Selection Sheet'!K120= "", VLOOKUP('Interactive Selection Sheet'!$L120, 'Master List Import'!$A$1:$P$519, 10, FALSE), ""), "")</f>
        <v>0</v>
      </c>
      <c r="M131" s="69">
        <f>_xlfn.IFNA(IF('Interactive Selection Sheet'!K120= "", VLOOKUP('Interactive Selection Sheet'!$L120, 'Master List Import'!$A$1:$P$519, 11, FALSE), ""), "")</f>
        <v>0</v>
      </c>
      <c r="N131" s="69">
        <f>_xlfn.IFNA(IF('Interactive Selection Sheet'!K120= "", VLOOKUP('Interactive Selection Sheet'!$L120, 'Master List Import'!$A$1:$P$519, 12, FALSE), ""), "")</f>
        <v>50</v>
      </c>
      <c r="O131" s="69">
        <f>_xlfn.IFNA(IF('Interactive Selection Sheet'!K120= "", VLOOKUP('Interactive Selection Sheet'!$L120, 'Master List Import'!$A$1:$P$519, 13, FALSE), ""), "")</f>
        <v>3040</v>
      </c>
      <c r="P131" s="69" t="str">
        <f>_xlfn.IFNA(IF('Interactive Selection Sheet'!K120= "", VLOOKUP('Interactive Selection Sheet'!$L120, 'Master List Import'!$A$1:$P$519, 14, FALSE), ""), "")</f>
        <v>Eraser Cap</v>
      </c>
      <c r="Q131" s="69">
        <f>_xlfn.IFNA(IF('Interactive Selection Sheet'!K120= "", VLOOKUP('Interactive Selection Sheet'!$L120, 'Master List Import'!$A$1:$P$519, 15, FALSE), ""), "")</f>
        <v>1</v>
      </c>
      <c r="R131" s="74">
        <f>_xlfn.IFNA(IF('Interactive Selection Sheet'!K120= "", VLOOKUP('Interactive Selection Sheet'!$L120, 'Master List Import'!$A$1:$P$519, 16, FALSE), ""), "")</f>
        <v>0.15</v>
      </c>
    </row>
    <row r="132" spans="1:18" ht="21.75" customHeight="1" x14ac:dyDescent="0.25">
      <c r="A132" s="69">
        <f>_xlfn.IFNA(IF('Interactive Selection Sheet'!$K121= "", VLOOKUP('Interactive Selection Sheet'!$L121, 'Master List Import'!$A$1:$P$519, 2, FALSE), ""), "")</f>
        <v>3050</v>
      </c>
      <c r="B132" s="69" t="str">
        <f>_xlfn.IFNA(IF('Interactive Selection Sheet'!$K121= "", VLOOKUP('Interactive Selection Sheet'!$L121, 'Master List Import'!$A$1:$P$519, 3, FALSE), ""), "")</f>
        <v>Flex Pens</v>
      </c>
      <c r="C132" s="76">
        <f>IF('Interactive Selection Sheet'!$T$2="", "", IF(B132="","",'Interactive Selection Sheet'!$T$2))</f>
        <v>3.5000000000000003E-2</v>
      </c>
      <c r="D132" s="70">
        <f>IF(B132 = "", "", 'Interactive Selection Sheet'!$Q$2)</f>
        <v>4.4999999999999998E-2</v>
      </c>
      <c r="E132" s="70">
        <f>IF(B132="","", 'Interactive Selection Sheet'!$R$2)</f>
        <v>0.02</v>
      </c>
      <c r="F132" s="69" t="str">
        <f>_xlfn.IFNA(IF('Interactive Selection Sheet'!K121= "", VLOOKUP('Interactive Selection Sheet'!$L121, 'Master List Import'!$A$1:$P$519, 4, FALSE), ""), "")</f>
        <v>Stationery</v>
      </c>
      <c r="G132" s="69" t="str">
        <f>_xlfn.IFNA(IF('Interactive Selection Sheet'!K121= "", VLOOKUP('Interactive Selection Sheet'!$L121, 'Master List Import'!$A$1:$P$519, 5, FALSE), ""), "")</f>
        <v>Stationery</v>
      </c>
      <c r="H132" s="69" t="str">
        <f>_xlfn.IFNA(IF('Interactive Selection Sheet'!K121= "", VLOOKUP('Interactive Selection Sheet'!$L121, 'Master List Import'!$A$1:$P$519, 6, FALSE), ""), "")</f>
        <v>Both</v>
      </c>
      <c r="I132" s="72">
        <f>_xlfn.IFNA(IF('Interactive Selection Sheet'!K121= "", VLOOKUP('Interactive Selection Sheet'!$L121, 'Master List Import'!$A$1:$P$519, 7, FALSE), ""), "")</f>
        <v>0.14000000000000001</v>
      </c>
      <c r="J132" s="69" t="str">
        <f>_xlfn.IFNA(IF('Interactive Selection Sheet'!K121= "", VLOOKUP('Interactive Selection Sheet'!$L121, 'Master List Import'!$A$1:$P$519, 8, FALSE), ""), "")</f>
        <v>REI</v>
      </c>
      <c r="K132" s="69" t="str">
        <f>_xlfn.IFNA(IF('Interactive Selection Sheet'!K121= "", VLOOKUP('Interactive Selection Sheet'!$L121, 'Master List Import'!$A$1:$P$519, 9, FALSE), ""), "")</f>
        <v>405753</v>
      </c>
      <c r="L132" s="69">
        <f>_xlfn.IFNA(IF('Interactive Selection Sheet'!K121= "", VLOOKUP('Interactive Selection Sheet'!$L121, 'Master List Import'!$A$1:$P$519, 10, FALSE), ""), "")</f>
        <v>0</v>
      </c>
      <c r="M132" s="69">
        <f>_xlfn.IFNA(IF('Interactive Selection Sheet'!K121= "", VLOOKUP('Interactive Selection Sheet'!$L121, 'Master List Import'!$A$1:$P$519, 11, FALSE), ""), "")</f>
        <v>0</v>
      </c>
      <c r="N132" s="69">
        <f>_xlfn.IFNA(IF('Interactive Selection Sheet'!K121= "", VLOOKUP('Interactive Selection Sheet'!$L121, 'Master List Import'!$A$1:$P$519, 12, FALSE), ""), "")</f>
        <v>144</v>
      </c>
      <c r="O132" s="69">
        <f>_xlfn.IFNA(IF('Interactive Selection Sheet'!K121= "", VLOOKUP('Interactive Selection Sheet'!$L121, 'Master List Import'!$A$1:$P$519, 13, FALSE), ""), "")</f>
        <v>3050</v>
      </c>
      <c r="P132" s="69" t="str">
        <f>_xlfn.IFNA(IF('Interactive Selection Sheet'!K121= "", VLOOKUP('Interactive Selection Sheet'!$L121, 'Master List Import'!$A$1:$P$519, 14, FALSE), ""), "")</f>
        <v>Flex Pen</v>
      </c>
      <c r="Q132" s="69">
        <f>_xlfn.IFNA(IF('Interactive Selection Sheet'!K121= "", VLOOKUP('Interactive Selection Sheet'!$L121, 'Master List Import'!$A$1:$P$519, 15, FALSE), ""), "")</f>
        <v>1</v>
      </c>
      <c r="R132" s="74">
        <f>_xlfn.IFNA(IF('Interactive Selection Sheet'!K121= "", VLOOKUP('Interactive Selection Sheet'!$L121, 'Master List Import'!$A$1:$P$519, 16, FALSE), ""), "")</f>
        <v>0.55000000000000004</v>
      </c>
    </row>
    <row r="133" spans="1:18" ht="21.75" customHeight="1" x14ac:dyDescent="0.25">
      <c r="A133" s="69">
        <f>_xlfn.IFNA(IF('Interactive Selection Sheet'!$K126= "", VLOOKUP('Interactive Selection Sheet'!$L126, 'Master List Import'!$A$1:$P$519, 2, FALSE), ""), "")</f>
        <v>3100</v>
      </c>
      <c r="B133" s="69" t="str">
        <f>_xlfn.IFNA(IF('Interactive Selection Sheet'!$K125= "", VLOOKUP('Interactive Selection Sheet'!$L125, 'Master List Import'!$A$1:$P$519, 3, FALSE), ""), "")</f>
        <v>Photo Album, 20pg - 24/cs</v>
      </c>
      <c r="C133" s="76">
        <f>IF('Interactive Selection Sheet'!$T$2="", "", IF(B133="","",'Interactive Selection Sheet'!$T$2))</f>
        <v>3.5000000000000003E-2</v>
      </c>
      <c r="D133" s="70">
        <f>IF(B133 = "", "", 'Interactive Selection Sheet'!$Q$2)</f>
        <v>4.4999999999999998E-2</v>
      </c>
      <c r="E133" s="70">
        <f>IF(B133="","", 'Interactive Selection Sheet'!$R$2)</f>
        <v>0.02</v>
      </c>
      <c r="F133" s="69" t="str">
        <f>_xlfn.IFNA(IF('Interactive Selection Sheet'!K126= "", VLOOKUP('Interactive Selection Sheet'!$L126, 'Master List Import'!$A$1:$P$519, 4, FALSE), ""), "")</f>
        <v>Stationery - Greeting Cards</v>
      </c>
      <c r="G133" s="69" t="str">
        <f>_xlfn.IFNA(IF('Interactive Selection Sheet'!K126= "", VLOOKUP('Interactive Selection Sheet'!$L126, 'Master List Import'!$A$1:$P$519, 5, FALSE), ""), "")</f>
        <v>Stationery - Greeting Cards</v>
      </c>
      <c r="H133" s="69" t="str">
        <f>_xlfn.IFNA(IF('Interactive Selection Sheet'!K126= "", VLOOKUP('Interactive Selection Sheet'!$L126, 'Master List Import'!$A$1:$P$519, 6, FALSE), ""), "")</f>
        <v>Both</v>
      </c>
      <c r="I133" s="72">
        <f>_xlfn.IFNA(IF('Interactive Selection Sheet'!K126= "", VLOOKUP('Interactive Selection Sheet'!$L126, 'Master List Import'!$A$1:$P$519, 7, FALSE), ""), "")</f>
        <v>0.30330000000000001</v>
      </c>
      <c r="J133" s="69" t="str">
        <f>_xlfn.IFNA(IF('Interactive Selection Sheet'!K126= "", VLOOKUP('Interactive Selection Sheet'!$L126, 'Master List Import'!$A$1:$P$519, 8, FALSE), ""), "")</f>
        <v>REI</v>
      </c>
      <c r="K133" s="69" t="str">
        <f>_xlfn.IFNA(IF('Interactive Selection Sheet'!K126= "", VLOOKUP('Interactive Selection Sheet'!$L126, 'Master List Import'!$A$1:$P$519, 9, FALSE), ""), "")</f>
        <v>411337</v>
      </c>
      <c r="L133" s="69">
        <f>_xlfn.IFNA(IF('Interactive Selection Sheet'!K126= "", VLOOKUP('Interactive Selection Sheet'!$L126, 'Master List Import'!$A$1:$P$519, 10, FALSE), ""), "")</f>
        <v>0</v>
      </c>
      <c r="M133" s="69">
        <f>_xlfn.IFNA(IF('Interactive Selection Sheet'!K126= "", VLOOKUP('Interactive Selection Sheet'!$L126, 'Master List Import'!$A$1:$P$519, 11, FALSE), ""), "")</f>
        <v>0</v>
      </c>
      <c r="N133" s="69">
        <f>_xlfn.IFNA(IF('Interactive Selection Sheet'!K126= "", VLOOKUP('Interactive Selection Sheet'!$L126, 'Master List Import'!$A$1:$P$519, 12, FALSE), ""), "")</f>
        <v>6</v>
      </c>
      <c r="O133" s="69">
        <f>_xlfn.IFNA(IF('Interactive Selection Sheet'!K126= "", VLOOKUP('Interactive Selection Sheet'!$L126, 'Master List Import'!$A$1:$P$519, 13, FALSE), ""), "")</f>
        <v>3100</v>
      </c>
      <c r="P133" s="69" t="str">
        <f>_xlfn.IFNA(IF('Interactive Selection Sheet'!K126= "", VLOOKUP('Interactive Selection Sheet'!$L126, 'Master List Import'!$A$1:$P$519, 14, FALSE), ""), "")</f>
        <v>Friendship Card</v>
      </c>
      <c r="Q133" s="69">
        <f>_xlfn.IFNA(IF('Interactive Selection Sheet'!K126= "", VLOOKUP('Interactive Selection Sheet'!$L126, 'Master List Import'!$A$1:$P$519, 15, FALSE), ""), "")</f>
        <v>1</v>
      </c>
      <c r="R133" s="74">
        <f>_xlfn.IFNA(IF('Interactive Selection Sheet'!K126= "", VLOOKUP('Interactive Selection Sheet'!$L126, 'Master List Import'!$A$1:$P$519, 16, FALSE), ""), "")</f>
        <v>1.05</v>
      </c>
    </row>
    <row r="134" spans="1:18" ht="21.75" customHeight="1" x14ac:dyDescent="0.25">
      <c r="A134" s="69">
        <f>_xlfn.IFNA(IF('Interactive Selection Sheet'!$K127= "", VLOOKUP('Interactive Selection Sheet'!$L127, 'Master List Import'!$A$1:$P$519, 2, FALSE), ""), "")</f>
        <v>3101</v>
      </c>
      <c r="B134" s="69" t="str">
        <f>_xlfn.IFNA(IF('Interactive Selection Sheet'!$K126= "", VLOOKUP('Interactive Selection Sheet'!$L126, 'Master List Import'!$A$1:$P$519, 3, FALSE), ""), "")</f>
        <v>Friendship Card w/Envelope</v>
      </c>
      <c r="C134" s="76">
        <f>IF('Interactive Selection Sheet'!$T$2="", "", IF(B134="","",'Interactive Selection Sheet'!$T$2))</f>
        <v>3.5000000000000003E-2</v>
      </c>
      <c r="D134" s="70">
        <f>IF(B134 = "", "", 'Interactive Selection Sheet'!$Q$2)</f>
        <v>4.4999999999999998E-2</v>
      </c>
      <c r="E134" s="70">
        <f>IF(B134="","", 'Interactive Selection Sheet'!$R$2)</f>
        <v>0.02</v>
      </c>
      <c r="F134" s="69" t="str">
        <f>_xlfn.IFNA(IF('Interactive Selection Sheet'!K127= "", VLOOKUP('Interactive Selection Sheet'!$L127, 'Master List Import'!$A$1:$P$519, 4, FALSE), ""), "")</f>
        <v>Stationery - Greeting Cards</v>
      </c>
      <c r="G134" s="69" t="str">
        <f>_xlfn.IFNA(IF('Interactive Selection Sheet'!K127= "", VLOOKUP('Interactive Selection Sheet'!$L127, 'Master List Import'!$A$1:$P$519, 5, FALSE), ""), "")</f>
        <v>Stationery - Greeting Cards</v>
      </c>
      <c r="H134" s="69" t="str">
        <f>_xlfn.IFNA(IF('Interactive Selection Sheet'!K127= "", VLOOKUP('Interactive Selection Sheet'!$L127, 'Master List Import'!$A$1:$P$519, 6, FALSE), ""), "")</f>
        <v>Both</v>
      </c>
      <c r="I134" s="72">
        <f>_xlfn.IFNA(IF('Interactive Selection Sheet'!K127= "", VLOOKUP('Interactive Selection Sheet'!$L127, 'Master List Import'!$A$1:$P$519, 7, FALSE), ""), "")</f>
        <v>0.30330000000000001</v>
      </c>
      <c r="J134" s="69" t="str">
        <f>_xlfn.IFNA(IF('Interactive Selection Sheet'!K127= "", VLOOKUP('Interactive Selection Sheet'!$L127, 'Master List Import'!$A$1:$P$519, 8, FALSE), ""), "")</f>
        <v>REI</v>
      </c>
      <c r="K134" s="69" t="str">
        <f>_xlfn.IFNA(IF('Interactive Selection Sheet'!K127= "", VLOOKUP('Interactive Selection Sheet'!$L127, 'Master List Import'!$A$1:$P$519, 9, FALSE), ""), "")</f>
        <v>411339</v>
      </c>
      <c r="L134" s="69">
        <f>_xlfn.IFNA(IF('Interactive Selection Sheet'!K127= "", VLOOKUP('Interactive Selection Sheet'!$L127, 'Master List Import'!$A$1:$P$519, 10, FALSE), ""), "")</f>
        <v>0</v>
      </c>
      <c r="M134" s="69">
        <f>_xlfn.IFNA(IF('Interactive Selection Sheet'!K127= "", VLOOKUP('Interactive Selection Sheet'!$L127, 'Master List Import'!$A$1:$P$519, 11, FALSE), ""), "")</f>
        <v>0</v>
      </c>
      <c r="N134" s="69">
        <f>_xlfn.IFNA(IF('Interactive Selection Sheet'!K127= "", VLOOKUP('Interactive Selection Sheet'!$L127, 'Master List Import'!$A$1:$P$519, 12, FALSE), ""), "")</f>
        <v>6</v>
      </c>
      <c r="O134" s="69">
        <f>_xlfn.IFNA(IF('Interactive Selection Sheet'!K127= "", VLOOKUP('Interactive Selection Sheet'!$L127, 'Master List Import'!$A$1:$P$519, 13, FALSE), ""), "")</f>
        <v>3101</v>
      </c>
      <c r="P134" s="69" t="str">
        <f>_xlfn.IFNA(IF('Interactive Selection Sheet'!K127= "", VLOOKUP('Interactive Selection Sheet'!$L127, 'Master List Import'!$A$1:$P$519, 14, FALSE), ""), "")</f>
        <v>Love Card</v>
      </c>
      <c r="Q134" s="69">
        <f>_xlfn.IFNA(IF('Interactive Selection Sheet'!K127= "", VLOOKUP('Interactive Selection Sheet'!$L127, 'Master List Import'!$A$1:$P$519, 15, FALSE), ""), "")</f>
        <v>1</v>
      </c>
      <c r="R134" s="74">
        <f>_xlfn.IFNA(IF('Interactive Selection Sheet'!K127= "", VLOOKUP('Interactive Selection Sheet'!$L127, 'Master List Import'!$A$1:$P$519, 16, FALSE), ""), "")</f>
        <v>1.05</v>
      </c>
    </row>
    <row r="135" spans="1:18" ht="21.75" customHeight="1" x14ac:dyDescent="0.25">
      <c r="A135" s="69">
        <f>_xlfn.IFNA(IF('Interactive Selection Sheet'!$K128= "", VLOOKUP('Interactive Selection Sheet'!$L128, 'Master List Import'!$A$1:$P$519, 2, FALSE), ""), "")</f>
        <v>3102</v>
      </c>
      <c r="B135" s="69" t="str">
        <f>_xlfn.IFNA(IF('Interactive Selection Sheet'!$K127= "", VLOOKUP('Interactive Selection Sheet'!$L127, 'Master List Import'!$A$1:$P$519, 3, FALSE), ""), "")</f>
        <v>Love Card w/Envelope</v>
      </c>
      <c r="C135" s="76">
        <f>IF('Interactive Selection Sheet'!$T$2="", "", IF(B135="","",'Interactive Selection Sheet'!$T$2))</f>
        <v>3.5000000000000003E-2</v>
      </c>
      <c r="D135" s="70">
        <f>IF(B135 = "", "", 'Interactive Selection Sheet'!$Q$2)</f>
        <v>4.4999999999999998E-2</v>
      </c>
      <c r="E135" s="70">
        <f>IF(B135="","", 'Interactive Selection Sheet'!$R$2)</f>
        <v>0.02</v>
      </c>
      <c r="F135" s="69" t="str">
        <f>_xlfn.IFNA(IF('Interactive Selection Sheet'!K128= "", VLOOKUP('Interactive Selection Sheet'!$L128, 'Master List Import'!$A$1:$P$519, 4, FALSE), ""), "")</f>
        <v>Stationery - Greeting Cards</v>
      </c>
      <c r="G135" s="69" t="str">
        <f>_xlfn.IFNA(IF('Interactive Selection Sheet'!K128= "", VLOOKUP('Interactive Selection Sheet'!$L128, 'Master List Import'!$A$1:$P$519, 5, FALSE), ""), "")</f>
        <v>Stationery - Greeting Cards</v>
      </c>
      <c r="H135" s="69" t="str">
        <f>_xlfn.IFNA(IF('Interactive Selection Sheet'!K128= "", VLOOKUP('Interactive Selection Sheet'!$L128, 'Master List Import'!$A$1:$P$519, 6, FALSE), ""), "")</f>
        <v>Both</v>
      </c>
      <c r="I135" s="72">
        <f>_xlfn.IFNA(IF('Interactive Selection Sheet'!K128= "", VLOOKUP('Interactive Selection Sheet'!$L128, 'Master List Import'!$A$1:$P$519, 7, FALSE), ""), "")</f>
        <v>0.30330000000000001</v>
      </c>
      <c r="J135" s="69" t="str">
        <f>_xlfn.IFNA(IF('Interactive Selection Sheet'!K128= "", VLOOKUP('Interactive Selection Sheet'!$L128, 'Master List Import'!$A$1:$P$519, 8, FALSE), ""), "")</f>
        <v>REI</v>
      </c>
      <c r="K135" s="69" t="str">
        <f>_xlfn.IFNA(IF('Interactive Selection Sheet'!K128= "", VLOOKUP('Interactive Selection Sheet'!$L128, 'Master List Import'!$A$1:$P$519, 9, FALSE), ""), "")</f>
        <v>411330</v>
      </c>
      <c r="L135" s="69">
        <f>_xlfn.IFNA(IF('Interactive Selection Sheet'!K128= "", VLOOKUP('Interactive Selection Sheet'!$L128, 'Master List Import'!$A$1:$P$519, 10, FALSE), ""), "")</f>
        <v>0</v>
      </c>
      <c r="M135" s="69">
        <f>_xlfn.IFNA(IF('Interactive Selection Sheet'!K128= "", VLOOKUP('Interactive Selection Sheet'!$L128, 'Master List Import'!$A$1:$P$519, 11, FALSE), ""), "")</f>
        <v>0</v>
      </c>
      <c r="N135" s="69">
        <f>_xlfn.IFNA(IF('Interactive Selection Sheet'!K128= "", VLOOKUP('Interactive Selection Sheet'!$L128, 'Master List Import'!$A$1:$P$519, 12, FALSE), ""), "")</f>
        <v>6</v>
      </c>
      <c r="O135" s="69">
        <f>_xlfn.IFNA(IF('Interactive Selection Sheet'!K128= "", VLOOKUP('Interactive Selection Sheet'!$L128, 'Master List Import'!$A$1:$P$519, 13, FALSE), ""), "")</f>
        <v>3102</v>
      </c>
      <c r="P135" s="69" t="str">
        <f>_xlfn.IFNA(IF('Interactive Selection Sheet'!K128= "", VLOOKUP('Interactive Selection Sheet'!$L128, 'Master List Import'!$A$1:$P$519, 14, FALSE), ""), "")</f>
        <v>Birthday Card</v>
      </c>
      <c r="Q135" s="69">
        <f>_xlfn.IFNA(IF('Interactive Selection Sheet'!K128= "", VLOOKUP('Interactive Selection Sheet'!$L128, 'Master List Import'!$A$1:$P$519, 15, FALSE), ""), "")</f>
        <v>1</v>
      </c>
      <c r="R135" s="74">
        <f>_xlfn.IFNA(IF('Interactive Selection Sheet'!K128= "", VLOOKUP('Interactive Selection Sheet'!$L128, 'Master List Import'!$A$1:$P$519, 16, FALSE), ""), "")</f>
        <v>1.05</v>
      </c>
    </row>
    <row r="136" spans="1:18" ht="21.75" customHeight="1" x14ac:dyDescent="0.25">
      <c r="A136" s="69">
        <f>_xlfn.IFNA(IF('Interactive Selection Sheet'!$K129= "", VLOOKUP('Interactive Selection Sheet'!$L129, 'Master List Import'!$A$1:$P$519, 2, FALSE), ""), "")</f>
        <v>3103</v>
      </c>
      <c r="B136" s="69" t="str">
        <f>_xlfn.IFNA(IF('Interactive Selection Sheet'!$K128= "", VLOOKUP('Interactive Selection Sheet'!$L128, 'Master List Import'!$A$1:$P$519, 3, FALSE), ""), "")</f>
        <v>Birthday Card w/Envelope</v>
      </c>
      <c r="C136" s="76">
        <f>IF('Interactive Selection Sheet'!$T$2="", "", IF(B136="","",'Interactive Selection Sheet'!$T$2))</f>
        <v>3.5000000000000003E-2</v>
      </c>
      <c r="D136" s="70">
        <f>IF(B136 = "", "", 'Interactive Selection Sheet'!$Q$2)</f>
        <v>4.4999999999999998E-2</v>
      </c>
      <c r="E136" s="70">
        <f>IF(B136="","", 'Interactive Selection Sheet'!$R$2)</f>
        <v>0.02</v>
      </c>
      <c r="F136" s="69" t="str">
        <f>_xlfn.IFNA(IF('Interactive Selection Sheet'!K129= "", VLOOKUP('Interactive Selection Sheet'!$L129, 'Master List Import'!$A$1:$P$519, 4, FALSE), ""), "")</f>
        <v>Stationery - Greeting Cards</v>
      </c>
      <c r="G136" s="69" t="str">
        <f>_xlfn.IFNA(IF('Interactive Selection Sheet'!K129= "", VLOOKUP('Interactive Selection Sheet'!$L129, 'Master List Import'!$A$1:$P$519, 5, FALSE), ""), "")</f>
        <v>Stationery - Greeting Cards</v>
      </c>
      <c r="H136" s="69" t="str">
        <f>_xlfn.IFNA(IF('Interactive Selection Sheet'!K129= "", VLOOKUP('Interactive Selection Sheet'!$L129, 'Master List Import'!$A$1:$P$519, 6, FALSE), ""), "")</f>
        <v>Both</v>
      </c>
      <c r="I136" s="72">
        <f>_xlfn.IFNA(IF('Interactive Selection Sheet'!K129= "", VLOOKUP('Interactive Selection Sheet'!$L129, 'Master List Import'!$A$1:$P$519, 7, FALSE), ""), "")</f>
        <v>0.30330000000000001</v>
      </c>
      <c r="J136" s="69" t="str">
        <f>_xlfn.IFNA(IF('Interactive Selection Sheet'!K129= "", VLOOKUP('Interactive Selection Sheet'!$L129, 'Master List Import'!$A$1:$P$519, 8, FALSE), ""), "")</f>
        <v>REI</v>
      </c>
      <c r="K136" s="69" t="str">
        <f>_xlfn.IFNA(IF('Interactive Selection Sheet'!K129= "", VLOOKUP('Interactive Selection Sheet'!$L129, 'Master List Import'!$A$1:$P$519, 9, FALSE), ""), "")</f>
        <v>411347</v>
      </c>
      <c r="L136" s="69">
        <f>_xlfn.IFNA(IF('Interactive Selection Sheet'!K129= "", VLOOKUP('Interactive Selection Sheet'!$L129, 'Master List Import'!$A$1:$P$519, 10, FALSE), ""), "")</f>
        <v>0</v>
      </c>
      <c r="M136" s="69">
        <f>_xlfn.IFNA(IF('Interactive Selection Sheet'!K129= "", VLOOKUP('Interactive Selection Sheet'!$L129, 'Master List Import'!$A$1:$P$519, 11, FALSE), ""), "")</f>
        <v>0</v>
      </c>
      <c r="N136" s="69">
        <f>_xlfn.IFNA(IF('Interactive Selection Sheet'!K129= "", VLOOKUP('Interactive Selection Sheet'!$L129, 'Master List Import'!$A$1:$P$519, 12, FALSE), ""), "")</f>
        <v>6</v>
      </c>
      <c r="O136" s="69">
        <f>_xlfn.IFNA(IF('Interactive Selection Sheet'!K129= "", VLOOKUP('Interactive Selection Sheet'!$L129, 'Master List Import'!$A$1:$P$519, 13, FALSE), ""), "")</f>
        <v>3103</v>
      </c>
      <c r="P136" s="69" t="str">
        <f>_xlfn.IFNA(IF('Interactive Selection Sheet'!K129= "", VLOOKUP('Interactive Selection Sheet'!$L129, 'Master List Import'!$A$1:$P$519, 14, FALSE), ""), "")</f>
        <v>Holiday Card</v>
      </c>
      <c r="Q136" s="69">
        <f>_xlfn.IFNA(IF('Interactive Selection Sheet'!K129= "", VLOOKUP('Interactive Selection Sheet'!$L129, 'Master List Import'!$A$1:$P$519, 15, FALSE), ""), "")</f>
        <v>1</v>
      </c>
      <c r="R136" s="74">
        <f>_xlfn.IFNA(IF('Interactive Selection Sheet'!K129= "", VLOOKUP('Interactive Selection Sheet'!$L129, 'Master List Import'!$A$1:$P$519, 16, FALSE), ""), "")</f>
        <v>1.05</v>
      </c>
    </row>
    <row r="137" spans="1:18" ht="21.75" customHeight="1" x14ac:dyDescent="0.25">
      <c r="A137" s="69">
        <f>_xlfn.IFNA(IF('Interactive Selection Sheet'!$K130= "", VLOOKUP('Interactive Selection Sheet'!$L130, 'Master List Import'!$A$1:$P$519, 2, FALSE), ""), "")</f>
        <v>3104</v>
      </c>
      <c r="B137" s="69" t="str">
        <f>_xlfn.IFNA(IF('Interactive Selection Sheet'!$K129= "", VLOOKUP('Interactive Selection Sheet'!$L129, 'Master List Import'!$A$1:$P$519, 3, FALSE), ""), "")</f>
        <v>Happy Holidays Card w/Envelope</v>
      </c>
      <c r="C137" s="76">
        <f>IF('Interactive Selection Sheet'!$T$2="", "", IF(B137="","",'Interactive Selection Sheet'!$T$2))</f>
        <v>3.5000000000000003E-2</v>
      </c>
      <c r="D137" s="70">
        <f>IF(B137 = "", "", 'Interactive Selection Sheet'!$Q$2)</f>
        <v>4.4999999999999998E-2</v>
      </c>
      <c r="E137" s="70">
        <f>IF(B137="","", 'Interactive Selection Sheet'!$R$2)</f>
        <v>0.02</v>
      </c>
      <c r="F137" s="69" t="str">
        <f>_xlfn.IFNA(IF('Interactive Selection Sheet'!K130= "", VLOOKUP('Interactive Selection Sheet'!$L130, 'Master List Import'!$A$1:$P$519, 4, FALSE), ""), "")</f>
        <v>Stationery - Greeting Cards</v>
      </c>
      <c r="G137" s="69" t="str">
        <f>_xlfn.IFNA(IF('Interactive Selection Sheet'!K130= "", VLOOKUP('Interactive Selection Sheet'!$L130, 'Master List Import'!$A$1:$P$519, 5, FALSE), ""), "")</f>
        <v>Stationery - Greeting Cards</v>
      </c>
      <c r="H137" s="69" t="str">
        <f>_xlfn.IFNA(IF('Interactive Selection Sheet'!K130= "", VLOOKUP('Interactive Selection Sheet'!$L130, 'Master List Import'!$A$1:$P$519, 6, FALSE), ""), "")</f>
        <v>Both</v>
      </c>
      <c r="I137" s="72">
        <f>_xlfn.IFNA(IF('Interactive Selection Sheet'!K130= "", VLOOKUP('Interactive Selection Sheet'!$L130, 'Master List Import'!$A$1:$P$519, 7, FALSE), ""), "")</f>
        <v>0.67</v>
      </c>
      <c r="J137" s="69" t="str">
        <f>_xlfn.IFNA(IF('Interactive Selection Sheet'!K130= "", VLOOKUP('Interactive Selection Sheet'!$L130, 'Master List Import'!$A$1:$P$519, 8, FALSE), ""), "")</f>
        <v>REI</v>
      </c>
      <c r="K137" s="69" t="str">
        <f>_xlfn.IFNA(IF('Interactive Selection Sheet'!K130= "", VLOOKUP('Interactive Selection Sheet'!$L130, 'Master List Import'!$A$1:$P$519, 9, FALSE), ""), "")</f>
        <v>411346</v>
      </c>
      <c r="L137" s="69">
        <f>_xlfn.IFNA(IF('Interactive Selection Sheet'!K130= "", VLOOKUP('Interactive Selection Sheet'!$L130, 'Master List Import'!$A$1:$P$519, 10, FALSE), ""), "")</f>
        <v>0</v>
      </c>
      <c r="M137" s="69">
        <f>_xlfn.IFNA(IF('Interactive Selection Sheet'!K130= "", VLOOKUP('Interactive Selection Sheet'!$L130, 'Master List Import'!$A$1:$P$519, 11, FALSE), ""), "")</f>
        <v>0</v>
      </c>
      <c r="N137" s="69">
        <f>_xlfn.IFNA(IF('Interactive Selection Sheet'!K130= "", VLOOKUP('Interactive Selection Sheet'!$L130, 'Master List Import'!$A$1:$P$519, 12, FALSE), ""), "")</f>
        <v>6</v>
      </c>
      <c r="O137" s="69">
        <f>_xlfn.IFNA(IF('Interactive Selection Sheet'!K130= "", VLOOKUP('Interactive Selection Sheet'!$L130, 'Master List Import'!$A$1:$P$519, 13, FALSE), ""), "")</f>
        <v>3104</v>
      </c>
      <c r="P137" s="69" t="str">
        <f>_xlfn.IFNA(IF('Interactive Selection Sheet'!K130= "", VLOOKUP('Interactive Selection Sheet'!$L130, 'Master List Import'!$A$1:$P$519, 14, FALSE), ""), "")</f>
        <v>Christmas Card</v>
      </c>
      <c r="Q137" s="69">
        <f>_xlfn.IFNA(IF('Interactive Selection Sheet'!K130= "", VLOOKUP('Interactive Selection Sheet'!$L130, 'Master List Import'!$A$1:$P$519, 15, FALSE), ""), "")</f>
        <v>1</v>
      </c>
      <c r="R137" s="74">
        <f>_xlfn.IFNA(IF('Interactive Selection Sheet'!K130= "", VLOOKUP('Interactive Selection Sheet'!$L130, 'Master List Import'!$A$1:$P$519, 16, FALSE), ""), "")</f>
        <v>1.05</v>
      </c>
    </row>
    <row r="138" spans="1:18" ht="21.75" customHeight="1" x14ac:dyDescent="0.25">
      <c r="A138" s="69">
        <f>_xlfn.IFNA(IF('Interactive Selection Sheet'!$K131= "", VLOOKUP('Interactive Selection Sheet'!$L131, 'Master List Import'!$A$1:$P$519, 2, FALSE), ""), "")</f>
        <v>3105</v>
      </c>
      <c r="B138" s="69" t="str">
        <f>_xlfn.IFNA(IF('Interactive Selection Sheet'!$K130= "", VLOOKUP('Interactive Selection Sheet'!$L130, 'Master List Import'!$A$1:$P$519, 3, FALSE), ""), "")</f>
        <v>Christmas Card w/Envelope</v>
      </c>
      <c r="C138" s="76">
        <f>IF('Interactive Selection Sheet'!$T$2="", "", IF(B138="","",'Interactive Selection Sheet'!$T$2))</f>
        <v>3.5000000000000003E-2</v>
      </c>
      <c r="D138" s="70">
        <f>IF(B138 = "", "", 'Interactive Selection Sheet'!$Q$2)</f>
        <v>4.4999999999999998E-2</v>
      </c>
      <c r="E138" s="70">
        <f>IF(B138="","", 'Interactive Selection Sheet'!$R$2)</f>
        <v>0.02</v>
      </c>
      <c r="F138" s="69" t="str">
        <f>_xlfn.IFNA(IF('Interactive Selection Sheet'!K131= "", VLOOKUP('Interactive Selection Sheet'!$L131, 'Master List Import'!$A$1:$P$519, 4, FALSE), ""), "")</f>
        <v>Stationery - Greeting Cards</v>
      </c>
      <c r="G138" s="69" t="str">
        <f>_xlfn.IFNA(IF('Interactive Selection Sheet'!K131= "", VLOOKUP('Interactive Selection Sheet'!$L131, 'Master List Import'!$A$1:$P$519, 5, FALSE), ""), "")</f>
        <v>Stationery - Greeting Cards</v>
      </c>
      <c r="H138" s="69" t="str">
        <f>_xlfn.IFNA(IF('Interactive Selection Sheet'!K131= "", VLOOKUP('Interactive Selection Sheet'!$L131, 'Master List Import'!$A$1:$P$519, 6, FALSE), ""), "")</f>
        <v>Both</v>
      </c>
      <c r="I138" s="72">
        <f>_xlfn.IFNA(IF('Interactive Selection Sheet'!K131= "", VLOOKUP('Interactive Selection Sheet'!$L131, 'Master List Import'!$A$1:$P$519, 7, FALSE), ""), "")</f>
        <v>0.30330000000000001</v>
      </c>
      <c r="J138" s="69" t="str">
        <f>_xlfn.IFNA(IF('Interactive Selection Sheet'!K131= "", VLOOKUP('Interactive Selection Sheet'!$L131, 'Master List Import'!$A$1:$P$519, 8, FALSE), ""), "")</f>
        <v>REI</v>
      </c>
      <c r="K138" s="69" t="str">
        <f>_xlfn.IFNA(IF('Interactive Selection Sheet'!K131= "", VLOOKUP('Interactive Selection Sheet'!$L131, 'Master List Import'!$A$1:$P$519, 9, FALSE), ""), "")</f>
        <v>411322</v>
      </c>
      <c r="L138" s="69">
        <f>_xlfn.IFNA(IF('Interactive Selection Sheet'!K131= "", VLOOKUP('Interactive Selection Sheet'!$L131, 'Master List Import'!$A$1:$P$519, 10, FALSE), ""), "")</f>
        <v>0</v>
      </c>
      <c r="M138" s="69">
        <f>_xlfn.IFNA(IF('Interactive Selection Sheet'!K131= "", VLOOKUP('Interactive Selection Sheet'!$L131, 'Master List Import'!$A$1:$P$519, 11, FALSE), ""), "")</f>
        <v>0</v>
      </c>
      <c r="N138" s="69">
        <f>_xlfn.IFNA(IF('Interactive Selection Sheet'!K131= "", VLOOKUP('Interactive Selection Sheet'!$L131, 'Master List Import'!$A$1:$P$519, 12, FALSE), ""), "")</f>
        <v>6</v>
      </c>
      <c r="O138" s="69">
        <f>_xlfn.IFNA(IF('Interactive Selection Sheet'!K131= "", VLOOKUP('Interactive Selection Sheet'!$L131, 'Master List Import'!$A$1:$P$519, 13, FALSE), ""), "")</f>
        <v>3105</v>
      </c>
      <c r="P138" s="69" t="str">
        <f>_xlfn.IFNA(IF('Interactive Selection Sheet'!K131= "", VLOOKUP('Interactive Selection Sheet'!$L131, 'Master List Import'!$A$1:$P$519, 14, FALSE), ""), "")</f>
        <v>Blank Card</v>
      </c>
      <c r="Q138" s="69">
        <f>_xlfn.IFNA(IF('Interactive Selection Sheet'!K131= "", VLOOKUP('Interactive Selection Sheet'!$L131, 'Master List Import'!$A$1:$P$519, 15, FALSE), ""), "")</f>
        <v>1</v>
      </c>
      <c r="R138" s="74">
        <f>_xlfn.IFNA(IF('Interactive Selection Sheet'!K131= "", VLOOKUP('Interactive Selection Sheet'!$L131, 'Master List Import'!$A$1:$P$519, 16, FALSE), ""), "")</f>
        <v>1.05</v>
      </c>
    </row>
    <row r="139" spans="1:18" ht="21.75" customHeight="1" x14ac:dyDescent="0.25">
      <c r="A139" s="69">
        <f>_xlfn.IFNA(IF('Interactive Selection Sheet'!$K132= "", VLOOKUP('Interactive Selection Sheet'!$L132, 'Master List Import'!$A$1:$P$519, 2, FALSE), ""), "")</f>
        <v>3106</v>
      </c>
      <c r="B139" s="69" t="str">
        <f>_xlfn.IFNA(IF('Interactive Selection Sheet'!$K131= "", VLOOKUP('Interactive Selection Sheet'!$L131, 'Master List Import'!$A$1:$P$519, 3, FALSE), ""), "")</f>
        <v>Blank Card w/Envelope</v>
      </c>
      <c r="C139" s="76">
        <f>IF('Interactive Selection Sheet'!$T$2="", "", IF(B139="","",'Interactive Selection Sheet'!$T$2))</f>
        <v>3.5000000000000003E-2</v>
      </c>
      <c r="D139" s="70">
        <f>IF(B139 = "", "", 'Interactive Selection Sheet'!$Q$2)</f>
        <v>4.4999999999999998E-2</v>
      </c>
      <c r="E139" s="70">
        <f>IF(B139="","", 'Interactive Selection Sheet'!$R$2)</f>
        <v>0.02</v>
      </c>
      <c r="F139" s="69" t="str">
        <f>_xlfn.IFNA(IF('Interactive Selection Sheet'!K132= "", VLOOKUP('Interactive Selection Sheet'!$L132, 'Master List Import'!$A$1:$P$519, 4, FALSE), ""), "")</f>
        <v>Stationery - Greeting Cards</v>
      </c>
      <c r="G139" s="69" t="str">
        <f>_xlfn.IFNA(IF('Interactive Selection Sheet'!K132= "", VLOOKUP('Interactive Selection Sheet'!$L132, 'Master List Import'!$A$1:$P$519, 5, FALSE), ""), "")</f>
        <v>Stationery - Greeting Cards</v>
      </c>
      <c r="H139" s="69" t="str">
        <f>_xlfn.IFNA(IF('Interactive Selection Sheet'!K132= "", VLOOKUP('Interactive Selection Sheet'!$L132, 'Master List Import'!$A$1:$P$519, 6, FALSE), ""), "")</f>
        <v>Both</v>
      </c>
      <c r="I139" s="72">
        <f>_xlfn.IFNA(IF('Interactive Selection Sheet'!K132= "", VLOOKUP('Interactive Selection Sheet'!$L132, 'Master List Import'!$A$1:$P$519, 7, FALSE), ""), "")</f>
        <v>0.30330000000000001</v>
      </c>
      <c r="J139" s="69" t="str">
        <f>_xlfn.IFNA(IF('Interactive Selection Sheet'!K132= "", VLOOKUP('Interactive Selection Sheet'!$L132, 'Master List Import'!$A$1:$P$519, 8, FALSE), ""), "")</f>
        <v>REI</v>
      </c>
      <c r="K139" s="69" t="str">
        <f>_xlfn.IFNA(IF('Interactive Selection Sheet'!K132= "", VLOOKUP('Interactive Selection Sheet'!$L132, 'Master List Import'!$A$1:$P$519, 9, FALSE), ""), "")</f>
        <v>411326</v>
      </c>
      <c r="L139" s="69">
        <f>_xlfn.IFNA(IF('Interactive Selection Sheet'!K132= "", VLOOKUP('Interactive Selection Sheet'!$L132, 'Master List Import'!$A$1:$P$519, 10, FALSE), ""), "")</f>
        <v>0</v>
      </c>
      <c r="M139" s="69">
        <f>_xlfn.IFNA(IF('Interactive Selection Sheet'!K132= "", VLOOKUP('Interactive Selection Sheet'!$L132, 'Master List Import'!$A$1:$P$519, 11, FALSE), ""), "")</f>
        <v>0</v>
      </c>
      <c r="N139" s="69">
        <f>_xlfn.IFNA(IF('Interactive Selection Sheet'!K132= "", VLOOKUP('Interactive Selection Sheet'!$L132, 'Master List Import'!$A$1:$P$519, 12, FALSE), ""), "")</f>
        <v>6</v>
      </c>
      <c r="O139" s="69">
        <f>_xlfn.IFNA(IF('Interactive Selection Sheet'!K132= "", VLOOKUP('Interactive Selection Sheet'!$L132, 'Master List Import'!$A$1:$P$519, 13, FALSE), ""), "")</f>
        <v>3106</v>
      </c>
      <c r="P139" s="69" t="str">
        <f>_xlfn.IFNA(IF('Interactive Selection Sheet'!K132= "", VLOOKUP('Interactive Selection Sheet'!$L132, 'Master List Import'!$A$1:$P$519, 14, FALSE), ""), "")</f>
        <v>Thanksgiving Card</v>
      </c>
      <c r="Q139" s="69">
        <f>_xlfn.IFNA(IF('Interactive Selection Sheet'!K132= "", VLOOKUP('Interactive Selection Sheet'!$L132, 'Master List Import'!$A$1:$P$519, 15, FALSE), ""), "")</f>
        <v>1</v>
      </c>
      <c r="R139" s="74">
        <f>_xlfn.IFNA(IF('Interactive Selection Sheet'!K132= "", VLOOKUP('Interactive Selection Sheet'!$L132, 'Master List Import'!$A$1:$P$519, 16, FALSE), ""), "")</f>
        <v>1.05</v>
      </c>
    </row>
    <row r="140" spans="1:18" ht="21.75" customHeight="1" x14ac:dyDescent="0.25">
      <c r="A140" s="69">
        <f>_xlfn.IFNA(IF('Interactive Selection Sheet'!$K133= "", VLOOKUP('Interactive Selection Sheet'!$L133, 'Master List Import'!$A$1:$P$519, 2, FALSE), ""), "")</f>
        <v>3107</v>
      </c>
      <c r="B140" s="69" t="str">
        <f>_xlfn.IFNA(IF('Interactive Selection Sheet'!$K132= "", VLOOKUP('Interactive Selection Sheet'!$L132, 'Master List Import'!$A$1:$P$519, 3, FALSE), ""), "")</f>
        <v>Thanksgiving Card w/Envelope</v>
      </c>
      <c r="C140" s="76">
        <f>IF('Interactive Selection Sheet'!$T$2="", "", IF(B140="","",'Interactive Selection Sheet'!$T$2))</f>
        <v>3.5000000000000003E-2</v>
      </c>
      <c r="D140" s="70">
        <f>IF(B140 = "", "", 'Interactive Selection Sheet'!$Q$2)</f>
        <v>4.4999999999999998E-2</v>
      </c>
      <c r="E140" s="70">
        <f>IF(B140="","", 'Interactive Selection Sheet'!$R$2)</f>
        <v>0.02</v>
      </c>
      <c r="F140" s="69" t="str">
        <f>_xlfn.IFNA(IF('Interactive Selection Sheet'!K133= "", VLOOKUP('Interactive Selection Sheet'!$L133, 'Master List Import'!$A$1:$P$519, 4, FALSE), ""), "")</f>
        <v>Stationery - Greeting Cards</v>
      </c>
      <c r="G140" s="69" t="str">
        <f>_xlfn.IFNA(IF('Interactive Selection Sheet'!K133= "", VLOOKUP('Interactive Selection Sheet'!$L133, 'Master List Import'!$A$1:$P$519, 5, FALSE), ""), "")</f>
        <v>Stationery - Greeting Cards</v>
      </c>
      <c r="H140" s="69" t="str">
        <f>_xlfn.IFNA(IF('Interactive Selection Sheet'!K133= "", VLOOKUP('Interactive Selection Sheet'!$L133, 'Master List Import'!$A$1:$P$519, 6, FALSE), ""), "")</f>
        <v>Both</v>
      </c>
      <c r="I140" s="72">
        <f>_xlfn.IFNA(IF('Interactive Selection Sheet'!K133= "", VLOOKUP('Interactive Selection Sheet'!$L133, 'Master List Import'!$A$1:$P$519, 7, FALSE), ""), "")</f>
        <v>0.30330000000000001</v>
      </c>
      <c r="J140" s="69" t="str">
        <f>_xlfn.IFNA(IF('Interactive Selection Sheet'!K133= "", VLOOKUP('Interactive Selection Sheet'!$L133, 'Master List Import'!$A$1:$P$519, 8, FALSE), ""), "")</f>
        <v>REI</v>
      </c>
      <c r="K140" s="69" t="str">
        <f>_xlfn.IFNA(IF('Interactive Selection Sheet'!K133= "", VLOOKUP('Interactive Selection Sheet'!$L133, 'Master List Import'!$A$1:$P$519, 9, FALSE), ""), "")</f>
        <v>411344</v>
      </c>
      <c r="L140" s="69">
        <f>_xlfn.IFNA(IF('Interactive Selection Sheet'!K133= "", VLOOKUP('Interactive Selection Sheet'!$L133, 'Master List Import'!$A$1:$P$519, 10, FALSE), ""), "")</f>
        <v>0</v>
      </c>
      <c r="M140" s="69">
        <f>_xlfn.IFNA(IF('Interactive Selection Sheet'!K133= "", VLOOKUP('Interactive Selection Sheet'!$L133, 'Master List Import'!$A$1:$P$519, 11, FALSE), ""), "")</f>
        <v>0</v>
      </c>
      <c r="N140" s="69">
        <f>_xlfn.IFNA(IF('Interactive Selection Sheet'!K133= "", VLOOKUP('Interactive Selection Sheet'!$L133, 'Master List Import'!$A$1:$P$519, 12, FALSE), ""), "")</f>
        <v>6</v>
      </c>
      <c r="O140" s="69">
        <f>_xlfn.IFNA(IF('Interactive Selection Sheet'!K133= "", VLOOKUP('Interactive Selection Sheet'!$L133, 'Master List Import'!$A$1:$P$519, 13, FALSE), ""), "")</f>
        <v>3107</v>
      </c>
      <c r="P140" s="69" t="str">
        <f>_xlfn.IFNA(IF('Interactive Selection Sheet'!K133= "", VLOOKUP('Interactive Selection Sheet'!$L133, 'Master List Import'!$A$1:$P$519, 14, FALSE), ""), "")</f>
        <v>Mother's Day Card</v>
      </c>
      <c r="Q140" s="69">
        <f>_xlfn.IFNA(IF('Interactive Selection Sheet'!K133= "", VLOOKUP('Interactive Selection Sheet'!$L133, 'Master List Import'!$A$1:$P$519, 15, FALSE), ""), "")</f>
        <v>1</v>
      </c>
      <c r="R140" s="74">
        <f>_xlfn.IFNA(IF('Interactive Selection Sheet'!K133= "", VLOOKUP('Interactive Selection Sheet'!$L133, 'Master List Import'!$A$1:$P$519, 16, FALSE), ""), "")</f>
        <v>1.05</v>
      </c>
    </row>
    <row r="141" spans="1:18" ht="21.75" customHeight="1" x14ac:dyDescent="0.25">
      <c r="A141" s="69">
        <f>_xlfn.IFNA(IF('Interactive Selection Sheet'!$K134= "", VLOOKUP('Interactive Selection Sheet'!$L134, 'Master List Import'!$A$1:$P$519, 2, FALSE), ""), "")</f>
        <v>3108</v>
      </c>
      <c r="B141" s="69" t="str">
        <f>_xlfn.IFNA(IF('Interactive Selection Sheet'!$K133= "", VLOOKUP('Interactive Selection Sheet'!$L133, 'Master List Import'!$A$1:$P$519, 3, FALSE), ""), "")</f>
        <v>Mother's Day Card w/Envelope</v>
      </c>
      <c r="C141" s="76">
        <f>IF('Interactive Selection Sheet'!$T$2="", "", IF(B141="","",'Interactive Selection Sheet'!$T$2))</f>
        <v>3.5000000000000003E-2</v>
      </c>
      <c r="D141" s="70">
        <f>IF(B141 = "", "", 'Interactive Selection Sheet'!$Q$2)</f>
        <v>4.4999999999999998E-2</v>
      </c>
      <c r="E141" s="70">
        <f>IF(B141="","", 'Interactive Selection Sheet'!$R$2)</f>
        <v>0.02</v>
      </c>
      <c r="F141" s="69" t="str">
        <f>_xlfn.IFNA(IF('Interactive Selection Sheet'!K134= "", VLOOKUP('Interactive Selection Sheet'!$L134, 'Master List Import'!$A$1:$P$519, 4, FALSE), ""), "")</f>
        <v>Stationery - Greeting Cards</v>
      </c>
      <c r="G141" s="69" t="str">
        <f>_xlfn.IFNA(IF('Interactive Selection Sheet'!K134= "", VLOOKUP('Interactive Selection Sheet'!$L134, 'Master List Import'!$A$1:$P$519, 5, FALSE), ""), "")</f>
        <v>Stationery - Greeting Cards</v>
      </c>
      <c r="H141" s="69" t="str">
        <f>_xlfn.IFNA(IF('Interactive Selection Sheet'!K134= "", VLOOKUP('Interactive Selection Sheet'!$L134, 'Master List Import'!$A$1:$P$519, 6, FALSE), ""), "")</f>
        <v>Both</v>
      </c>
      <c r="I141" s="72">
        <f>_xlfn.IFNA(IF('Interactive Selection Sheet'!K134= "", VLOOKUP('Interactive Selection Sheet'!$L134, 'Master List Import'!$A$1:$P$519, 7, FALSE), ""), "")</f>
        <v>0.30330000000000001</v>
      </c>
      <c r="J141" s="69" t="str">
        <f>_xlfn.IFNA(IF('Interactive Selection Sheet'!K134= "", VLOOKUP('Interactive Selection Sheet'!$L134, 'Master List Import'!$A$1:$P$519, 8, FALSE), ""), "")</f>
        <v>REI</v>
      </c>
      <c r="K141" s="69" t="str">
        <f>_xlfn.IFNA(IF('Interactive Selection Sheet'!K134= "", VLOOKUP('Interactive Selection Sheet'!$L134, 'Master List Import'!$A$1:$P$519, 9, FALSE), ""), "")</f>
        <v>411343</v>
      </c>
      <c r="L141" s="69">
        <f>_xlfn.IFNA(IF('Interactive Selection Sheet'!K134= "", VLOOKUP('Interactive Selection Sheet'!$L134, 'Master List Import'!$A$1:$P$519, 10, FALSE), ""), "")</f>
        <v>0</v>
      </c>
      <c r="M141" s="69">
        <f>_xlfn.IFNA(IF('Interactive Selection Sheet'!K134= "", VLOOKUP('Interactive Selection Sheet'!$L134, 'Master List Import'!$A$1:$P$519, 11, FALSE), ""), "")</f>
        <v>0</v>
      </c>
      <c r="N141" s="69">
        <f>_xlfn.IFNA(IF('Interactive Selection Sheet'!K134= "", VLOOKUP('Interactive Selection Sheet'!$L134, 'Master List Import'!$A$1:$P$519, 12, FALSE), ""), "")</f>
        <v>6</v>
      </c>
      <c r="O141" s="69">
        <f>_xlfn.IFNA(IF('Interactive Selection Sheet'!K134= "", VLOOKUP('Interactive Selection Sheet'!$L134, 'Master List Import'!$A$1:$P$519, 13, FALSE), ""), "")</f>
        <v>3108</v>
      </c>
      <c r="P141" s="69" t="str">
        <f>_xlfn.IFNA(IF('Interactive Selection Sheet'!K134= "", VLOOKUP('Interactive Selection Sheet'!$L134, 'Master List Import'!$A$1:$P$519, 14, FALSE), ""), "")</f>
        <v>Easter Card</v>
      </c>
      <c r="Q141" s="69">
        <f>_xlfn.IFNA(IF('Interactive Selection Sheet'!K134= "", VLOOKUP('Interactive Selection Sheet'!$L134, 'Master List Import'!$A$1:$P$519, 15, FALSE), ""), "")</f>
        <v>1</v>
      </c>
      <c r="R141" s="74">
        <f>_xlfn.IFNA(IF('Interactive Selection Sheet'!K134= "", VLOOKUP('Interactive Selection Sheet'!$L134, 'Master List Import'!$A$1:$P$519, 16, FALSE), ""), "")</f>
        <v>1.05</v>
      </c>
    </row>
    <row r="142" spans="1:18" ht="21.75" customHeight="1" x14ac:dyDescent="0.25">
      <c r="A142" s="69">
        <f>_xlfn.IFNA(IF('Interactive Selection Sheet'!$K135= "", VLOOKUP('Interactive Selection Sheet'!$L135, 'Master List Import'!$A$1:$P$519, 2, FALSE), ""), "")</f>
        <v>3110</v>
      </c>
      <c r="B142" s="69" t="str">
        <f>_xlfn.IFNA(IF('Interactive Selection Sheet'!$K134= "", VLOOKUP('Interactive Selection Sheet'!$L134, 'Master List Import'!$A$1:$P$519, 3, FALSE), ""), "")</f>
        <v>Greeting Cards w/Envelope, Easter - 6/cs</v>
      </c>
      <c r="C142" s="76">
        <f>IF('Interactive Selection Sheet'!$T$2="", "", IF(B142="","",'Interactive Selection Sheet'!$T$2))</f>
        <v>3.5000000000000003E-2</v>
      </c>
      <c r="D142" s="70">
        <f>IF(B142 = "", "", 'Interactive Selection Sheet'!$Q$2)</f>
        <v>4.4999999999999998E-2</v>
      </c>
      <c r="E142" s="70">
        <f>IF(B142="","", 'Interactive Selection Sheet'!$R$2)</f>
        <v>0.02</v>
      </c>
      <c r="F142" s="69" t="str">
        <f>_xlfn.IFNA(IF('Interactive Selection Sheet'!K135= "", VLOOKUP('Interactive Selection Sheet'!$L135, 'Master List Import'!$A$1:$P$519, 4, FALSE), ""), "")</f>
        <v>Stationery - Greeting Cards</v>
      </c>
      <c r="G142" s="69" t="str">
        <f>_xlfn.IFNA(IF('Interactive Selection Sheet'!K135= "", VLOOKUP('Interactive Selection Sheet'!$L135, 'Master List Import'!$A$1:$P$519, 5, FALSE), ""), "")</f>
        <v>Stationery - Greeting Cards</v>
      </c>
      <c r="H142" s="69" t="str">
        <f>_xlfn.IFNA(IF('Interactive Selection Sheet'!K135= "", VLOOKUP('Interactive Selection Sheet'!$L135, 'Master List Import'!$A$1:$P$519, 6, FALSE), ""), "")</f>
        <v>Both</v>
      </c>
      <c r="I142" s="72">
        <f>_xlfn.IFNA(IF('Interactive Selection Sheet'!K135= "", VLOOKUP('Interactive Selection Sheet'!$L135, 'Master List Import'!$A$1:$P$519, 7, FALSE), ""), "")</f>
        <v>0.30330000000000001</v>
      </c>
      <c r="J142" s="69" t="str">
        <f>_xlfn.IFNA(IF('Interactive Selection Sheet'!K135= "", VLOOKUP('Interactive Selection Sheet'!$L135, 'Master List Import'!$A$1:$P$519, 8, FALSE), ""), "")</f>
        <v>REI</v>
      </c>
      <c r="K142" s="69" t="str">
        <f>_xlfn.IFNA(IF('Interactive Selection Sheet'!K135= "", VLOOKUP('Interactive Selection Sheet'!$L135, 'Master List Import'!$A$1:$P$519, 9, FALSE), ""), "")</f>
        <v>411345</v>
      </c>
      <c r="L142" s="69">
        <f>_xlfn.IFNA(IF('Interactive Selection Sheet'!K135= "", VLOOKUP('Interactive Selection Sheet'!$L135, 'Master List Import'!$A$1:$P$519, 10, FALSE), ""), "")</f>
        <v>0</v>
      </c>
      <c r="M142" s="69">
        <f>_xlfn.IFNA(IF('Interactive Selection Sheet'!K135= "", VLOOKUP('Interactive Selection Sheet'!$L135, 'Master List Import'!$A$1:$P$519, 11, FALSE), ""), "")</f>
        <v>0</v>
      </c>
      <c r="N142" s="69">
        <f>_xlfn.IFNA(IF('Interactive Selection Sheet'!K135= "", VLOOKUP('Interactive Selection Sheet'!$L135, 'Master List Import'!$A$1:$P$519, 12, FALSE), ""), "")</f>
        <v>1</v>
      </c>
      <c r="O142" s="69">
        <f>_xlfn.IFNA(IF('Interactive Selection Sheet'!K135= "", VLOOKUP('Interactive Selection Sheet'!$L135, 'Master List Import'!$A$1:$P$519, 13, FALSE), ""), "")</f>
        <v>3110</v>
      </c>
      <c r="P142" s="69" t="str">
        <f>_xlfn.IFNA(IF('Interactive Selection Sheet'!K135= "", VLOOKUP('Interactive Selection Sheet'!$L135, 'Master List Import'!$A$1:$P$519, 14, FALSE), ""), "")</f>
        <v>Father's Day Card</v>
      </c>
      <c r="Q142" s="69">
        <f>_xlfn.IFNA(IF('Interactive Selection Sheet'!K135= "", VLOOKUP('Interactive Selection Sheet'!$L135, 'Master List Import'!$A$1:$P$519, 15, FALSE), ""), "")</f>
        <v>1</v>
      </c>
      <c r="R142" s="74">
        <f>_xlfn.IFNA(IF('Interactive Selection Sheet'!K135= "", VLOOKUP('Interactive Selection Sheet'!$L135, 'Master List Import'!$A$1:$P$519, 16, FALSE), ""), "")</f>
        <v>1.05</v>
      </c>
    </row>
    <row r="143" spans="1:18" ht="21.75" customHeight="1" x14ac:dyDescent="0.25">
      <c r="A143" s="69">
        <f>_xlfn.IFNA(IF('Interactive Selection Sheet'!$K136= "", VLOOKUP('Interactive Selection Sheet'!$L136, 'Master List Import'!$A$1:$P$519, 2, FALSE), ""), "")</f>
        <v>3111</v>
      </c>
      <c r="B143" s="69" t="str">
        <f>_xlfn.IFNA(IF('Interactive Selection Sheet'!$K135= "", VLOOKUP('Interactive Selection Sheet'!$L135, 'Master List Import'!$A$1:$P$519, 3, FALSE), ""), "")</f>
        <v>Father's Day Card w/Envelope</v>
      </c>
      <c r="C143" s="76">
        <f>IF('Interactive Selection Sheet'!$T$2="", "", IF(B143="","",'Interactive Selection Sheet'!$T$2))</f>
        <v>3.5000000000000003E-2</v>
      </c>
      <c r="D143" s="70">
        <f>IF(B143 = "", "", 'Interactive Selection Sheet'!$Q$2)</f>
        <v>4.4999999999999998E-2</v>
      </c>
      <c r="E143" s="70">
        <f>IF(B143="","", 'Interactive Selection Sheet'!$R$2)</f>
        <v>0.02</v>
      </c>
      <c r="F143" s="69" t="str">
        <f>_xlfn.IFNA(IF('Interactive Selection Sheet'!K136= "", VLOOKUP('Interactive Selection Sheet'!$L136, 'Master List Import'!$A$1:$P$519, 4, FALSE), ""), "")</f>
        <v>Stationery - Greeting Cards</v>
      </c>
      <c r="G143" s="69" t="str">
        <f>_xlfn.IFNA(IF('Interactive Selection Sheet'!K136= "", VLOOKUP('Interactive Selection Sheet'!$L136, 'Master List Import'!$A$1:$P$519, 5, FALSE), ""), "")</f>
        <v>Stationery - Greeting Cards</v>
      </c>
      <c r="H143" s="69" t="str">
        <f>_xlfn.IFNA(IF('Interactive Selection Sheet'!K136= "", VLOOKUP('Interactive Selection Sheet'!$L136, 'Master List Import'!$A$1:$P$519, 6, FALSE), ""), "")</f>
        <v>Both</v>
      </c>
      <c r="I143" s="72">
        <f>_xlfn.IFNA(IF('Interactive Selection Sheet'!K136= "", VLOOKUP('Interactive Selection Sheet'!$L136, 'Master List Import'!$A$1:$P$519, 7, FALSE), ""), "")</f>
        <v>0.30330000000000001</v>
      </c>
      <c r="J143" s="69" t="str">
        <f>_xlfn.IFNA(IF('Interactive Selection Sheet'!K136= "", VLOOKUP('Interactive Selection Sheet'!$L136, 'Master List Import'!$A$1:$P$519, 8, FALSE), ""), "")</f>
        <v>REI</v>
      </c>
      <c r="K143" s="69" t="str">
        <f>_xlfn.IFNA(IF('Interactive Selection Sheet'!K136= "", VLOOKUP('Interactive Selection Sheet'!$L136, 'Master List Import'!$A$1:$P$519, 9, FALSE), ""), "")</f>
        <v>411335</v>
      </c>
      <c r="L143" s="69">
        <f>_xlfn.IFNA(IF('Interactive Selection Sheet'!K136= "", VLOOKUP('Interactive Selection Sheet'!$L136, 'Master List Import'!$A$1:$P$519, 10, FALSE), ""), "")</f>
        <v>0</v>
      </c>
      <c r="M143" s="69">
        <f>_xlfn.IFNA(IF('Interactive Selection Sheet'!K136= "", VLOOKUP('Interactive Selection Sheet'!$L136, 'Master List Import'!$A$1:$P$519, 11, FALSE), ""), "")</f>
        <v>0</v>
      </c>
      <c r="N143" s="69">
        <f>_xlfn.IFNA(IF('Interactive Selection Sheet'!K136= "", VLOOKUP('Interactive Selection Sheet'!$L136, 'Master List Import'!$A$1:$P$519, 12, FALSE), ""), "")</f>
        <v>6</v>
      </c>
      <c r="O143" s="69">
        <f>_xlfn.IFNA(IF('Interactive Selection Sheet'!K136= "", VLOOKUP('Interactive Selection Sheet'!$L136, 'Master List Import'!$A$1:$P$519, 13, FALSE), ""), "")</f>
        <v>3111</v>
      </c>
      <c r="P143" s="69" t="str">
        <f>_xlfn.IFNA(IF('Interactive Selection Sheet'!K136= "", VLOOKUP('Interactive Selection Sheet'!$L136, 'Master List Import'!$A$1:$P$519, 14, FALSE), ""), "")</f>
        <v>Get Well Card</v>
      </c>
      <c r="Q143" s="69">
        <f>_xlfn.IFNA(IF('Interactive Selection Sheet'!K136= "", VLOOKUP('Interactive Selection Sheet'!$L136, 'Master List Import'!$A$1:$P$519, 15, FALSE), ""), "")</f>
        <v>1</v>
      </c>
      <c r="R143" s="74">
        <f>_xlfn.IFNA(IF('Interactive Selection Sheet'!K136= "", VLOOKUP('Interactive Selection Sheet'!$L136, 'Master List Import'!$A$1:$P$519, 16, FALSE), ""), "")</f>
        <v>1.05</v>
      </c>
    </row>
    <row r="144" spans="1:18" ht="21.75" customHeight="1" x14ac:dyDescent="0.25">
      <c r="A144" s="69">
        <f>_xlfn.IFNA(IF('Interactive Selection Sheet'!$K137= "", VLOOKUP('Interactive Selection Sheet'!$L137, 'Master List Import'!$A$1:$P$519, 2, FALSE), ""), "")</f>
        <v>3112</v>
      </c>
      <c r="B144" s="69" t="str">
        <f>_xlfn.IFNA(IF('Interactive Selection Sheet'!$K136= "", VLOOKUP('Interactive Selection Sheet'!$L136, 'Master List Import'!$A$1:$P$519, 3, FALSE), ""), "")</f>
        <v>Get Well Card w/Envelope</v>
      </c>
      <c r="C144" s="76">
        <f>IF('Interactive Selection Sheet'!$T$2="", "", IF(B144="","",'Interactive Selection Sheet'!$T$2))</f>
        <v>3.5000000000000003E-2</v>
      </c>
      <c r="D144" s="70">
        <f>IF(B144 = "", "", 'Interactive Selection Sheet'!$Q$2)</f>
        <v>4.4999999999999998E-2</v>
      </c>
      <c r="E144" s="70">
        <f>IF(B144="","", 'Interactive Selection Sheet'!$R$2)</f>
        <v>0.02</v>
      </c>
      <c r="F144" s="69" t="str">
        <f>_xlfn.IFNA(IF('Interactive Selection Sheet'!K137= "", VLOOKUP('Interactive Selection Sheet'!$L137, 'Master List Import'!$A$1:$P$519, 4, FALSE), ""), "")</f>
        <v>Stationery - Greeting Cards</v>
      </c>
      <c r="G144" s="69" t="str">
        <f>_xlfn.IFNA(IF('Interactive Selection Sheet'!K137= "", VLOOKUP('Interactive Selection Sheet'!$L137, 'Master List Import'!$A$1:$P$519, 5, FALSE), ""), "")</f>
        <v>Stationery - Greeting Cards</v>
      </c>
      <c r="H144" s="69" t="str">
        <f>_xlfn.IFNA(IF('Interactive Selection Sheet'!K137= "", VLOOKUP('Interactive Selection Sheet'!$L137, 'Master List Import'!$A$1:$P$519, 6, FALSE), ""), "")</f>
        <v>Both</v>
      </c>
      <c r="I144" s="72">
        <f>_xlfn.IFNA(IF('Interactive Selection Sheet'!K137= "", VLOOKUP('Interactive Selection Sheet'!$L137, 'Master List Import'!$A$1:$P$519, 7, FALSE), ""), "")</f>
        <v>0.30330000000000001</v>
      </c>
      <c r="J144" s="69" t="str">
        <f>_xlfn.IFNA(IF('Interactive Selection Sheet'!K137= "", VLOOKUP('Interactive Selection Sheet'!$L137, 'Master List Import'!$A$1:$P$519, 8, FALSE), ""), "")</f>
        <v>REI</v>
      </c>
      <c r="K144" s="69" t="str">
        <f>_xlfn.IFNA(IF('Interactive Selection Sheet'!K137= "", VLOOKUP('Interactive Selection Sheet'!$L137, 'Master List Import'!$A$1:$P$519, 9, FALSE), ""), "")</f>
        <v>411327</v>
      </c>
      <c r="L144" s="69">
        <f>_xlfn.IFNA(IF('Interactive Selection Sheet'!K137= "", VLOOKUP('Interactive Selection Sheet'!$L137, 'Master List Import'!$A$1:$P$519, 10, FALSE), ""), "")</f>
        <v>0</v>
      </c>
      <c r="M144" s="69">
        <f>_xlfn.IFNA(IF('Interactive Selection Sheet'!K137= "", VLOOKUP('Interactive Selection Sheet'!$L137, 'Master List Import'!$A$1:$P$519, 11, FALSE), ""), "")</f>
        <v>0</v>
      </c>
      <c r="N144" s="69">
        <f>_xlfn.IFNA(IF('Interactive Selection Sheet'!K137= "", VLOOKUP('Interactive Selection Sheet'!$L137, 'Master List Import'!$A$1:$P$519, 12, FALSE), ""), "")</f>
        <v>6</v>
      </c>
      <c r="O144" s="69">
        <f>_xlfn.IFNA(IF('Interactive Selection Sheet'!K137= "", VLOOKUP('Interactive Selection Sheet'!$L137, 'Master List Import'!$A$1:$P$519, 13, FALSE), ""), "")</f>
        <v>3112</v>
      </c>
      <c r="P144" s="69" t="str">
        <f>_xlfn.IFNA(IF('Interactive Selection Sheet'!K137= "", VLOOKUP('Interactive Selection Sheet'!$L137, 'Master List Import'!$A$1:$P$519, 14, FALSE), ""), "")</f>
        <v>Halloween Card</v>
      </c>
      <c r="Q144" s="69">
        <f>_xlfn.IFNA(IF('Interactive Selection Sheet'!K137= "", VLOOKUP('Interactive Selection Sheet'!$L137, 'Master List Import'!$A$1:$P$519, 15, FALSE), ""), "")</f>
        <v>1</v>
      </c>
      <c r="R144" s="74">
        <f>_xlfn.IFNA(IF('Interactive Selection Sheet'!K137= "", VLOOKUP('Interactive Selection Sheet'!$L137, 'Master List Import'!$A$1:$P$519, 16, FALSE), ""), "")</f>
        <v>1.05</v>
      </c>
    </row>
    <row r="145" spans="1:18" ht="21.75" customHeight="1" x14ac:dyDescent="0.25">
      <c r="A145" s="69">
        <f>_xlfn.IFNA(IF('Interactive Selection Sheet'!$K138= "", VLOOKUP('Interactive Selection Sheet'!$L138, 'Master List Import'!$A$1:$P$519, 2, FALSE), ""), "")</f>
        <v>3113</v>
      </c>
      <c r="B145" s="69" t="str">
        <f>_xlfn.IFNA(IF('Interactive Selection Sheet'!$K137= "", VLOOKUP('Interactive Selection Sheet'!$L137, 'Master List Import'!$A$1:$P$519, 3, FALSE), ""), "")</f>
        <v>Halloween Card w/Envelope</v>
      </c>
      <c r="C145" s="76">
        <f>IF('Interactive Selection Sheet'!$T$2="", "", IF(B145="","",'Interactive Selection Sheet'!$T$2))</f>
        <v>3.5000000000000003E-2</v>
      </c>
      <c r="D145" s="70">
        <f>IF(B145 = "", "", 'Interactive Selection Sheet'!$Q$2)</f>
        <v>4.4999999999999998E-2</v>
      </c>
      <c r="E145" s="70">
        <f>IF(B145="","", 'Interactive Selection Sheet'!$R$2)</f>
        <v>0.02</v>
      </c>
      <c r="F145" s="69" t="str">
        <f>_xlfn.IFNA(IF('Interactive Selection Sheet'!K138= "", VLOOKUP('Interactive Selection Sheet'!$L138, 'Master List Import'!$A$1:$P$519, 4, FALSE), ""), "")</f>
        <v>Stationery - Greeting Cards</v>
      </c>
      <c r="G145" s="69" t="str">
        <f>_xlfn.IFNA(IF('Interactive Selection Sheet'!K138= "", VLOOKUP('Interactive Selection Sheet'!$L138, 'Master List Import'!$A$1:$P$519, 5, FALSE), ""), "")</f>
        <v>Stationery - Greeting Cards</v>
      </c>
      <c r="H145" s="69" t="str">
        <f>_xlfn.IFNA(IF('Interactive Selection Sheet'!K138= "", VLOOKUP('Interactive Selection Sheet'!$L138, 'Master List Import'!$A$1:$P$519, 6, FALSE), ""), "")</f>
        <v>Both</v>
      </c>
      <c r="I145" s="72">
        <f>_xlfn.IFNA(IF('Interactive Selection Sheet'!K138= "", VLOOKUP('Interactive Selection Sheet'!$L138, 'Master List Import'!$A$1:$P$519, 7, FALSE), ""), "")</f>
        <v>0.30330000000000001</v>
      </c>
      <c r="J145" s="69" t="str">
        <f>_xlfn.IFNA(IF('Interactive Selection Sheet'!K138= "", VLOOKUP('Interactive Selection Sheet'!$L138, 'Master List Import'!$A$1:$P$519, 8, FALSE), ""), "")</f>
        <v>REI</v>
      </c>
      <c r="K145" s="69" t="str">
        <f>_xlfn.IFNA(IF('Interactive Selection Sheet'!K138= "", VLOOKUP('Interactive Selection Sheet'!$L138, 'Master List Import'!$A$1:$P$519, 9, FALSE), ""), "")</f>
        <v>411342</v>
      </c>
      <c r="L145" s="69">
        <f>_xlfn.IFNA(IF('Interactive Selection Sheet'!K138= "", VLOOKUP('Interactive Selection Sheet'!$L138, 'Master List Import'!$A$1:$P$519, 10, FALSE), ""), "")</f>
        <v>0</v>
      </c>
      <c r="M145" s="69">
        <f>_xlfn.IFNA(IF('Interactive Selection Sheet'!K138= "", VLOOKUP('Interactive Selection Sheet'!$L138, 'Master List Import'!$A$1:$P$519, 11, FALSE), ""), "")</f>
        <v>0</v>
      </c>
      <c r="N145" s="69">
        <f>_xlfn.IFNA(IF('Interactive Selection Sheet'!K138= "", VLOOKUP('Interactive Selection Sheet'!$L138, 'Master List Import'!$A$1:$P$519, 12, FALSE), ""), "")</f>
        <v>6</v>
      </c>
      <c r="O145" s="69">
        <f>_xlfn.IFNA(IF('Interactive Selection Sheet'!K138= "", VLOOKUP('Interactive Selection Sheet'!$L138, 'Master List Import'!$A$1:$P$519, 13, FALSE), ""), "")</f>
        <v>3113</v>
      </c>
      <c r="P145" s="69" t="str">
        <f>_xlfn.IFNA(IF('Interactive Selection Sheet'!K138= "", VLOOKUP('Interactive Selection Sheet'!$L138, 'Master List Import'!$A$1:$P$519, 14, FALSE), ""), "")</f>
        <v>Valentine's Day Card</v>
      </c>
      <c r="Q145" s="69">
        <f>_xlfn.IFNA(IF('Interactive Selection Sheet'!K138= "", VLOOKUP('Interactive Selection Sheet'!$L138, 'Master List Import'!$A$1:$P$519, 15, FALSE), ""), "")</f>
        <v>1</v>
      </c>
      <c r="R145" s="74">
        <f>_xlfn.IFNA(IF('Interactive Selection Sheet'!K138= "", VLOOKUP('Interactive Selection Sheet'!$L138, 'Master List Import'!$A$1:$P$519, 16, FALSE), ""), "")</f>
        <v>1.05</v>
      </c>
    </row>
    <row r="146" spans="1:18" ht="21.75" customHeight="1" x14ac:dyDescent="0.25">
      <c r="A146" s="69">
        <f>_xlfn.IFNA(IF('Interactive Selection Sheet'!$K125= "", VLOOKUP('Interactive Selection Sheet'!$L125, 'Master List Import'!$A$1:$P$519, 2, FALSE), ""), "")</f>
        <v>3150</v>
      </c>
      <c r="B146" s="69" t="str">
        <f>_xlfn.IFNA(IF('Interactive Selection Sheet'!$K138= "", VLOOKUP('Interactive Selection Sheet'!$L138, 'Master List Import'!$A$1:$P$519, 3, FALSE), ""), "")</f>
        <v>Greeting Cards w/Envelope, Valentine's - 6/cs</v>
      </c>
      <c r="C146" s="76">
        <f>IF('Interactive Selection Sheet'!$T$2="", "", IF(B146="","",'Interactive Selection Sheet'!$T$2))</f>
        <v>3.5000000000000003E-2</v>
      </c>
      <c r="D146" s="70">
        <f>IF(B146 = "", "", 'Interactive Selection Sheet'!$Q$2)</f>
        <v>4.4999999999999998E-2</v>
      </c>
      <c r="E146" s="70">
        <f>IF(B146="","", 'Interactive Selection Sheet'!$R$2)</f>
        <v>0.02</v>
      </c>
      <c r="F146" s="69" t="str">
        <f>_xlfn.IFNA(IF('Interactive Selection Sheet'!K125= "", VLOOKUP('Interactive Selection Sheet'!$L125, 'Master List Import'!$A$1:$P$519, 4, FALSE), ""), "")</f>
        <v>Photo Albums</v>
      </c>
      <c r="G146" s="69" t="str">
        <f>_xlfn.IFNA(IF('Interactive Selection Sheet'!K125= "", VLOOKUP('Interactive Selection Sheet'!$L125, 'Master List Import'!$A$1:$P$519, 5, FALSE), ""), "")</f>
        <v>Photo Albums</v>
      </c>
      <c r="H146" s="69" t="str">
        <f>_xlfn.IFNA(IF('Interactive Selection Sheet'!K125= "", VLOOKUP('Interactive Selection Sheet'!$L125, 'Master List Import'!$A$1:$P$519, 6, FALSE), ""), "")</f>
        <v>Both</v>
      </c>
      <c r="I146" s="72">
        <f>_xlfn.IFNA(IF('Interactive Selection Sheet'!K125= "", VLOOKUP('Interactive Selection Sheet'!$L125, 'Master List Import'!$A$1:$P$519, 7, FALSE), ""), "")</f>
        <v>1.7</v>
      </c>
      <c r="J146" s="69" t="str">
        <f>_xlfn.IFNA(IF('Interactive Selection Sheet'!K125= "", VLOOKUP('Interactive Selection Sheet'!$L125, 'Master List Import'!$A$1:$P$519, 8, FALSE), ""), "")</f>
        <v>REI</v>
      </c>
      <c r="K146" s="69" t="str">
        <f>_xlfn.IFNA(IF('Interactive Selection Sheet'!K125= "", VLOOKUP('Interactive Selection Sheet'!$L125, 'Master List Import'!$A$1:$P$519, 9, FALSE), ""), "")</f>
        <v>407530</v>
      </c>
      <c r="L146" s="69">
        <f>_xlfn.IFNA(IF('Interactive Selection Sheet'!K125= "", VLOOKUP('Interactive Selection Sheet'!$L125, 'Master List Import'!$A$1:$P$519, 10, FALSE), ""), "")</f>
        <v>0</v>
      </c>
      <c r="M146" s="69">
        <f>_xlfn.IFNA(IF('Interactive Selection Sheet'!K125= "", VLOOKUP('Interactive Selection Sheet'!$L125, 'Master List Import'!$A$1:$P$519, 11, FALSE), ""), "")</f>
        <v>0</v>
      </c>
      <c r="N146" s="69">
        <f>_xlfn.IFNA(IF('Interactive Selection Sheet'!K125= "", VLOOKUP('Interactive Selection Sheet'!$L125, 'Master List Import'!$A$1:$P$519, 12, FALSE), ""), "")</f>
        <v>24</v>
      </c>
      <c r="O146" s="69">
        <f>_xlfn.IFNA(IF('Interactive Selection Sheet'!K125= "", VLOOKUP('Interactive Selection Sheet'!$L125, 'Master List Import'!$A$1:$P$519, 13, FALSE), ""), "")</f>
        <v>3150</v>
      </c>
      <c r="P146" s="69" t="str">
        <f>_xlfn.IFNA(IF('Interactive Selection Sheet'!K125= "", VLOOKUP('Interactive Selection Sheet'!$L125, 'Master List Import'!$A$1:$P$519, 14, FALSE), ""), "")</f>
        <v>Photo Album</v>
      </c>
      <c r="Q146" s="69">
        <f>_xlfn.IFNA(IF('Interactive Selection Sheet'!K125= "", VLOOKUP('Interactive Selection Sheet'!$L125, 'Master List Import'!$A$1:$P$519, 15, FALSE), ""), "")</f>
        <v>1</v>
      </c>
      <c r="R146" s="74">
        <f>_xlfn.IFNA(IF('Interactive Selection Sheet'!K125= "", VLOOKUP('Interactive Selection Sheet'!$L125, 'Master List Import'!$A$1:$P$519, 16, FALSE), ""), "")</f>
        <v>5.25</v>
      </c>
    </row>
    <row r="147" spans="1:18" ht="21.75" customHeight="1" x14ac:dyDescent="0.25">
      <c r="A147" s="69">
        <f>_xlfn.IFNA(IF('Interactive Selection Sheet'!$K139= "", VLOOKUP('Interactive Selection Sheet'!$L139, 'Master List Import'!$A$1:$P$519, 2, FALSE), ""), "")</f>
        <v>3200</v>
      </c>
      <c r="B147" s="69" t="str">
        <f>_xlfn.IFNA(IF('Interactive Selection Sheet'!$K139= "", VLOOKUP('Interactive Selection Sheet'!$L139, 'Master List Import'!$A$1:$P$519, 3, FALSE), ""), "")</f>
        <v>Single #10 Envelope</v>
      </c>
      <c r="C147" s="76">
        <f>IF('Interactive Selection Sheet'!$T$2="", "", IF(B147="","",'Interactive Selection Sheet'!$T$2))</f>
        <v>3.5000000000000003E-2</v>
      </c>
      <c r="D147" s="70">
        <f>IF(B147 = "", "", 'Interactive Selection Sheet'!$Q$2)</f>
        <v>4.4999999999999998E-2</v>
      </c>
      <c r="E147" s="70">
        <f>IF(B147="","", 'Interactive Selection Sheet'!$R$2)</f>
        <v>0.02</v>
      </c>
      <c r="F147" s="69" t="str">
        <f>_xlfn.IFNA(IF('Interactive Selection Sheet'!K139= "", VLOOKUP('Interactive Selection Sheet'!$L139, 'Master List Import'!$A$1:$P$519, 4, FALSE), ""), "")</f>
        <v>Stationery</v>
      </c>
      <c r="G147" s="69" t="str">
        <f>_xlfn.IFNA(IF('Interactive Selection Sheet'!K139= "", VLOOKUP('Interactive Selection Sheet'!$L139, 'Master List Import'!$A$1:$P$519, 5, FALSE), ""), "")</f>
        <v>Stationery</v>
      </c>
      <c r="H147" s="69" t="str">
        <f>_xlfn.IFNA(IF('Interactive Selection Sheet'!K139= "", VLOOKUP('Interactive Selection Sheet'!$L139, 'Master List Import'!$A$1:$P$519, 6, FALSE), ""), "")</f>
        <v>Both</v>
      </c>
      <c r="I147" s="72">
        <f>_xlfn.IFNA(IF('Interactive Selection Sheet'!K139= "", VLOOKUP('Interactive Selection Sheet'!$L139, 'Master List Import'!$A$1:$P$519, 7, FALSE), ""), "")</f>
        <v>1.9E-2</v>
      </c>
      <c r="J147" s="69" t="str">
        <f>_xlfn.IFNA(IF('Interactive Selection Sheet'!K139= "", VLOOKUP('Interactive Selection Sheet'!$L139, 'Master List Import'!$A$1:$P$519, 8, FALSE), ""), "")</f>
        <v>REI</v>
      </c>
      <c r="K147" s="69" t="str">
        <f>_xlfn.IFNA(IF('Interactive Selection Sheet'!K139= "", VLOOKUP('Interactive Selection Sheet'!$L139, 'Master List Import'!$A$1:$P$519, 9, FALSE), ""), "")</f>
        <v>408757</v>
      </c>
      <c r="L147" s="69">
        <f>_xlfn.IFNA(IF('Interactive Selection Sheet'!K139= "", VLOOKUP('Interactive Selection Sheet'!$L139, 'Master List Import'!$A$1:$P$519, 10, FALSE), ""), "")</f>
        <v>0</v>
      </c>
      <c r="M147" s="69">
        <f>_xlfn.IFNA(IF('Interactive Selection Sheet'!K139= "", VLOOKUP('Interactive Selection Sheet'!$L139, 'Master List Import'!$A$1:$P$519, 11, FALSE), ""), "")</f>
        <v>0</v>
      </c>
      <c r="N147" s="69">
        <f>_xlfn.IFNA(IF('Interactive Selection Sheet'!K139= "", VLOOKUP('Interactive Selection Sheet'!$L139, 'Master List Import'!$A$1:$P$519, 12, FALSE), ""), "")</f>
        <v>1200</v>
      </c>
      <c r="O147" s="69">
        <f>_xlfn.IFNA(IF('Interactive Selection Sheet'!K139= "", VLOOKUP('Interactive Selection Sheet'!$L139, 'Master List Import'!$A$1:$P$519, 13, FALSE), ""), "")</f>
        <v>3200</v>
      </c>
      <c r="P147" s="69" t="str">
        <f>_xlfn.IFNA(IF('Interactive Selection Sheet'!K139= "", VLOOKUP('Interactive Selection Sheet'!$L139, 'Master List Import'!$A$1:$P$519, 14, FALSE), ""), "")</f>
        <v>#10 Envelopes (50ct)</v>
      </c>
      <c r="Q147" s="69">
        <f>_xlfn.IFNA(IF('Interactive Selection Sheet'!K139= "", VLOOKUP('Interactive Selection Sheet'!$L139, 'Master List Import'!$A$1:$P$519, 15, FALSE), ""), "")</f>
        <v>50</v>
      </c>
      <c r="R147" s="74">
        <f>_xlfn.IFNA(IF('Interactive Selection Sheet'!K139= "", VLOOKUP('Interactive Selection Sheet'!$L139, 'Master List Import'!$A$1:$P$519, 16, FALSE), ""), "")</f>
        <v>3.1</v>
      </c>
    </row>
    <row r="148" spans="1:18" ht="21.75" customHeight="1" x14ac:dyDescent="0.25">
      <c r="A148" s="69">
        <f>_xlfn.IFNA(IF('Interactive Selection Sheet'!$K140= "", VLOOKUP('Interactive Selection Sheet'!$L140, 'Master List Import'!$A$1:$P$519, 2, FALSE), ""), "")</f>
        <v>3200</v>
      </c>
      <c r="B148" s="69" t="str">
        <f>_xlfn.IFNA(IF('Interactive Selection Sheet'!$K140= "", VLOOKUP('Interactive Selection Sheet'!$L140, 'Master List Import'!$A$1:$P$519, 3, FALSE), ""), "")</f>
        <v>Single #10 Envelope (Plain)</v>
      </c>
      <c r="C148" s="76">
        <f>IF('Interactive Selection Sheet'!$T$2="", "", IF(B148="","",'Interactive Selection Sheet'!$T$2))</f>
        <v>3.5000000000000003E-2</v>
      </c>
      <c r="D148" s="70">
        <f>IF(B148 = "", "", 'Interactive Selection Sheet'!$Q$2)</f>
        <v>4.4999999999999998E-2</v>
      </c>
      <c r="E148" s="70">
        <f>IF(B148="","", 'Interactive Selection Sheet'!$R$2)</f>
        <v>0.02</v>
      </c>
      <c r="F148" s="69" t="str">
        <f>_xlfn.IFNA(IF('Interactive Selection Sheet'!K140= "", VLOOKUP('Interactive Selection Sheet'!$L140, 'Master List Import'!$A$1:$P$519, 4, FALSE), ""), "")</f>
        <v>Stationery</v>
      </c>
      <c r="G148" s="69" t="str">
        <f>_xlfn.IFNA(IF('Interactive Selection Sheet'!K140= "", VLOOKUP('Interactive Selection Sheet'!$L140, 'Master List Import'!$A$1:$P$519, 5, FALSE), ""), "")</f>
        <v>Stationery</v>
      </c>
      <c r="H148" s="69" t="str">
        <f>_xlfn.IFNA(IF('Interactive Selection Sheet'!K140= "", VLOOKUP('Interactive Selection Sheet'!$L140, 'Master List Import'!$A$1:$P$519, 6, FALSE), ""), "")</f>
        <v>Both</v>
      </c>
      <c r="I148" s="72">
        <f>_xlfn.IFNA(IF('Interactive Selection Sheet'!K140= "", VLOOKUP('Interactive Selection Sheet'!$L140, 'Master List Import'!$A$1:$P$519, 7, FALSE), ""), "")</f>
        <v>0.04</v>
      </c>
      <c r="J148" s="69" t="str">
        <f>_xlfn.IFNA(IF('Interactive Selection Sheet'!K140= "", VLOOKUP('Interactive Selection Sheet'!$L140, 'Master List Import'!$A$1:$P$519, 8, FALSE), ""), "")</f>
        <v>REI</v>
      </c>
      <c r="K148" s="69" t="str">
        <f>_xlfn.IFNA(IF('Interactive Selection Sheet'!K140= "", VLOOKUP('Interactive Selection Sheet'!$L140, 'Master List Import'!$A$1:$P$519, 9, FALSE), ""), "")</f>
        <v>408757-1</v>
      </c>
      <c r="L148" s="69">
        <f>_xlfn.IFNA(IF('Interactive Selection Sheet'!K140= "", VLOOKUP('Interactive Selection Sheet'!$L140, 'Master List Import'!$A$1:$P$519, 10, FALSE), ""), "")</f>
        <v>0</v>
      </c>
      <c r="M148" s="69">
        <f>_xlfn.IFNA(IF('Interactive Selection Sheet'!K140= "", VLOOKUP('Interactive Selection Sheet'!$L140, 'Master List Import'!$A$1:$P$519, 11, FALSE), ""), "")</f>
        <v>0</v>
      </c>
      <c r="N148" s="69">
        <f>_xlfn.IFNA(IF('Interactive Selection Sheet'!K140= "", VLOOKUP('Interactive Selection Sheet'!$L140, 'Master List Import'!$A$1:$P$519, 12, FALSE), ""), "")</f>
        <v>1</v>
      </c>
      <c r="O148" s="69">
        <f>_xlfn.IFNA(IF('Interactive Selection Sheet'!K140= "", VLOOKUP('Interactive Selection Sheet'!$L140, 'Master List Import'!$A$1:$P$519, 13, FALSE), ""), "")</f>
        <v>3201</v>
      </c>
      <c r="P148" s="69" t="str">
        <f>_xlfn.IFNA(IF('Interactive Selection Sheet'!K140= "", VLOOKUP('Interactive Selection Sheet'!$L140, 'Master List Import'!$A$1:$P$519, 14, FALSE), ""), "")</f>
        <v>Single #10 Envelope</v>
      </c>
      <c r="Q148" s="69">
        <f>_xlfn.IFNA(IF('Interactive Selection Sheet'!K140= "", VLOOKUP('Interactive Selection Sheet'!$L140, 'Master List Import'!$A$1:$P$519, 15, FALSE), ""), "")</f>
        <v>1</v>
      </c>
      <c r="R148" s="74">
        <f>_xlfn.IFNA(IF('Interactive Selection Sheet'!K140= "", VLOOKUP('Interactive Selection Sheet'!$L140, 'Master List Import'!$A$1:$P$519, 16, FALSE), ""), "")</f>
        <v>0.1</v>
      </c>
    </row>
    <row r="149" spans="1:18" ht="21.75" customHeight="1" x14ac:dyDescent="0.25">
      <c r="A149" s="69">
        <f>_xlfn.IFNA(IF('Interactive Selection Sheet'!$K141= "", VLOOKUP('Interactive Selection Sheet'!$L141, 'Master List Import'!$A$1:$P$519, 2, FALSE), ""), "")</f>
        <v>3210</v>
      </c>
      <c r="B149" s="69" t="str">
        <f>_xlfn.IFNA(IF('Interactive Selection Sheet'!$K141= "", VLOOKUP('Interactive Selection Sheet'!$L141, 'Master List Import'!$A$1:$P$519, 3, FALSE), ""), "")</f>
        <v>Kraft Gummed Envelope, 9 x 12 - 250/cs</v>
      </c>
      <c r="C149" s="76">
        <f>IF('Interactive Selection Sheet'!$T$2="", "", IF(B149="","",'Interactive Selection Sheet'!$T$2))</f>
        <v>3.5000000000000003E-2</v>
      </c>
      <c r="D149" s="70">
        <f>IF(B149 = "", "", 'Interactive Selection Sheet'!$Q$2)</f>
        <v>4.4999999999999998E-2</v>
      </c>
      <c r="E149" s="70">
        <f>IF(B149="","", 'Interactive Selection Sheet'!$R$2)</f>
        <v>0.02</v>
      </c>
      <c r="F149" s="69" t="str">
        <f>_xlfn.IFNA(IF('Interactive Selection Sheet'!K141= "", VLOOKUP('Interactive Selection Sheet'!$L141, 'Master List Import'!$A$1:$P$519, 4, FALSE), ""), "")</f>
        <v>Stationery</v>
      </c>
      <c r="G149" s="69" t="str">
        <f>_xlfn.IFNA(IF('Interactive Selection Sheet'!K141= "", VLOOKUP('Interactive Selection Sheet'!$L141, 'Master List Import'!$A$1:$P$519, 5, FALSE), ""), "")</f>
        <v>Stationery</v>
      </c>
      <c r="H149" s="69" t="str">
        <f>_xlfn.IFNA(IF('Interactive Selection Sheet'!K141= "", VLOOKUP('Interactive Selection Sheet'!$L141, 'Master List Import'!$A$1:$P$519, 6, FALSE), ""), "")</f>
        <v>Both</v>
      </c>
      <c r="I149" s="72">
        <f>_xlfn.IFNA(IF('Interactive Selection Sheet'!K141= "", VLOOKUP('Interactive Selection Sheet'!$L141, 'Master List Import'!$A$1:$P$519, 7, FALSE), ""), "")</f>
        <v>0.124</v>
      </c>
      <c r="J149" s="69" t="str">
        <f>_xlfn.IFNA(IF('Interactive Selection Sheet'!K141= "", VLOOKUP('Interactive Selection Sheet'!$L141, 'Master List Import'!$A$1:$P$519, 8, FALSE), ""), "")</f>
        <v>REI</v>
      </c>
      <c r="K149" s="69" t="str">
        <f>_xlfn.IFNA(IF('Interactive Selection Sheet'!K141= "", VLOOKUP('Interactive Selection Sheet'!$L141, 'Master List Import'!$A$1:$P$519, 9, FALSE), ""), "")</f>
        <v>409056</v>
      </c>
      <c r="L149" s="69">
        <f>_xlfn.IFNA(IF('Interactive Selection Sheet'!K141= "", VLOOKUP('Interactive Selection Sheet'!$L141, 'Master List Import'!$A$1:$P$519, 10, FALSE), ""), "")</f>
        <v>0</v>
      </c>
      <c r="M149" s="69">
        <f>_xlfn.IFNA(IF('Interactive Selection Sheet'!K141= "", VLOOKUP('Interactive Selection Sheet'!$L141, 'Master List Import'!$A$1:$P$519, 11, FALSE), ""), "")</f>
        <v>0</v>
      </c>
      <c r="N149" s="69">
        <f>_xlfn.IFNA(IF('Interactive Selection Sheet'!K141= "", VLOOKUP('Interactive Selection Sheet'!$L141, 'Master List Import'!$A$1:$P$519, 12, FALSE), ""), "")</f>
        <v>250</v>
      </c>
      <c r="O149" s="69">
        <f>_xlfn.IFNA(IF('Interactive Selection Sheet'!K141= "", VLOOKUP('Interactive Selection Sheet'!$L141, 'Master List Import'!$A$1:$P$519, 13, FALSE), ""), "")</f>
        <v>3210</v>
      </c>
      <c r="P149" s="69" t="str">
        <f>_xlfn.IFNA(IF('Interactive Selection Sheet'!K141= "", VLOOKUP('Interactive Selection Sheet'!$L141, 'Master List Import'!$A$1:$P$519, 14, FALSE), ""), "")</f>
        <v>Large Brown Envelope (9x12)</v>
      </c>
      <c r="Q149" s="69">
        <f>_xlfn.IFNA(IF('Interactive Selection Sheet'!K141= "", VLOOKUP('Interactive Selection Sheet'!$L141, 'Master List Import'!$A$1:$P$519, 15, FALSE), ""), "")</f>
        <v>1</v>
      </c>
      <c r="R149" s="74">
        <f>_xlfn.IFNA(IF('Interactive Selection Sheet'!K141= "", VLOOKUP('Interactive Selection Sheet'!$L141, 'Master List Import'!$A$1:$P$519, 16, FALSE), ""), "")</f>
        <v>0.55000000000000004</v>
      </c>
    </row>
    <row r="150" spans="1:18" ht="21.75" customHeight="1" x14ac:dyDescent="0.25">
      <c r="A150" s="69">
        <f>_xlfn.IFNA(IF('Interactive Selection Sheet'!$K142= "", VLOOKUP('Interactive Selection Sheet'!$L142, 'Master List Import'!$A$1:$P$519, 2, FALSE), ""), "")</f>
        <v>3300</v>
      </c>
      <c r="B150" s="69" t="str">
        <f>_xlfn.IFNA(IF('Interactive Selection Sheet'!$K142= "", VLOOKUP('Interactive Selection Sheet'!$L142, 'Master List Import'!$A$1:$P$519, 3, FALSE), ""), "")</f>
        <v>Stamped Envelope</v>
      </c>
      <c r="C150" s="76">
        <f>IF('Interactive Selection Sheet'!$T$2="", "", IF(B150="","",'Interactive Selection Sheet'!$T$2))</f>
        <v>3.5000000000000003E-2</v>
      </c>
      <c r="D150" s="70">
        <f>IF(B150 = "", "", 'Interactive Selection Sheet'!$Q$2)</f>
        <v>4.4999999999999998E-2</v>
      </c>
      <c r="E150" s="70">
        <f>IF(B150="","", 'Interactive Selection Sheet'!$R$2)</f>
        <v>0.02</v>
      </c>
      <c r="F150" s="69" t="str">
        <f>_xlfn.IFNA(IF('Interactive Selection Sheet'!K142= "", VLOOKUP('Interactive Selection Sheet'!$L142, 'Master List Import'!$A$1:$P$519, 4, FALSE), ""), "")</f>
        <v>Stamped Envelopes</v>
      </c>
      <c r="G150" s="69" t="str">
        <f>_xlfn.IFNA(IF('Interactive Selection Sheet'!K142= "", VLOOKUP('Interactive Selection Sheet'!$L142, 'Master List Import'!$A$1:$P$519, 5, FALSE), ""), "")</f>
        <v>Stamped Envelopes</v>
      </c>
      <c r="H150" s="69" t="str">
        <f>_xlfn.IFNA(IF('Interactive Selection Sheet'!K142= "", VLOOKUP('Interactive Selection Sheet'!$L142, 'Master List Import'!$A$1:$P$519, 6, FALSE), ""), "")</f>
        <v>Both</v>
      </c>
      <c r="I150" s="72">
        <f>_xlfn.IFNA(IF('Interactive Selection Sheet'!K142= "", VLOOKUP('Interactive Selection Sheet'!$L142, 'Master List Import'!$A$1:$P$519, 7, FALSE), ""), "")</f>
        <v>0.69</v>
      </c>
      <c r="J150" s="69" t="str">
        <f>_xlfn.IFNA(IF('Interactive Selection Sheet'!K142= "", VLOOKUP('Interactive Selection Sheet'!$L142, 'Master List Import'!$A$1:$P$519, 8, FALSE), ""), "")</f>
        <v>REI</v>
      </c>
      <c r="K150" s="69" t="str">
        <f>_xlfn.IFNA(IF('Interactive Selection Sheet'!K142= "", VLOOKUP('Interactive Selection Sheet'!$L142, 'Master List Import'!$A$1:$P$519, 9, FALSE), ""), "")</f>
        <v>409112</v>
      </c>
      <c r="L150" s="69">
        <f>_xlfn.IFNA(IF('Interactive Selection Sheet'!K142= "", VLOOKUP('Interactive Selection Sheet'!$L142, 'Master List Import'!$A$1:$P$519, 10, FALSE), ""), "")</f>
        <v>0</v>
      </c>
      <c r="M150" s="69">
        <f>_xlfn.IFNA(IF('Interactive Selection Sheet'!K142= "", VLOOKUP('Interactive Selection Sheet'!$L142, 'Master List Import'!$A$1:$P$519, 11, FALSE), ""), "")</f>
        <v>0</v>
      </c>
      <c r="N150" s="69">
        <f>_xlfn.IFNA(IF('Interactive Selection Sheet'!K142= "", VLOOKUP('Interactive Selection Sheet'!$L142, 'Master List Import'!$A$1:$P$519, 12, FALSE), ""), "")</f>
        <v>500</v>
      </c>
      <c r="O150" s="69">
        <f>_xlfn.IFNA(IF('Interactive Selection Sheet'!K142= "", VLOOKUP('Interactive Selection Sheet'!$L142, 'Master List Import'!$A$1:$P$519, 13, FALSE), ""), "")</f>
        <v>3300</v>
      </c>
      <c r="P150" s="69" t="str">
        <f>_xlfn.IFNA(IF('Interactive Selection Sheet'!K142= "", VLOOKUP('Interactive Selection Sheet'!$L142, 'Master List Import'!$A$1:$P$519, 14, FALSE), ""), "")</f>
        <v>Prestamped #10 Envelope</v>
      </c>
      <c r="Q150" s="69">
        <f>_xlfn.IFNA(IF('Interactive Selection Sheet'!K142= "", VLOOKUP('Interactive Selection Sheet'!$L142, 'Master List Import'!$A$1:$P$519, 15, FALSE), ""), "")</f>
        <v>1</v>
      </c>
      <c r="R150" s="74">
        <f>_xlfn.IFNA(IF('Interactive Selection Sheet'!K142= "", VLOOKUP('Interactive Selection Sheet'!$L142, 'Master List Import'!$A$1:$P$519, 16, FALSE), ""), "")</f>
        <v>0.85</v>
      </c>
    </row>
    <row r="151" spans="1:18" ht="21.75" customHeight="1" x14ac:dyDescent="0.25">
      <c r="A151" s="69">
        <f>_xlfn.IFNA(IF('Interactive Selection Sheet'!$K143= "", VLOOKUP('Interactive Selection Sheet'!$L143, 'Master List Import'!$A$1:$P$519, 2, FALSE), ""), "")</f>
        <v>3310</v>
      </c>
      <c r="B151" s="69" t="str">
        <f>_xlfn.IFNA(IF('Interactive Selection Sheet'!$K143= "", VLOOKUP('Interactive Selection Sheet'!$L143, 'Master List Import'!$A$1:$P$519, 3, FALSE), ""), "")</f>
        <v>Stamped Postcard</v>
      </c>
      <c r="C151" s="76">
        <f>IF('Interactive Selection Sheet'!$T$2="", "", IF(B151="","",'Interactive Selection Sheet'!$T$2))</f>
        <v>3.5000000000000003E-2</v>
      </c>
      <c r="D151" s="70">
        <f>IF(B151 = "", "", 'Interactive Selection Sheet'!$Q$2)</f>
        <v>4.4999999999999998E-2</v>
      </c>
      <c r="E151" s="70">
        <f>IF(B151="","", 'Interactive Selection Sheet'!$R$2)</f>
        <v>0.02</v>
      </c>
      <c r="F151" s="69" t="str">
        <f>_xlfn.IFNA(IF('Interactive Selection Sheet'!K143= "", VLOOKUP('Interactive Selection Sheet'!$L143, 'Master List Import'!$A$1:$P$519, 4, FALSE), ""), "")</f>
        <v>Stationery</v>
      </c>
      <c r="G151" s="69" t="str">
        <f>_xlfn.IFNA(IF('Interactive Selection Sheet'!K143= "", VLOOKUP('Interactive Selection Sheet'!$L143, 'Master List Import'!$A$1:$P$519, 5, FALSE), ""), "")</f>
        <v>Stationery</v>
      </c>
      <c r="H151" s="69" t="str">
        <f>_xlfn.IFNA(IF('Interactive Selection Sheet'!K143= "", VLOOKUP('Interactive Selection Sheet'!$L143, 'Master List Import'!$A$1:$P$519, 6, FALSE), ""), "")</f>
        <v>Both</v>
      </c>
      <c r="I151" s="72">
        <f>_xlfn.IFNA(IF('Interactive Selection Sheet'!K143= "", VLOOKUP('Interactive Selection Sheet'!$L143, 'Master List Import'!$A$1:$P$519, 7, FALSE), ""), "")</f>
        <v>0.45</v>
      </c>
      <c r="J151" s="69" t="str">
        <f>_xlfn.IFNA(IF('Interactive Selection Sheet'!K143= "", VLOOKUP('Interactive Selection Sheet'!$L143, 'Master List Import'!$A$1:$P$519, 8, FALSE), ""), "")</f>
        <v>REI</v>
      </c>
      <c r="K151" s="69" t="str">
        <f>_xlfn.IFNA(IF('Interactive Selection Sheet'!K143= "", VLOOKUP('Interactive Selection Sheet'!$L143, 'Master List Import'!$A$1:$P$519, 9, FALSE), ""), "")</f>
        <v>409114</v>
      </c>
      <c r="L151" s="69">
        <f>_xlfn.IFNA(IF('Interactive Selection Sheet'!K143= "", VLOOKUP('Interactive Selection Sheet'!$L143, 'Master List Import'!$A$1:$P$519, 10, FALSE), ""), "")</f>
        <v>0</v>
      </c>
      <c r="M151" s="69">
        <f>_xlfn.IFNA(IF('Interactive Selection Sheet'!K143= "", VLOOKUP('Interactive Selection Sheet'!$L143, 'Master List Import'!$A$1:$P$519, 11, FALSE), ""), "")</f>
        <v>0</v>
      </c>
      <c r="N151" s="69">
        <f>_xlfn.IFNA(IF('Interactive Selection Sheet'!K143= "", VLOOKUP('Interactive Selection Sheet'!$L143, 'Master List Import'!$A$1:$P$519, 12, FALSE), ""), "")</f>
        <v>250</v>
      </c>
      <c r="O151" s="69">
        <f>_xlfn.IFNA(IF('Interactive Selection Sheet'!K143= "", VLOOKUP('Interactive Selection Sheet'!$L143, 'Master List Import'!$A$1:$P$519, 13, FALSE), ""), "")</f>
        <v>3310</v>
      </c>
      <c r="P151" s="69" t="str">
        <f>_xlfn.IFNA(IF('Interactive Selection Sheet'!K143= "", VLOOKUP('Interactive Selection Sheet'!$L143, 'Master List Import'!$A$1:$P$519, 14, FALSE), ""), "")</f>
        <v>Prestamped Postcard</v>
      </c>
      <c r="Q151" s="69">
        <f>_xlfn.IFNA(IF('Interactive Selection Sheet'!K143= "", VLOOKUP('Interactive Selection Sheet'!$L143, 'Master List Import'!$A$1:$P$519, 15, FALSE), ""), "")</f>
        <v>1</v>
      </c>
      <c r="R151" s="74">
        <f>_xlfn.IFNA(IF('Interactive Selection Sheet'!K143= "", VLOOKUP('Interactive Selection Sheet'!$L143, 'Master List Import'!$A$1:$P$519, 16, FALSE), ""), "")</f>
        <v>0.6</v>
      </c>
    </row>
    <row r="152" spans="1:18" ht="21.75" customHeight="1" x14ac:dyDescent="0.25">
      <c r="A152" s="69">
        <f>_xlfn.IFNA(IF('Interactive Selection Sheet'!$K144= "", VLOOKUP('Interactive Selection Sheet'!$L144, 'Master List Import'!$A$1:$P$519, 2, FALSE), ""), "")</f>
        <v>3400</v>
      </c>
      <c r="B152" s="69" t="str">
        <f>_xlfn.IFNA(IF('Interactive Selection Sheet'!$K144= "", VLOOKUP('Interactive Selection Sheet'!$L144, 'Master List Import'!$A$1:$P$519, 3, FALSE), ""), "")</f>
        <v>Stamps, 10ct Booklet - 100/cs</v>
      </c>
      <c r="C152" s="76">
        <f>IF('Interactive Selection Sheet'!$T$2="", "", IF(B152="","",'Interactive Selection Sheet'!$S$2))</f>
        <v>0</v>
      </c>
      <c r="D152" s="70">
        <f>IF(B152 = "", "", 'Interactive Selection Sheet'!$S$2)</f>
        <v>0</v>
      </c>
      <c r="E152" s="70">
        <f>IF(B152="","", 'Interactive Selection Sheet'!$S$2)</f>
        <v>0</v>
      </c>
      <c r="F152" s="69" t="str">
        <f>_xlfn.IFNA(IF('Interactive Selection Sheet'!K144= "", VLOOKUP('Interactive Selection Sheet'!$L144, 'Master List Import'!$A$1:$P$519, 4, FALSE), ""), "")</f>
        <v>Stamps</v>
      </c>
      <c r="G152" s="69" t="str">
        <f>_xlfn.IFNA(IF('Interactive Selection Sheet'!K144= "", VLOOKUP('Interactive Selection Sheet'!$L144, 'Master List Import'!$A$1:$P$519, 5, FALSE), ""), "")</f>
        <v>Stamps</v>
      </c>
      <c r="H152" s="69" t="str">
        <f>_xlfn.IFNA(IF('Interactive Selection Sheet'!K144= "", VLOOKUP('Interactive Selection Sheet'!$L144, 'Master List Import'!$A$1:$P$519, 6, FALSE), ""), "")</f>
        <v>Both</v>
      </c>
      <c r="I152" s="72">
        <f>_xlfn.IFNA(IF('Interactive Selection Sheet'!K144= "", VLOOKUP('Interactive Selection Sheet'!$L144, 'Master List Import'!$A$1:$P$519, 7, FALSE), ""), "")</f>
        <v>5.5</v>
      </c>
      <c r="J152" s="69" t="str">
        <f>_xlfn.IFNA(IF('Interactive Selection Sheet'!K144= "", VLOOKUP('Interactive Selection Sheet'!$L144, 'Master List Import'!$A$1:$P$519, 8, FALSE), ""), "")</f>
        <v>REI</v>
      </c>
      <c r="K152" s="69" t="str">
        <f>_xlfn.IFNA(IF('Interactive Selection Sheet'!K144= "", VLOOKUP('Interactive Selection Sheet'!$L144, 'Master List Import'!$A$1:$P$519, 9, FALSE), ""), "")</f>
        <v>409113</v>
      </c>
      <c r="L152" s="69">
        <f>_xlfn.IFNA(IF('Interactive Selection Sheet'!K144= "", VLOOKUP('Interactive Selection Sheet'!$L144, 'Master List Import'!$A$1:$P$519, 10, FALSE), ""), "")</f>
        <v>0</v>
      </c>
      <c r="M152" s="69">
        <f>_xlfn.IFNA(IF('Interactive Selection Sheet'!K144= "", VLOOKUP('Interactive Selection Sheet'!$L144, 'Master List Import'!$A$1:$P$519, 11, FALSE), ""), "")</f>
        <v>0</v>
      </c>
      <c r="N152" s="69">
        <f>_xlfn.IFNA(IF('Interactive Selection Sheet'!K144= "", VLOOKUP('Interactive Selection Sheet'!$L144, 'Master List Import'!$A$1:$P$519, 12, FALSE), ""), "")</f>
        <v>100</v>
      </c>
      <c r="O152" s="69">
        <f>_xlfn.IFNA(IF('Interactive Selection Sheet'!K144= "", VLOOKUP('Interactive Selection Sheet'!$L144, 'Master List Import'!$A$1:$P$519, 13, FALSE), ""), "")</f>
        <v>3400</v>
      </c>
      <c r="P152" s="69" t="str">
        <f>_xlfn.IFNA(IF('Interactive Selection Sheet'!K144= "", VLOOKUP('Interactive Selection Sheet'!$L144, 'Master List Import'!$A$1:$P$519, 14, FALSE), ""), "")</f>
        <v>Stamp Booklet (10ct)</v>
      </c>
      <c r="Q152" s="69">
        <f>_xlfn.IFNA(IF('Interactive Selection Sheet'!K144= "", VLOOKUP('Interactive Selection Sheet'!$L144, 'Master List Import'!$A$1:$P$519, 15, FALSE), ""), "")</f>
        <v>1</v>
      </c>
      <c r="R152" s="74">
        <f>_xlfn.IFNA(IF('Interactive Selection Sheet'!K144= "", VLOOKUP('Interactive Selection Sheet'!$L144, 'Master List Import'!$A$1:$P$519, 16, FALSE), ""), "")</f>
        <v>5.5</v>
      </c>
    </row>
    <row r="153" spans="1:18" ht="21.75" customHeight="1" x14ac:dyDescent="0.25">
      <c r="A153" s="69">
        <f>_xlfn.IFNA(IF('Interactive Selection Sheet'!F113= "", VLOOKUP('Interactive Selection Sheet'!$G113, 'Master List Import'!$A$1:$P$519, 2, FALSE), ""), "")</f>
        <v>3600</v>
      </c>
      <c r="B153" s="69" t="str">
        <f>_xlfn.IFNA(IF('Interactive Selection Sheet'!F113= "", VLOOKUP('Interactive Selection Sheet'!$G113, 'Master List Import'!$A$1:$P$519, 3, FALSE), ""), "")</f>
        <v>Holy Bible, Paperback KJV - 24/cs</v>
      </c>
      <c r="C153" s="76">
        <f>IF('Interactive Selection Sheet'!$T$2="", "", IF(B153="","",'Interactive Selection Sheet'!$T$2))</f>
        <v>3.5000000000000003E-2</v>
      </c>
      <c r="D153" s="70">
        <f>IF(B153 = "", "", 'Interactive Selection Sheet'!$Q$2)</f>
        <v>4.4999999999999998E-2</v>
      </c>
      <c r="E153" s="70">
        <f>IF(B153="","", 'Interactive Selection Sheet'!$R$2)</f>
        <v>0.02</v>
      </c>
      <c r="F153" s="69" t="str">
        <f>_xlfn.IFNA(IF('Interactive Selection Sheet'!F113= "", VLOOKUP('Interactive Selection Sheet'!$G113, 'Master List Import'!$A$1:$P$519, 4, FALSE), ""), "")</f>
        <v>Religious</v>
      </c>
      <c r="G153" s="69" t="str">
        <f>_xlfn.IFNA(IF('Interactive Selection Sheet'!F113= "", VLOOKUP('Interactive Selection Sheet'!$G113, 'Master List Import'!$A$1:$P$519, 5, FALSE), ""), "")</f>
        <v>Religious</v>
      </c>
      <c r="H153" s="69" t="str">
        <f>_xlfn.IFNA(IF('Interactive Selection Sheet'!F113= "", VLOOKUP('Interactive Selection Sheet'!$G113, 'Master List Import'!$A$1:$P$519, 6, FALSE), ""), "")</f>
        <v>Both</v>
      </c>
      <c r="I153" s="72">
        <f>_xlfn.IFNA(IF('Interactive Selection Sheet'!F113= "", VLOOKUP('Interactive Selection Sheet'!$G113, 'Master List Import'!$A$1:$P$519, 7, FALSE), ""), "")</f>
        <v>2</v>
      </c>
      <c r="J153" s="69" t="str">
        <f>_xlfn.IFNA(IF('Interactive Selection Sheet'!F113= "", VLOOKUP('Interactive Selection Sheet'!$G113, 'Master List Import'!$A$1:$P$519, 8, FALSE), ""), "")</f>
        <v>REI</v>
      </c>
      <c r="K153" s="69" t="str">
        <f>_xlfn.IFNA(IF('Interactive Selection Sheet'!F113= "", VLOOKUP('Interactive Selection Sheet'!$G113, 'Master List Import'!$A$1:$P$519, 9, FALSE), ""), "")</f>
        <v>410500</v>
      </c>
      <c r="L153" s="69">
        <f>_xlfn.IFNA(IF('Interactive Selection Sheet'!F113= "", VLOOKUP('Interactive Selection Sheet'!$G113, 'Master List Import'!$A$1:$P$519, 10, FALSE), ""), "")</f>
        <v>0</v>
      </c>
      <c r="M153" s="69">
        <f>_xlfn.IFNA(IF('Interactive Selection Sheet'!F113= "", VLOOKUP('Interactive Selection Sheet'!$G113, 'Master List Import'!$A$1:$P$519, 11, FALSE), ""), "")</f>
        <v>0</v>
      </c>
      <c r="N153" s="69">
        <f>_xlfn.IFNA(IF('Interactive Selection Sheet'!F113= "", VLOOKUP('Interactive Selection Sheet'!$G113, 'Master List Import'!$A$1:$P$519, 12, FALSE), ""), "")</f>
        <v>24</v>
      </c>
      <c r="O153" s="69">
        <f>_xlfn.IFNA(IF('Interactive Selection Sheet'!F113= "", VLOOKUP('Interactive Selection Sheet'!$G113, 'Master List Import'!$A$1:$P$519, 13, FALSE), ""), "")</f>
        <v>3600</v>
      </c>
      <c r="P153" s="69" t="str">
        <f>_xlfn.IFNA(IF('Interactive Selection Sheet'!F113= "", VLOOKUP('Interactive Selection Sheet'!$G113, 'Master List Import'!$A$1:$P$519, 14, FALSE), ""), "")</f>
        <v>Holy Bible, KJV</v>
      </c>
      <c r="Q153" s="69">
        <f>_xlfn.IFNA(IF('Interactive Selection Sheet'!F113= "", VLOOKUP('Interactive Selection Sheet'!$G113, 'Master List Import'!$A$1:$P$519, 15, FALSE), ""), "")</f>
        <v>1</v>
      </c>
      <c r="R153" s="74">
        <f>_xlfn.IFNA(IF('Interactive Selection Sheet'!F113= "", VLOOKUP('Interactive Selection Sheet'!$G113, 'Master List Import'!$A$1:$P$519, 16, FALSE), ""), "")</f>
        <v>2.5</v>
      </c>
    </row>
    <row r="154" spans="1:18" ht="21.75" customHeight="1" x14ac:dyDescent="0.25">
      <c r="A154" s="69">
        <f>_xlfn.IFNA(IF('Interactive Selection Sheet'!F114= "", VLOOKUP('Interactive Selection Sheet'!$G114, 'Master List Import'!$A$1:$P$519, 2, FALSE), ""), "")</f>
        <v>3601</v>
      </c>
      <c r="B154" s="69" t="str">
        <f>_xlfn.IFNA(IF('Interactive Selection Sheet'!F114= "", VLOOKUP('Interactive Selection Sheet'!$G114, 'Master List Import'!$A$1:$P$519, 3, FALSE), ""), "")</f>
        <v>Holy Bible, Spanish Translation - 1/cs</v>
      </c>
      <c r="C154" s="76">
        <f>IF('Interactive Selection Sheet'!$T$2="", "", IF(B154="","",'Interactive Selection Sheet'!$T$2))</f>
        <v>3.5000000000000003E-2</v>
      </c>
      <c r="D154" s="70">
        <f>IF(B154 = "", "", 'Interactive Selection Sheet'!$Q$2)</f>
        <v>4.4999999999999998E-2</v>
      </c>
      <c r="E154" s="70">
        <f>IF(B154="","", 'Interactive Selection Sheet'!$R$2)</f>
        <v>0.02</v>
      </c>
      <c r="F154" s="69" t="str">
        <f>_xlfn.IFNA(IF('Interactive Selection Sheet'!F114= "", VLOOKUP('Interactive Selection Sheet'!$G114, 'Master List Import'!$A$1:$P$519, 4, FALSE), ""), "")</f>
        <v>Religious</v>
      </c>
      <c r="G154" s="69" t="str">
        <f>_xlfn.IFNA(IF('Interactive Selection Sheet'!F114= "", VLOOKUP('Interactive Selection Sheet'!$G114, 'Master List Import'!$A$1:$P$519, 5, FALSE), ""), "")</f>
        <v>Religious</v>
      </c>
      <c r="H154" s="69" t="str">
        <f>_xlfn.IFNA(IF('Interactive Selection Sheet'!F114= "", VLOOKUP('Interactive Selection Sheet'!$G114, 'Master List Import'!$A$1:$P$519, 6, FALSE), ""), "")</f>
        <v>Both</v>
      </c>
      <c r="I154" s="72">
        <f>_xlfn.IFNA(IF('Interactive Selection Sheet'!F114= "", VLOOKUP('Interactive Selection Sheet'!$G114, 'Master List Import'!$A$1:$P$519, 7, FALSE), ""), "")</f>
        <v>2.75</v>
      </c>
      <c r="J154" s="69" t="str">
        <f>_xlfn.IFNA(IF('Interactive Selection Sheet'!F114= "", VLOOKUP('Interactive Selection Sheet'!$G114, 'Master List Import'!$A$1:$P$519, 8, FALSE), ""), "")</f>
        <v>REI</v>
      </c>
      <c r="K154" s="69" t="str">
        <f>_xlfn.IFNA(IF('Interactive Selection Sheet'!F114= "", VLOOKUP('Interactive Selection Sheet'!$G114, 'Master List Import'!$A$1:$P$519, 9, FALSE), ""), "")</f>
        <v>410501</v>
      </c>
      <c r="L154" s="69">
        <f>_xlfn.IFNA(IF('Interactive Selection Sheet'!F114= "", VLOOKUP('Interactive Selection Sheet'!$G114, 'Master List Import'!$A$1:$P$519, 10, FALSE), ""), "")</f>
        <v>0</v>
      </c>
      <c r="M154" s="69">
        <f>_xlfn.IFNA(IF('Interactive Selection Sheet'!F114= "", VLOOKUP('Interactive Selection Sheet'!$G114, 'Master List Import'!$A$1:$P$519, 11, FALSE), ""), "")</f>
        <v>0</v>
      </c>
      <c r="N154" s="69">
        <f>_xlfn.IFNA(IF('Interactive Selection Sheet'!F114= "", VLOOKUP('Interactive Selection Sheet'!$G114, 'Master List Import'!$A$1:$P$519, 12, FALSE), ""), "")</f>
        <v>1</v>
      </c>
      <c r="O154" s="69">
        <f>_xlfn.IFNA(IF('Interactive Selection Sheet'!F114= "", VLOOKUP('Interactive Selection Sheet'!$G114, 'Master List Import'!$A$1:$P$519, 13, FALSE), ""), "")</f>
        <v>3601</v>
      </c>
      <c r="P154" s="69" t="str">
        <f>_xlfn.IFNA(IF('Interactive Selection Sheet'!F114= "", VLOOKUP('Interactive Selection Sheet'!$G114, 'Master List Import'!$A$1:$P$519, 14, FALSE), ""), "")</f>
        <v>Santa Biblia</v>
      </c>
      <c r="Q154" s="69">
        <f>_xlfn.IFNA(IF('Interactive Selection Sheet'!F114= "", VLOOKUP('Interactive Selection Sheet'!$G114, 'Master List Import'!$A$1:$P$519, 15, FALSE), ""), "")</f>
        <v>1</v>
      </c>
      <c r="R154" s="74">
        <f>_xlfn.IFNA(IF('Interactive Selection Sheet'!F114= "", VLOOKUP('Interactive Selection Sheet'!$G114, 'Master List Import'!$A$1:$P$519, 16, FALSE), ""), "")</f>
        <v>3.5</v>
      </c>
    </row>
    <row r="155" spans="1:18" ht="21.75" customHeight="1" x14ac:dyDescent="0.25">
      <c r="A155" s="69">
        <f>_xlfn.IFNA(IF('Interactive Selection Sheet'!F115= "", VLOOKUP('Interactive Selection Sheet'!$G115, 'Master List Import'!$A$1:$P$519, 2, FALSE), ""), "")</f>
        <v>3602</v>
      </c>
      <c r="B155" s="69" t="str">
        <f>_xlfn.IFNA(IF('Interactive Selection Sheet'!F115= "", VLOOKUP('Interactive Selection Sheet'!$G115, 'Master List Import'!$A$1:$P$519, 3, FALSE), ""), "")</f>
        <v>NIV Celebrate Recovery Study Bible, Softcover 12/cs</v>
      </c>
      <c r="C155" s="76">
        <f>IF('Interactive Selection Sheet'!$T$2="", "", IF(B155="","",'Interactive Selection Sheet'!$T$2))</f>
        <v>3.5000000000000003E-2</v>
      </c>
      <c r="D155" s="70">
        <f>IF(B155 = "", "", 'Interactive Selection Sheet'!$Q$2)</f>
        <v>4.4999999999999998E-2</v>
      </c>
      <c r="E155" s="70">
        <f>IF(B155="","", 'Interactive Selection Sheet'!$R$2)</f>
        <v>0.02</v>
      </c>
      <c r="F155" s="69" t="str">
        <f>_xlfn.IFNA(IF('Interactive Selection Sheet'!F115= "", VLOOKUP('Interactive Selection Sheet'!$G115, 'Master List Import'!$A$1:$P$519, 4, FALSE), ""), "")</f>
        <v>Religious</v>
      </c>
      <c r="G155" s="69" t="str">
        <f>_xlfn.IFNA(IF('Interactive Selection Sheet'!F115= "", VLOOKUP('Interactive Selection Sheet'!$G115, 'Master List Import'!$A$1:$P$519, 5, FALSE), ""), "")</f>
        <v>Religious</v>
      </c>
      <c r="H155" s="69" t="str">
        <f>_xlfn.IFNA(IF('Interactive Selection Sheet'!F115= "", VLOOKUP('Interactive Selection Sheet'!$G115, 'Master List Import'!$A$1:$P$519, 6, FALSE), ""), "")</f>
        <v>Both</v>
      </c>
      <c r="I155" s="72">
        <f>_xlfn.IFNA(IF('Interactive Selection Sheet'!F115= "", VLOOKUP('Interactive Selection Sheet'!$G115, 'Master List Import'!$A$1:$P$519, 7, FALSE), ""), "")</f>
        <v>10.99</v>
      </c>
      <c r="J155" s="69" t="str">
        <f>_xlfn.IFNA(IF('Interactive Selection Sheet'!F115= "", VLOOKUP('Interactive Selection Sheet'!$G115, 'Master List Import'!$A$1:$P$519, 8, FALSE), ""), "")</f>
        <v>Bibles in Bulk</v>
      </c>
      <c r="K155" s="69" t="str">
        <f>_xlfn.IFNA(IF('Interactive Selection Sheet'!F115= "", VLOOKUP('Interactive Selection Sheet'!$G115, 'Master List Import'!$A$1:$P$519, 9, FALSE), ""), "")</f>
        <v>SKU 9780310445173</v>
      </c>
      <c r="L155" s="69">
        <f>_xlfn.IFNA(IF('Interactive Selection Sheet'!F115= "", VLOOKUP('Interactive Selection Sheet'!$G115, 'Master List Import'!$A$1:$P$519, 10, FALSE), ""), "")</f>
        <v>0</v>
      </c>
      <c r="M155" s="69">
        <f>_xlfn.IFNA(IF('Interactive Selection Sheet'!F115= "", VLOOKUP('Interactive Selection Sheet'!$G115, 'Master List Import'!$A$1:$P$519, 11, FALSE), ""), "")</f>
        <v>0</v>
      </c>
      <c r="N155" s="69">
        <f>_xlfn.IFNA(IF('Interactive Selection Sheet'!F115= "", VLOOKUP('Interactive Selection Sheet'!$G115, 'Master List Import'!$A$1:$P$519, 12, FALSE), ""), "")</f>
        <v>12</v>
      </c>
      <c r="O155" s="69">
        <f>_xlfn.IFNA(IF('Interactive Selection Sheet'!F115= "", VLOOKUP('Interactive Selection Sheet'!$G115, 'Master List Import'!$A$1:$P$519, 13, FALSE), ""), "")</f>
        <v>3602</v>
      </c>
      <c r="P155" s="69" t="str">
        <f>_xlfn.IFNA(IF('Interactive Selection Sheet'!F115= "", VLOOKUP('Interactive Selection Sheet'!$G115, 'Master List Import'!$A$1:$P$519, 14, FALSE), ""), "")</f>
        <v>NIV Recovery Study Bible</v>
      </c>
      <c r="Q155" s="69">
        <f>_xlfn.IFNA(IF('Interactive Selection Sheet'!F115= "", VLOOKUP('Interactive Selection Sheet'!$G115, 'Master List Import'!$A$1:$P$519, 15, FALSE), ""), "")</f>
        <v>1</v>
      </c>
      <c r="R155" s="74">
        <f>_xlfn.IFNA(IF('Interactive Selection Sheet'!F115= "", VLOOKUP('Interactive Selection Sheet'!$G115, 'Master List Import'!$A$1:$P$519, 16, FALSE), ""), "")</f>
        <v>13.5</v>
      </c>
    </row>
    <row r="156" spans="1:18" ht="21.75" customHeight="1" x14ac:dyDescent="0.25">
      <c r="A156" s="69">
        <f>_xlfn.IFNA(IF('Interactive Selection Sheet'!F116= "", VLOOKUP('Interactive Selection Sheet'!$G116, 'Master List Import'!$A$1:$P$519, 2, FALSE), ""), "")</f>
        <v>3610</v>
      </c>
      <c r="B156" s="69" t="str">
        <f>_xlfn.IFNA(IF('Interactive Selection Sheet'!F116= "", VLOOKUP('Interactive Selection Sheet'!$G116, 'Master List Import'!$A$1:$P$519, 3, FALSE), ""), "")</f>
        <v>Book of Mormom, English, Regular Size</v>
      </c>
      <c r="C156" s="76">
        <f>IF('Interactive Selection Sheet'!$T$2="", "", IF(B156="","",'Interactive Selection Sheet'!$T$2))</f>
        <v>3.5000000000000003E-2</v>
      </c>
      <c r="D156" s="70">
        <f>IF(B156 = "", "", 'Interactive Selection Sheet'!$Q$2)</f>
        <v>4.4999999999999998E-2</v>
      </c>
      <c r="E156" s="70">
        <f>IF(B156="","", 'Interactive Selection Sheet'!$R$2)</f>
        <v>0.02</v>
      </c>
      <c r="F156" s="69" t="str">
        <f>_xlfn.IFNA(IF('Interactive Selection Sheet'!F116= "", VLOOKUP('Interactive Selection Sheet'!$G116, 'Master List Import'!$A$1:$P$519, 4, FALSE), ""), "")</f>
        <v>Religious</v>
      </c>
      <c r="G156" s="69" t="str">
        <f>_xlfn.IFNA(IF('Interactive Selection Sheet'!F116= "", VLOOKUP('Interactive Selection Sheet'!$G116, 'Master List Import'!$A$1:$P$519, 5, FALSE), ""), "")</f>
        <v>Religious</v>
      </c>
      <c r="H156" s="69" t="str">
        <f>_xlfn.IFNA(IF('Interactive Selection Sheet'!F116= "", VLOOKUP('Interactive Selection Sheet'!$G116, 'Master List Import'!$A$1:$P$519, 6, FALSE), ""), "")</f>
        <v>Both</v>
      </c>
      <c r="I156" s="72">
        <f>_xlfn.IFNA(IF('Interactive Selection Sheet'!F116= "", VLOOKUP('Interactive Selection Sheet'!$G116, 'Master List Import'!$A$1:$P$519, 7, FALSE), ""), "")</f>
        <v>3.2250000000000001</v>
      </c>
      <c r="J156" s="69" t="str">
        <f>_xlfn.IFNA(IF('Interactive Selection Sheet'!F116= "", VLOOKUP('Interactive Selection Sheet'!$G116, 'Master List Import'!$A$1:$P$519, 8, FALSE), ""), "")</f>
        <v>Church of Jesus Christ</v>
      </c>
      <c r="K156" s="69" t="str">
        <f>_xlfn.IFNA(IF('Interactive Selection Sheet'!F116= "", VLOOKUP('Interactive Selection Sheet'!$G116, 'Master List Import'!$A$1:$P$519, 9, FALSE), ""), "")</f>
        <v>30923000</v>
      </c>
      <c r="L156" s="69">
        <f>_xlfn.IFNA(IF('Interactive Selection Sheet'!F116= "", VLOOKUP('Interactive Selection Sheet'!$G116, 'Master List Import'!$A$1:$P$519, 10, FALSE), ""), "")</f>
        <v>0</v>
      </c>
      <c r="M156" s="69">
        <f>_xlfn.IFNA(IF('Interactive Selection Sheet'!F116= "", VLOOKUP('Interactive Selection Sheet'!$G116, 'Master List Import'!$A$1:$P$519, 11, FALSE), ""), "")</f>
        <v>0</v>
      </c>
      <c r="N156" s="69">
        <f>_xlfn.IFNA(IF('Interactive Selection Sheet'!F116= "", VLOOKUP('Interactive Selection Sheet'!$G116, 'Master List Import'!$A$1:$P$519, 12, FALSE), ""), "")</f>
        <v>1</v>
      </c>
      <c r="O156" s="69">
        <f>_xlfn.IFNA(IF('Interactive Selection Sheet'!F116= "", VLOOKUP('Interactive Selection Sheet'!$G116, 'Master List Import'!$A$1:$P$519, 13, FALSE), ""), "")</f>
        <v>3610</v>
      </c>
      <c r="P156" s="69" t="str">
        <f>_xlfn.IFNA(IF('Interactive Selection Sheet'!F116= "", VLOOKUP('Interactive Selection Sheet'!$G116, 'Master List Import'!$A$1:$P$519, 14, FALSE), ""), "")</f>
        <v>Book of Mormon</v>
      </c>
      <c r="Q156" s="69">
        <f>_xlfn.IFNA(IF('Interactive Selection Sheet'!F116= "", VLOOKUP('Interactive Selection Sheet'!$G116, 'Master List Import'!$A$1:$P$519, 15, FALSE), ""), "")</f>
        <v>1</v>
      </c>
      <c r="R156" s="74">
        <f>_xlfn.IFNA(IF('Interactive Selection Sheet'!F116= "", VLOOKUP('Interactive Selection Sheet'!$G116, 'Master List Import'!$A$1:$P$519, 16, FALSE), ""), "")</f>
        <v>4.5</v>
      </c>
    </row>
    <row r="157" spans="1:18" ht="21.75" customHeight="1" x14ac:dyDescent="0.25">
      <c r="A157" s="69">
        <f>_xlfn.IFNA(IF('Interactive Selection Sheet'!F117= "", VLOOKUP('Interactive Selection Sheet'!$G117, 'Master List Import'!$A$1:$P$519, 2, FALSE), ""), "")</f>
        <v>3650</v>
      </c>
      <c r="B157" s="69" t="str">
        <f>_xlfn.IFNA(IF('Interactive Selection Sheet'!F117= "", VLOOKUP('Interactive Selection Sheet'!$G117, 'Master List Import'!$A$1:$P$519, 3, FALSE), ""), "")</f>
        <v>Quran, English Translation - 1/cs</v>
      </c>
      <c r="C157" s="76">
        <f>IF('Interactive Selection Sheet'!$T$2="", "", IF(B157="","",'Interactive Selection Sheet'!$T$2))</f>
        <v>3.5000000000000003E-2</v>
      </c>
      <c r="D157" s="70">
        <f>IF(B157 = "", "", 'Interactive Selection Sheet'!$Q$2)</f>
        <v>4.4999999999999998E-2</v>
      </c>
      <c r="E157" s="70">
        <f>IF(B157="","", 'Interactive Selection Sheet'!$R$2)</f>
        <v>0.02</v>
      </c>
      <c r="F157" s="69" t="str">
        <f>_xlfn.IFNA(IF('Interactive Selection Sheet'!F117= "", VLOOKUP('Interactive Selection Sheet'!$G117, 'Master List Import'!$A$1:$P$519, 4, FALSE), ""), "")</f>
        <v>Religious</v>
      </c>
      <c r="G157" s="69" t="str">
        <f>_xlfn.IFNA(IF('Interactive Selection Sheet'!F117= "", VLOOKUP('Interactive Selection Sheet'!$G117, 'Master List Import'!$A$1:$P$519, 5, FALSE), ""), "")</f>
        <v>Religious</v>
      </c>
      <c r="H157" s="69" t="str">
        <f>_xlfn.IFNA(IF('Interactive Selection Sheet'!F117= "", VLOOKUP('Interactive Selection Sheet'!$G117, 'Master List Import'!$A$1:$P$519, 6, FALSE), ""), "")</f>
        <v>Both</v>
      </c>
      <c r="I157" s="72">
        <f>_xlfn.IFNA(IF('Interactive Selection Sheet'!F117= "", VLOOKUP('Interactive Selection Sheet'!$G117, 'Master List Import'!$A$1:$P$519, 7, FALSE), ""), "")</f>
        <v>5.75</v>
      </c>
      <c r="J157" s="69" t="str">
        <f>_xlfn.IFNA(IF('Interactive Selection Sheet'!F117= "", VLOOKUP('Interactive Selection Sheet'!$G117, 'Master List Import'!$A$1:$P$519, 8, FALSE), ""), "")</f>
        <v>REI</v>
      </c>
      <c r="K157" s="69" t="str">
        <f>_xlfn.IFNA(IF('Interactive Selection Sheet'!F117= "", VLOOKUP('Interactive Selection Sheet'!$G117, 'Master List Import'!$A$1:$P$519, 9, FALSE), ""), "")</f>
        <v>410499</v>
      </c>
      <c r="L157" s="69">
        <f>_xlfn.IFNA(IF('Interactive Selection Sheet'!F117= "", VLOOKUP('Interactive Selection Sheet'!$G117, 'Master List Import'!$A$1:$P$519, 10, FALSE), ""), "")</f>
        <v>0</v>
      </c>
      <c r="M157" s="69">
        <f>_xlfn.IFNA(IF('Interactive Selection Sheet'!F117= "", VLOOKUP('Interactive Selection Sheet'!$G117, 'Master List Import'!$A$1:$P$519, 11, FALSE), ""), "")</f>
        <v>0</v>
      </c>
      <c r="N157" s="69">
        <f>_xlfn.IFNA(IF('Interactive Selection Sheet'!F117= "", VLOOKUP('Interactive Selection Sheet'!$G117, 'Master List Import'!$A$1:$P$519, 12, FALSE), ""), "")</f>
        <v>1</v>
      </c>
      <c r="O157" s="69">
        <f>_xlfn.IFNA(IF('Interactive Selection Sheet'!F117= "", VLOOKUP('Interactive Selection Sheet'!$G117, 'Master List Import'!$A$1:$P$519, 13, FALSE), ""), "")</f>
        <v>3650</v>
      </c>
      <c r="P157" s="69" t="str">
        <f>_xlfn.IFNA(IF('Interactive Selection Sheet'!F117= "", VLOOKUP('Interactive Selection Sheet'!$G117, 'Master List Import'!$A$1:$P$519, 14, FALSE), ""), "")</f>
        <v>Quran (in English)</v>
      </c>
      <c r="Q157" s="69">
        <f>_xlfn.IFNA(IF('Interactive Selection Sheet'!F117= "", VLOOKUP('Interactive Selection Sheet'!$G117, 'Master List Import'!$A$1:$P$519, 15, FALSE), ""), "")</f>
        <v>1</v>
      </c>
      <c r="R157" s="74">
        <f>_xlfn.IFNA(IF('Interactive Selection Sheet'!F117= "", VLOOKUP('Interactive Selection Sheet'!$G117, 'Master List Import'!$A$1:$P$519, 16, FALSE), ""), "")</f>
        <v>6.5</v>
      </c>
    </row>
    <row r="158" spans="1:18" ht="21.75" customHeight="1" x14ac:dyDescent="0.25">
      <c r="A158" s="69">
        <f>_xlfn.IFNA(IF('Interactive Selection Sheet'!F118= "", VLOOKUP('Interactive Selection Sheet'!$G118, 'Master List Import'!$A$1:$P$519, 2, FALSE), ""), "")</f>
        <v>3651</v>
      </c>
      <c r="B158" s="69" t="str">
        <f>_xlfn.IFNA(IF('Interactive Selection Sheet'!F118= "", VLOOKUP('Interactive Selection Sheet'!$G118, 'Master List Import'!$A$1:$P$519, 3, FALSE), ""), "")</f>
        <v>Prayer Rug</v>
      </c>
      <c r="C158" s="76">
        <f>IF('Interactive Selection Sheet'!$T$2="", "", IF(B158="","",'Interactive Selection Sheet'!$T$2))</f>
        <v>3.5000000000000003E-2</v>
      </c>
      <c r="D158" s="70">
        <f>IF(B158 = "", "", 'Interactive Selection Sheet'!$Q$2)</f>
        <v>4.4999999999999998E-2</v>
      </c>
      <c r="E158" s="70">
        <f>IF(B158="","", 'Interactive Selection Sheet'!$R$2)</f>
        <v>0.02</v>
      </c>
      <c r="F158" s="69" t="str">
        <f>_xlfn.IFNA(IF('Interactive Selection Sheet'!F118= "", VLOOKUP('Interactive Selection Sheet'!$G118, 'Master List Import'!$A$1:$P$519, 4, FALSE), ""), "")</f>
        <v>Religious</v>
      </c>
      <c r="G158" s="69" t="str">
        <f>_xlfn.IFNA(IF('Interactive Selection Sheet'!F118= "", VLOOKUP('Interactive Selection Sheet'!$G118, 'Master List Import'!$A$1:$P$519, 5, FALSE), ""), "")</f>
        <v>Religious</v>
      </c>
      <c r="H158" s="69" t="str">
        <f>_xlfn.IFNA(IF('Interactive Selection Sheet'!F118= "", VLOOKUP('Interactive Selection Sheet'!$G118, 'Master List Import'!$A$1:$P$519, 6, FALSE), ""), "")</f>
        <v>Both</v>
      </c>
      <c r="I158" s="72">
        <f>_xlfn.IFNA(IF('Interactive Selection Sheet'!F118= "", VLOOKUP('Interactive Selection Sheet'!$G118, 'Master List Import'!$A$1:$P$519, 7, FALSE), ""), "")</f>
        <v>12</v>
      </c>
      <c r="J158" s="69" t="str">
        <f>_xlfn.IFNA(IF('Interactive Selection Sheet'!F118= "", VLOOKUP('Interactive Selection Sheet'!$G118, 'Master List Import'!$A$1:$P$519, 8, FALSE), ""), "")</f>
        <v>REI</v>
      </c>
      <c r="K158" s="69" t="str">
        <f>_xlfn.IFNA(IF('Interactive Selection Sheet'!F118= "", VLOOKUP('Interactive Selection Sheet'!$G118, 'Master List Import'!$A$1:$P$519, 9, FALSE), ""), "")</f>
        <v>410498</v>
      </c>
      <c r="L158" s="69">
        <f>_xlfn.IFNA(IF('Interactive Selection Sheet'!F118= "", VLOOKUP('Interactive Selection Sheet'!$G118, 'Master List Import'!$A$1:$P$519, 10, FALSE), ""), "")</f>
        <v>0</v>
      </c>
      <c r="M158" s="69">
        <f>_xlfn.IFNA(IF('Interactive Selection Sheet'!F118= "", VLOOKUP('Interactive Selection Sheet'!$G118, 'Master List Import'!$A$1:$P$519, 11, FALSE), ""), "")</f>
        <v>0</v>
      </c>
      <c r="N158" s="69">
        <f>_xlfn.IFNA(IF('Interactive Selection Sheet'!F118= "", VLOOKUP('Interactive Selection Sheet'!$G118, 'Master List Import'!$A$1:$P$519, 12, FALSE), ""), "")</f>
        <v>1</v>
      </c>
      <c r="O158" s="69">
        <f>_xlfn.IFNA(IF('Interactive Selection Sheet'!F118= "", VLOOKUP('Interactive Selection Sheet'!$G118, 'Master List Import'!$A$1:$P$519, 13, FALSE), ""), "")</f>
        <v>3651</v>
      </c>
      <c r="P158" s="69" t="str">
        <f>_xlfn.IFNA(IF('Interactive Selection Sheet'!F118= "", VLOOKUP('Interactive Selection Sheet'!$G118, 'Master List Import'!$A$1:$P$519, 14, FALSE), ""), "")</f>
        <v>Prayer Rug</v>
      </c>
      <c r="Q158" s="69">
        <f>_xlfn.IFNA(IF('Interactive Selection Sheet'!F118= "", VLOOKUP('Interactive Selection Sheet'!$G118, 'Master List Import'!$A$1:$P$519, 15, FALSE), ""), "")</f>
        <v>1</v>
      </c>
      <c r="R158" s="74">
        <f>_xlfn.IFNA(IF('Interactive Selection Sheet'!F118= "", VLOOKUP('Interactive Selection Sheet'!$G118, 'Master List Import'!$A$1:$P$519, 16, FALSE), ""), "")</f>
        <v>13</v>
      </c>
    </row>
    <row r="159" spans="1:18" ht="21.75" customHeight="1" x14ac:dyDescent="0.25">
      <c r="A159" s="69">
        <f>_xlfn.IFNA(IF('Interactive Selection Sheet'!F119= "", VLOOKUP('Interactive Selection Sheet'!$G119, 'Master List Import'!$A$1:$P$519, 2, FALSE), ""), "")</f>
        <v>3660</v>
      </c>
      <c r="B159" s="69" t="str">
        <f>_xlfn.IFNA(IF('Interactive Selection Sheet'!F119= "", VLOOKUP('Interactive Selection Sheet'!$G119, 'Master List Import'!$A$1:$P$519, 3, FALSE), ""), "")</f>
        <v>Satanic Bible - Anton LaVey</v>
      </c>
      <c r="C159" s="76">
        <f>IF('Interactive Selection Sheet'!$T$2="", "", IF(B159="","",'Interactive Selection Sheet'!$T$2))</f>
        <v>3.5000000000000003E-2</v>
      </c>
      <c r="D159" s="70">
        <f>IF(B159 = "", "", 'Interactive Selection Sheet'!$Q$2)</f>
        <v>4.4999999999999998E-2</v>
      </c>
      <c r="E159" s="70">
        <f>IF(B159="","", 'Interactive Selection Sheet'!$R$2)</f>
        <v>0.02</v>
      </c>
      <c r="F159" s="69" t="str">
        <f>_xlfn.IFNA(IF('Interactive Selection Sheet'!F119= "", VLOOKUP('Interactive Selection Sheet'!$G119, 'Master List Import'!$A$1:$P$519, 4, FALSE), ""), "")</f>
        <v>Religious</v>
      </c>
      <c r="G159" s="69" t="str">
        <f>_xlfn.IFNA(IF('Interactive Selection Sheet'!F119= "", VLOOKUP('Interactive Selection Sheet'!$G119, 'Master List Import'!$A$1:$P$519, 5, FALSE), ""), "")</f>
        <v>Religious</v>
      </c>
      <c r="H159" s="69" t="str">
        <f>_xlfn.IFNA(IF('Interactive Selection Sheet'!F119= "", VLOOKUP('Interactive Selection Sheet'!$G119, 'Master List Import'!$A$1:$P$519, 6, FALSE), ""), "")</f>
        <v>Both</v>
      </c>
      <c r="I159" s="72">
        <f>_xlfn.IFNA(IF('Interactive Selection Sheet'!F119= "", VLOOKUP('Interactive Selection Sheet'!$G119, 'Master List Import'!$A$1:$P$519, 7, FALSE), ""), "")</f>
        <v>13</v>
      </c>
      <c r="J159" s="69" t="str">
        <f>_xlfn.IFNA(IF('Interactive Selection Sheet'!F119= "", VLOOKUP('Interactive Selection Sheet'!$G119, 'Master List Import'!$A$1:$P$519, 8, FALSE), ""), "")</f>
        <v>REI</v>
      </c>
      <c r="K159" s="69" t="str">
        <f>_xlfn.IFNA(IF('Interactive Selection Sheet'!F119= "", VLOOKUP('Interactive Selection Sheet'!$G119, 'Master List Import'!$A$1:$P$519, 9, FALSE), ""), "")</f>
        <v>410506</v>
      </c>
      <c r="L159" s="69">
        <f>_xlfn.IFNA(IF('Interactive Selection Sheet'!F119= "", VLOOKUP('Interactive Selection Sheet'!$G119, 'Master List Import'!$A$1:$P$519, 10, FALSE), ""), "")</f>
        <v>0</v>
      </c>
      <c r="M159" s="69">
        <f>_xlfn.IFNA(IF('Interactive Selection Sheet'!F119= "", VLOOKUP('Interactive Selection Sheet'!$G119, 'Master List Import'!$A$1:$P$519, 11, FALSE), ""), "")</f>
        <v>0</v>
      </c>
      <c r="N159" s="69">
        <f>_xlfn.IFNA(IF('Interactive Selection Sheet'!F119= "", VLOOKUP('Interactive Selection Sheet'!$G119, 'Master List Import'!$A$1:$P$519, 12, FALSE), ""), "")</f>
        <v>1</v>
      </c>
      <c r="O159" s="69">
        <f>_xlfn.IFNA(IF('Interactive Selection Sheet'!F119= "", VLOOKUP('Interactive Selection Sheet'!$G119, 'Master List Import'!$A$1:$P$519, 13, FALSE), ""), "")</f>
        <v>3660</v>
      </c>
      <c r="P159" s="69" t="str">
        <f>_xlfn.IFNA(IF('Interactive Selection Sheet'!F119= "", VLOOKUP('Interactive Selection Sheet'!$G119, 'Master List Import'!$A$1:$P$519, 14, FALSE), ""), "")</f>
        <v>Satanic Bible</v>
      </c>
      <c r="Q159" s="69">
        <f>_xlfn.IFNA(IF('Interactive Selection Sheet'!F119= "", VLOOKUP('Interactive Selection Sheet'!$G119, 'Master List Import'!$A$1:$P$519, 15, FALSE), ""), "")</f>
        <v>1</v>
      </c>
      <c r="R159" s="74">
        <f>_xlfn.IFNA(IF('Interactive Selection Sheet'!F119= "", VLOOKUP('Interactive Selection Sheet'!$G119, 'Master List Import'!$A$1:$P$519, 16, FALSE), ""), "")</f>
        <v>17</v>
      </c>
    </row>
    <row r="160" spans="1:18" ht="21.75" customHeight="1" x14ac:dyDescent="0.25">
      <c r="A160" s="69">
        <f>_xlfn.IFNA(IF('Interactive Selection Sheet'!A146 = "", VLOOKUP('Interactive Selection Sheet'!$B146, 'Master List Import'!$A$1:$P$519, 2, FALSE), ""), "")</f>
        <v>3800</v>
      </c>
      <c r="B160" s="69" t="str">
        <f>_xlfn.IFNA(IF('Interactive Selection Sheet'!A146 = "", VLOOKUP('Interactive Selection Sheet'!$B146, 'Master List Import'!$A$1:$P$519, 3, FALSE), ""), "")</f>
        <v>Black Reusable Face Mask, 1pc</v>
      </c>
      <c r="C160" s="76">
        <f>IF('Interactive Selection Sheet'!$T$2="", "", IF(B160="","",'Interactive Selection Sheet'!$T$2))</f>
        <v>3.5000000000000003E-2</v>
      </c>
      <c r="D160" s="70">
        <f>IF(B160 = "", "", 'Interactive Selection Sheet'!$Q$2)</f>
        <v>4.4999999999999998E-2</v>
      </c>
      <c r="E160" s="70">
        <f>IF(B160="","", 'Interactive Selection Sheet'!$R$2)</f>
        <v>0.02</v>
      </c>
      <c r="F160" s="69" t="str">
        <f>_xlfn.IFNA(IF('Interactive Selection Sheet'!A146 = "", VLOOKUP('Interactive Selection Sheet'!$B146, 'Master List Import'!$A$1:$P$519, 4, FALSE), ""), "")</f>
        <v>Personal Protective Equipment</v>
      </c>
      <c r="G160" s="69" t="str">
        <f>_xlfn.IFNA(IF('Interactive Selection Sheet'!A146 = "", VLOOKUP('Interactive Selection Sheet'!$B146, 'Master List Import'!$A$1:$P$519, 5, FALSE), ""), "")</f>
        <v>Personal Protective Equipment</v>
      </c>
      <c r="H160" s="69" t="str">
        <f>_xlfn.IFNA(IF('Interactive Selection Sheet'!A146 = "", VLOOKUP('Interactive Selection Sheet'!$B146, 'Master List Import'!$A$1:$P$519, 6, FALSE), ""), "")</f>
        <v>Both</v>
      </c>
      <c r="I160" s="72">
        <f>_xlfn.IFNA(IF('Interactive Selection Sheet'!A146 = "", VLOOKUP('Interactive Selection Sheet'!$B146, 'Master List Import'!$A$1:$P$519, 7, FALSE), ""), "")</f>
        <v>3.25</v>
      </c>
      <c r="J160" s="69" t="str">
        <f>_xlfn.IFNA(IF('Interactive Selection Sheet'!A146 = "", VLOOKUP('Interactive Selection Sheet'!$B146, 'Master List Import'!$A$1:$P$519, 8, FALSE), ""), "")</f>
        <v>REI</v>
      </c>
      <c r="K160" s="69" t="str">
        <f>_xlfn.IFNA(IF('Interactive Selection Sheet'!A146 = "", VLOOKUP('Interactive Selection Sheet'!$B146, 'Master List Import'!$A$1:$P$519, 9, FALSE), ""), "")</f>
        <v>386705</v>
      </c>
      <c r="L160" s="69">
        <f>_xlfn.IFNA(IF('Interactive Selection Sheet'!A146 = "", VLOOKUP('Interactive Selection Sheet'!$B146, 'Master List Import'!$A$1:$P$519, 10, FALSE), ""), "")</f>
        <v>0</v>
      </c>
      <c r="M160" s="69">
        <f>_xlfn.IFNA(IF('Interactive Selection Sheet'!A146 = "", VLOOKUP('Interactive Selection Sheet'!$B146, 'Master List Import'!$A$1:$P$519, 11, FALSE), ""), "")</f>
        <v>0</v>
      </c>
      <c r="N160" s="69">
        <f>_xlfn.IFNA(IF('Interactive Selection Sheet'!A146 = "", VLOOKUP('Interactive Selection Sheet'!$B146, 'Master List Import'!$A$1:$P$519, 12, FALSE), ""), "")</f>
        <v>1</v>
      </c>
      <c r="O160" s="69">
        <f>_xlfn.IFNA(IF('Interactive Selection Sheet'!A146 = "", VLOOKUP('Interactive Selection Sheet'!$B146, 'Master List Import'!$A$1:$P$519, 13, FALSE), ""), "")</f>
        <v>3800</v>
      </c>
      <c r="P160" s="69" t="str">
        <f>_xlfn.IFNA(IF('Interactive Selection Sheet'!A146 = "", VLOOKUP('Interactive Selection Sheet'!$B146, 'Master List Import'!$A$1:$P$519, 14, FALSE), ""), "")</f>
        <v>Reusable Face Mask</v>
      </c>
      <c r="Q160" s="69">
        <f>_xlfn.IFNA(IF('Interactive Selection Sheet'!A146 = "", VLOOKUP('Interactive Selection Sheet'!$B146, 'Master List Import'!$A$1:$P$519, 15, FALSE), ""), "")</f>
        <v>1</v>
      </c>
      <c r="R160" s="74">
        <f>_xlfn.IFNA(IF('Interactive Selection Sheet'!A146 = "", VLOOKUP('Interactive Selection Sheet'!$B146, 'Master List Import'!$A$1:$P$519, 16, FALSE), ""), "")</f>
        <v>11</v>
      </c>
    </row>
    <row r="161" spans="1:18" ht="21.75" customHeight="1" x14ac:dyDescent="0.25">
      <c r="A161" s="69">
        <f>_xlfn.IFNA(IF('Interactive Selection Sheet'!F123= "", VLOOKUP('Interactive Selection Sheet'!$G123, 'Master List Import'!$A$1:$P$519, 2, FALSE), ""), "")</f>
        <v>3900</v>
      </c>
      <c r="B161" s="69" t="str">
        <f>_xlfn.IFNA(IF('Interactive Selection Sheet'!F123= "", VLOOKUP('Interactive Selection Sheet'!$G123, 'Master List Import'!$A$1:$P$519, 3, FALSE), ""), "")</f>
        <v>E-Cig, Regular</v>
      </c>
      <c r="C161" s="76">
        <f>IF('Interactive Selection Sheet'!$T$2="", "", IF(B161="","",'Interactive Selection Sheet'!$T$2))</f>
        <v>3.5000000000000003E-2</v>
      </c>
      <c r="D161" s="70">
        <f>IF(B161 = "", "", 'Interactive Selection Sheet'!$Q$2)</f>
        <v>4.4999999999999998E-2</v>
      </c>
      <c r="E161" s="70">
        <f>IF(B161="","", 'Interactive Selection Sheet'!$R$2)</f>
        <v>0.02</v>
      </c>
      <c r="F161" s="69" t="str">
        <f>_xlfn.IFNA(IF('Interactive Selection Sheet'!F123= "", VLOOKUP('Interactive Selection Sheet'!$G123, 'Master List Import'!$A$1:$P$519, 4, FALSE), ""), "")</f>
        <v>E-Cigs</v>
      </c>
      <c r="G161" s="69" t="str">
        <f>_xlfn.IFNA(IF('Interactive Selection Sheet'!F123= "", VLOOKUP('Interactive Selection Sheet'!$G123, 'Master List Import'!$A$1:$P$519, 5, FALSE), ""), "")</f>
        <v>E-Cigs</v>
      </c>
      <c r="H161" s="69" t="str">
        <f>_xlfn.IFNA(IF('Interactive Selection Sheet'!F123= "", VLOOKUP('Interactive Selection Sheet'!$G123, 'Master List Import'!$A$1:$P$519, 6, FALSE), ""), "")</f>
        <v>Both</v>
      </c>
      <c r="I161" s="72">
        <f>_xlfn.IFNA(IF('Interactive Selection Sheet'!F123= "", VLOOKUP('Interactive Selection Sheet'!$G123, 'Master List Import'!$A$1:$P$519, 7, FALSE), ""), "")</f>
        <v>3.8</v>
      </c>
      <c r="J161" s="69" t="str">
        <f>_xlfn.IFNA(IF('Interactive Selection Sheet'!F123= "", VLOOKUP('Interactive Selection Sheet'!$G123, 'Master List Import'!$A$1:$P$519, 8, FALSE), ""), "")</f>
        <v>REI</v>
      </c>
      <c r="K161" s="69" t="str">
        <f>_xlfn.IFNA(IF('Interactive Selection Sheet'!F123= "", VLOOKUP('Interactive Selection Sheet'!$G123, 'Master List Import'!$A$1:$P$519, 9, FALSE), ""), "")</f>
        <v>411147</v>
      </c>
      <c r="L161" s="69">
        <f>_xlfn.IFNA(IF('Interactive Selection Sheet'!F123= "", VLOOKUP('Interactive Selection Sheet'!$G123, 'Master List Import'!$A$1:$P$519, 10, FALSE), ""), "")</f>
        <v>0</v>
      </c>
      <c r="M161" s="69">
        <f>_xlfn.IFNA(IF('Interactive Selection Sheet'!F123= "", VLOOKUP('Interactive Selection Sheet'!$G123, 'Master List Import'!$A$1:$P$519, 11, FALSE), ""), "")</f>
        <v>0</v>
      </c>
      <c r="N161" s="69">
        <f>_xlfn.IFNA(IF('Interactive Selection Sheet'!F123= "", VLOOKUP('Interactive Selection Sheet'!$G123, 'Master List Import'!$A$1:$P$519, 12, FALSE), ""), "")</f>
        <v>100</v>
      </c>
      <c r="O161" s="69">
        <f>_xlfn.IFNA(IF('Interactive Selection Sheet'!F123= "", VLOOKUP('Interactive Selection Sheet'!$G123, 'Master List Import'!$A$1:$P$519, 13, FALSE), ""), "")</f>
        <v>3900</v>
      </c>
      <c r="P161" s="69" t="str">
        <f>_xlfn.IFNA(IF('Interactive Selection Sheet'!F123= "", VLOOKUP('Interactive Selection Sheet'!$G123, 'Master List Import'!$A$1:$P$519, 14, FALSE), ""), "")</f>
        <v>E-Cig, Regular</v>
      </c>
      <c r="Q161" s="69">
        <f>_xlfn.IFNA(IF('Interactive Selection Sheet'!F123= "", VLOOKUP('Interactive Selection Sheet'!$G123, 'Master List Import'!$A$1:$P$519, 15, FALSE), ""), "")</f>
        <v>1</v>
      </c>
      <c r="R161" s="74">
        <f>_xlfn.IFNA(IF('Interactive Selection Sheet'!F123= "", VLOOKUP('Interactive Selection Sheet'!$G123, 'Master List Import'!$A$1:$P$519, 16, FALSE), ""), "")</f>
        <v>13</v>
      </c>
    </row>
    <row r="162" spans="1:18" ht="21.75" customHeight="1" x14ac:dyDescent="0.25">
      <c r="A162" s="69">
        <f>_xlfn.IFNA(IF('Interactive Selection Sheet'!F124= "", VLOOKUP('Interactive Selection Sheet'!$G124, 'Master List Import'!$A$1:$P$519, 2, FALSE), ""), "")</f>
        <v>3901</v>
      </c>
      <c r="B162" s="69" t="str">
        <f>_xlfn.IFNA(IF('Interactive Selection Sheet'!F124= "", VLOOKUP('Interactive Selection Sheet'!$G124, 'Master List Import'!$A$1:$P$519, 3, FALSE), ""), "")</f>
        <v>E-Cig, Menthol</v>
      </c>
      <c r="C162" s="76">
        <f>IF('Interactive Selection Sheet'!$T$2="", "", IF(B162="","",'Interactive Selection Sheet'!$T$2))</f>
        <v>3.5000000000000003E-2</v>
      </c>
      <c r="D162" s="70">
        <f>IF(B162 = "", "", 'Interactive Selection Sheet'!$Q$2)</f>
        <v>4.4999999999999998E-2</v>
      </c>
      <c r="E162" s="70">
        <f>IF(B162="","", 'Interactive Selection Sheet'!$R$2)</f>
        <v>0.02</v>
      </c>
      <c r="F162" s="69" t="str">
        <f>_xlfn.IFNA(IF('Interactive Selection Sheet'!F124= "", VLOOKUP('Interactive Selection Sheet'!$G124, 'Master List Import'!$A$1:$P$519, 4, FALSE), ""), "")</f>
        <v>E-Cigs</v>
      </c>
      <c r="G162" s="69" t="str">
        <f>_xlfn.IFNA(IF('Interactive Selection Sheet'!F124= "", VLOOKUP('Interactive Selection Sheet'!$G124, 'Master List Import'!$A$1:$P$519, 5, FALSE), ""), "")</f>
        <v>E-Cigs</v>
      </c>
      <c r="H162" s="69" t="str">
        <f>_xlfn.IFNA(IF('Interactive Selection Sheet'!F124= "", VLOOKUP('Interactive Selection Sheet'!$G124, 'Master List Import'!$A$1:$P$519, 6, FALSE), ""), "")</f>
        <v>Both</v>
      </c>
      <c r="I162" s="72">
        <f>_xlfn.IFNA(IF('Interactive Selection Sheet'!F124= "", VLOOKUP('Interactive Selection Sheet'!$G124, 'Master List Import'!$A$1:$P$519, 7, FALSE), ""), "")</f>
        <v>3.8</v>
      </c>
      <c r="J162" s="69" t="str">
        <f>_xlfn.IFNA(IF('Interactive Selection Sheet'!F124= "", VLOOKUP('Interactive Selection Sheet'!$G124, 'Master List Import'!$A$1:$P$519, 8, FALSE), ""), "")</f>
        <v>REI</v>
      </c>
      <c r="K162" s="69" t="str">
        <f>_xlfn.IFNA(IF('Interactive Selection Sheet'!F124= "", VLOOKUP('Interactive Selection Sheet'!$G124, 'Master List Import'!$A$1:$P$519, 9, FALSE), ""), "")</f>
        <v>411148</v>
      </c>
      <c r="L162" s="69">
        <f>_xlfn.IFNA(IF('Interactive Selection Sheet'!F124= "", VLOOKUP('Interactive Selection Sheet'!$G124, 'Master List Import'!$A$1:$P$519, 10, FALSE), ""), "")</f>
        <v>0</v>
      </c>
      <c r="M162" s="69">
        <f>_xlfn.IFNA(IF('Interactive Selection Sheet'!F124= "", VLOOKUP('Interactive Selection Sheet'!$G124, 'Master List Import'!$A$1:$P$519, 11, FALSE), ""), "")</f>
        <v>0</v>
      </c>
      <c r="N162" s="69">
        <f>_xlfn.IFNA(IF('Interactive Selection Sheet'!F124= "", VLOOKUP('Interactive Selection Sheet'!$G124, 'Master List Import'!$A$1:$P$519, 12, FALSE), ""), "")</f>
        <v>100</v>
      </c>
      <c r="O162" s="69">
        <f>_xlfn.IFNA(IF('Interactive Selection Sheet'!F124= "", VLOOKUP('Interactive Selection Sheet'!$G124, 'Master List Import'!$A$1:$P$519, 13, FALSE), ""), "")</f>
        <v>3901</v>
      </c>
      <c r="P162" s="69" t="str">
        <f>_xlfn.IFNA(IF('Interactive Selection Sheet'!F124= "", VLOOKUP('Interactive Selection Sheet'!$G124, 'Master List Import'!$A$1:$P$519, 14, FALSE), ""), "")</f>
        <v>E-Cig, Menthol</v>
      </c>
      <c r="Q162" s="69">
        <f>_xlfn.IFNA(IF('Interactive Selection Sheet'!F124= "", VLOOKUP('Interactive Selection Sheet'!$G124, 'Master List Import'!$A$1:$P$519, 15, FALSE), ""), "")</f>
        <v>1</v>
      </c>
      <c r="R162" s="74">
        <f>_xlfn.IFNA(IF('Interactive Selection Sheet'!F124= "", VLOOKUP('Interactive Selection Sheet'!$G124, 'Master List Import'!$A$1:$P$519, 16, FALSE), ""), "")</f>
        <v>13</v>
      </c>
    </row>
    <row r="163" spans="1:18" ht="21.75" customHeight="1" x14ac:dyDescent="0.25">
      <c r="A163" s="69">
        <f>_xlfn.IFNA(IF('Interactive Selection Sheet'!A81 = "", VLOOKUP('Interactive Selection Sheet'!$B81, 'Master List Import'!$A$1:$P$519, 2, FALSE), ""), "")</f>
        <v>4100</v>
      </c>
      <c r="B163" s="69" t="str">
        <f>_xlfn.IFNA(IF('Interactive Selection Sheet'!A81 = "", VLOOKUP('Interactive Selection Sheet'!$B81, 'Master List Import'!$A$1:$P$519, 3, FALSE), ""), "")</f>
        <v>Dalan Refreshing Bar Soap, 3.17oz bar - 72/cs</v>
      </c>
      <c r="C163" s="76">
        <f>IF('Interactive Selection Sheet'!$T$2="", "", IF(B163="","",'Interactive Selection Sheet'!$T$2))</f>
        <v>3.5000000000000003E-2</v>
      </c>
      <c r="D163" s="70">
        <f>IF(B163 = "", "", 'Interactive Selection Sheet'!$Q$2)</f>
        <v>4.4999999999999998E-2</v>
      </c>
      <c r="E163" s="70">
        <f>IF(B163="","", 'Interactive Selection Sheet'!$R$2)</f>
        <v>0.02</v>
      </c>
      <c r="F163" s="69" t="str">
        <f>_xlfn.IFNA(IF('Interactive Selection Sheet'!A81 = "", VLOOKUP('Interactive Selection Sheet'!$B81, 'Master List Import'!$A$1:$P$519, 4, FALSE), ""), "")</f>
        <v>Hygiene</v>
      </c>
      <c r="G163" s="69" t="str">
        <f>_xlfn.IFNA(IF('Interactive Selection Sheet'!A81 = "", VLOOKUP('Interactive Selection Sheet'!$B81, 'Master List Import'!$A$1:$P$519, 5, FALSE), ""), "")</f>
        <v>Hygiene</v>
      </c>
      <c r="H163" s="69" t="str">
        <f>_xlfn.IFNA(IF('Interactive Selection Sheet'!A81 = "", VLOOKUP('Interactive Selection Sheet'!$B81, 'Master List Import'!$A$1:$P$519, 6, FALSE), ""), "")</f>
        <v>Both</v>
      </c>
      <c r="I163" s="72">
        <f>_xlfn.IFNA(IF('Interactive Selection Sheet'!A81 = "", VLOOKUP('Interactive Selection Sheet'!$B81, 'Master List Import'!$A$1:$P$519, 7, FALSE), ""), "")</f>
        <v>0.34</v>
      </c>
      <c r="J163" s="69" t="str">
        <f>_xlfn.IFNA(IF('Interactive Selection Sheet'!A81 = "", VLOOKUP('Interactive Selection Sheet'!$B81, 'Master List Import'!$A$1:$P$519, 8, FALSE), ""), "")</f>
        <v>REI</v>
      </c>
      <c r="K163" s="69" t="str">
        <f>_xlfn.IFNA(IF('Interactive Selection Sheet'!A81 = "", VLOOKUP('Interactive Selection Sheet'!$B81, 'Master List Import'!$A$1:$P$519, 9, FALSE), ""), "")</f>
        <v>597977</v>
      </c>
      <c r="L163" s="69">
        <f>_xlfn.IFNA(IF('Interactive Selection Sheet'!A81 = "", VLOOKUP('Interactive Selection Sheet'!$B81, 'Master List Import'!$A$1:$P$519, 10, FALSE), ""), "")</f>
        <v>0</v>
      </c>
      <c r="M163" s="69">
        <f>_xlfn.IFNA(IF('Interactive Selection Sheet'!A81 = "", VLOOKUP('Interactive Selection Sheet'!$B81, 'Master List Import'!$A$1:$P$519, 11, FALSE), ""), "")</f>
        <v>0</v>
      </c>
      <c r="N163" s="69">
        <f>_xlfn.IFNA(IF('Interactive Selection Sheet'!A81 = "", VLOOKUP('Interactive Selection Sheet'!$B81, 'Master List Import'!$A$1:$P$519, 12, FALSE), ""), "")</f>
        <v>72</v>
      </c>
      <c r="O163" s="69">
        <f>_xlfn.IFNA(IF('Interactive Selection Sheet'!A81 = "", VLOOKUP('Interactive Selection Sheet'!$B81, 'Master List Import'!$A$1:$P$519, 13, FALSE), ""), "")</f>
        <v>4100</v>
      </c>
      <c r="P163" s="69" t="str">
        <f>_xlfn.IFNA(IF('Interactive Selection Sheet'!A81 = "", VLOOKUP('Interactive Selection Sheet'!$B81, 'Master List Import'!$A$1:$P$519, 14, FALSE), ""), "")</f>
        <v>Dalan Bar Soap</v>
      </c>
      <c r="Q163" s="69">
        <f>_xlfn.IFNA(IF('Interactive Selection Sheet'!A81 = "", VLOOKUP('Interactive Selection Sheet'!$B81, 'Master List Import'!$A$1:$P$519, 15, FALSE), ""), "")</f>
        <v>1</v>
      </c>
      <c r="R163" s="74">
        <f>_xlfn.IFNA(IF('Interactive Selection Sheet'!A81 = "", VLOOKUP('Interactive Selection Sheet'!$B81, 'Master List Import'!$A$1:$P$519, 16, FALSE), ""), "")</f>
        <v>1.65</v>
      </c>
    </row>
    <row r="164" spans="1:18" ht="21.75" customHeight="1" x14ac:dyDescent="0.25">
      <c r="A164" s="69">
        <f>_xlfn.IFNA(IF('Interactive Selection Sheet'!A82 = "", VLOOKUP('Interactive Selection Sheet'!$B82, 'Master List Import'!$A$1:$P$519, 2, FALSE), ""), "")</f>
        <v>4101</v>
      </c>
      <c r="B164" s="69" t="str">
        <f>_xlfn.IFNA(IF('Interactive Selection Sheet'!A82 = "", VLOOKUP('Interactive Selection Sheet'!$B82, 'Master List Import'!$A$1:$P$519, 3, FALSE), ""), "")</f>
        <v>Jergens Bar Soap, Mild, 4.5oz bar - 4/24/cs</v>
      </c>
      <c r="C164" s="76">
        <f>IF('Interactive Selection Sheet'!$T$2="", "", IF(B164="","",'Interactive Selection Sheet'!$T$2))</f>
        <v>3.5000000000000003E-2</v>
      </c>
      <c r="D164" s="70">
        <f>IF(B164 = "", "", 'Interactive Selection Sheet'!$Q$2)</f>
        <v>4.4999999999999998E-2</v>
      </c>
      <c r="E164" s="70">
        <f>IF(B164="","", 'Interactive Selection Sheet'!$R$2)</f>
        <v>0.02</v>
      </c>
      <c r="F164" s="69" t="str">
        <f>_xlfn.IFNA(IF('Interactive Selection Sheet'!A82 = "", VLOOKUP('Interactive Selection Sheet'!$B82, 'Master List Import'!$A$1:$P$519, 4, FALSE), ""), "")</f>
        <v>Hygiene</v>
      </c>
      <c r="G164" s="69" t="str">
        <f>_xlfn.IFNA(IF('Interactive Selection Sheet'!A82 = "", VLOOKUP('Interactive Selection Sheet'!$B82, 'Master List Import'!$A$1:$P$519, 5, FALSE), ""), "")</f>
        <v>Hygiene</v>
      </c>
      <c r="H164" s="69" t="str">
        <f>_xlfn.IFNA(IF('Interactive Selection Sheet'!A82 = "", VLOOKUP('Interactive Selection Sheet'!$B82, 'Master List Import'!$A$1:$P$519, 6, FALSE), ""), "")</f>
        <v>Both</v>
      </c>
      <c r="I164" s="72">
        <f>_xlfn.IFNA(IF('Interactive Selection Sheet'!A82 = "", VLOOKUP('Interactive Selection Sheet'!$B82, 'Master List Import'!$A$1:$P$519, 7, FALSE), ""), "")</f>
        <v>0.53</v>
      </c>
      <c r="J164" s="69" t="str">
        <f>_xlfn.IFNA(IF('Interactive Selection Sheet'!A82 = "", VLOOKUP('Interactive Selection Sheet'!$B82, 'Master List Import'!$A$1:$P$519, 8, FALSE), ""), "")</f>
        <v>REI</v>
      </c>
      <c r="K164" s="69" t="str">
        <f>_xlfn.IFNA(IF('Interactive Selection Sheet'!A82 = "", VLOOKUP('Interactive Selection Sheet'!$B82, 'Master List Import'!$A$1:$P$519, 9, FALSE), ""), "")</f>
        <v>392992</v>
      </c>
      <c r="L164" s="69">
        <f>_xlfn.IFNA(IF('Interactive Selection Sheet'!A82 = "", VLOOKUP('Interactive Selection Sheet'!$B82, 'Master List Import'!$A$1:$P$519, 10, FALSE), ""), "")</f>
        <v>0</v>
      </c>
      <c r="M164" s="69">
        <f>_xlfn.IFNA(IF('Interactive Selection Sheet'!A82 = "", VLOOKUP('Interactive Selection Sheet'!$B82, 'Master List Import'!$A$1:$P$519, 11, FALSE), ""), "")</f>
        <v>0</v>
      </c>
      <c r="N164" s="69">
        <f>_xlfn.IFNA(IF('Interactive Selection Sheet'!A82 = "", VLOOKUP('Interactive Selection Sheet'!$B82, 'Master List Import'!$A$1:$P$519, 12, FALSE), ""), "")</f>
        <v>96</v>
      </c>
      <c r="O164" s="69">
        <f>_xlfn.IFNA(IF('Interactive Selection Sheet'!A82 = "", VLOOKUP('Interactive Selection Sheet'!$B82, 'Master List Import'!$A$1:$P$519, 13, FALSE), ""), "")</f>
        <v>4101</v>
      </c>
      <c r="P164" s="69" t="str">
        <f>_xlfn.IFNA(IF('Interactive Selection Sheet'!A82 = "", VLOOKUP('Interactive Selection Sheet'!$B82, 'Master List Import'!$A$1:$P$519, 14, FALSE), ""), "")</f>
        <v>Jergens Bar Soap</v>
      </c>
      <c r="Q164" s="69">
        <f>_xlfn.IFNA(IF('Interactive Selection Sheet'!A82 = "", VLOOKUP('Interactive Selection Sheet'!$B82, 'Master List Import'!$A$1:$P$519, 15, FALSE), ""), "")</f>
        <v>1</v>
      </c>
      <c r="R164" s="74">
        <f>_xlfn.IFNA(IF('Interactive Selection Sheet'!A82 = "", VLOOKUP('Interactive Selection Sheet'!$B82, 'Master List Import'!$A$1:$P$519, 16, FALSE), ""), "")</f>
        <v>1.8</v>
      </c>
    </row>
    <row r="165" spans="1:18" ht="21.75" customHeight="1" x14ac:dyDescent="0.25">
      <c r="A165" s="69">
        <f>_xlfn.IFNA(IF('Interactive Selection Sheet'!A83 = "", VLOOKUP('Interactive Selection Sheet'!$B83, 'Master List Import'!$A$1:$P$519, 2, FALSE), ""), "")</f>
        <v>4102</v>
      </c>
      <c r="B165" s="69" t="str">
        <f>_xlfn.IFNA(IF('Interactive Selection Sheet'!A83 = "", VLOOKUP('Interactive Selection Sheet'!$B83, 'Master List Import'!$A$1:$P$519, 3, FALSE), ""), "")</f>
        <v>Irish Spring Bar Soap, Original Green, 3.7oz bar - 80/cs</v>
      </c>
      <c r="C165" s="76">
        <f>IF('Interactive Selection Sheet'!$T$2="", "", IF(B165="","",'Interactive Selection Sheet'!$T$2))</f>
        <v>3.5000000000000003E-2</v>
      </c>
      <c r="D165" s="70">
        <f>IF(B165 = "", "", 'Interactive Selection Sheet'!$Q$2)</f>
        <v>4.4999999999999998E-2</v>
      </c>
      <c r="E165" s="70">
        <f>IF(B165="","", 'Interactive Selection Sheet'!$R$2)</f>
        <v>0.02</v>
      </c>
      <c r="F165" s="69" t="str">
        <f>_xlfn.IFNA(IF('Interactive Selection Sheet'!A83 = "", VLOOKUP('Interactive Selection Sheet'!$B83, 'Master List Import'!$A$1:$P$519, 4, FALSE), ""), "")</f>
        <v>Hygiene</v>
      </c>
      <c r="G165" s="69" t="str">
        <f>_xlfn.IFNA(IF('Interactive Selection Sheet'!A83 = "", VLOOKUP('Interactive Selection Sheet'!$B83, 'Master List Import'!$A$1:$P$519, 5, FALSE), ""), "")</f>
        <v>Hygiene</v>
      </c>
      <c r="H165" s="69" t="str">
        <f>_xlfn.IFNA(IF('Interactive Selection Sheet'!A83 = "", VLOOKUP('Interactive Selection Sheet'!$B83, 'Master List Import'!$A$1:$P$519, 6, FALSE), ""), "")</f>
        <v>Both</v>
      </c>
      <c r="I165" s="72">
        <f>_xlfn.IFNA(IF('Interactive Selection Sheet'!A83 = "", VLOOKUP('Interactive Selection Sheet'!$B83, 'Master List Import'!$A$1:$P$519, 7, FALSE), ""), "")</f>
        <v>0.58299999999999996</v>
      </c>
      <c r="J165" s="69" t="str">
        <f>_xlfn.IFNA(IF('Interactive Selection Sheet'!A83 = "", VLOOKUP('Interactive Selection Sheet'!$B83, 'Master List Import'!$A$1:$P$519, 8, FALSE), ""), "")</f>
        <v>REI</v>
      </c>
      <c r="K165" s="69" t="str">
        <f>_xlfn.IFNA(IF('Interactive Selection Sheet'!A83 = "", VLOOKUP('Interactive Selection Sheet'!$B83, 'Master List Import'!$A$1:$P$519, 9, FALSE), ""), "")</f>
        <v>598946</v>
      </c>
      <c r="L165" s="69">
        <f>_xlfn.IFNA(IF('Interactive Selection Sheet'!A83 = "", VLOOKUP('Interactive Selection Sheet'!$B83, 'Master List Import'!$A$1:$P$519, 10, FALSE), ""), "")</f>
        <v>0</v>
      </c>
      <c r="M165" s="69">
        <f>_xlfn.IFNA(IF('Interactive Selection Sheet'!A83 = "", VLOOKUP('Interactive Selection Sheet'!$B83, 'Master List Import'!$A$1:$P$519, 11, FALSE), ""), "")</f>
        <v>0</v>
      </c>
      <c r="N165" s="69">
        <f>_xlfn.IFNA(IF('Interactive Selection Sheet'!A83 = "", VLOOKUP('Interactive Selection Sheet'!$B83, 'Master List Import'!$A$1:$P$519, 12, FALSE), ""), "")</f>
        <v>80</v>
      </c>
      <c r="O165" s="69">
        <f>_xlfn.IFNA(IF('Interactive Selection Sheet'!A83 = "", VLOOKUP('Interactive Selection Sheet'!$B83, 'Master List Import'!$A$1:$P$519, 13, FALSE), ""), "")</f>
        <v>4102</v>
      </c>
      <c r="P165" s="69" t="str">
        <f>_xlfn.IFNA(IF('Interactive Selection Sheet'!A83 = "", VLOOKUP('Interactive Selection Sheet'!$B83, 'Master List Import'!$A$1:$P$519, 14, FALSE), ""), "")</f>
        <v>Irish Spring Bar Soap</v>
      </c>
      <c r="Q165" s="69">
        <f>_xlfn.IFNA(IF('Interactive Selection Sheet'!A83 = "", VLOOKUP('Interactive Selection Sheet'!$B83, 'Master List Import'!$A$1:$P$519, 15, FALSE), ""), "")</f>
        <v>1</v>
      </c>
      <c r="R165" s="74">
        <f>_xlfn.IFNA(IF('Interactive Selection Sheet'!A83 = "", VLOOKUP('Interactive Selection Sheet'!$B83, 'Master List Import'!$A$1:$P$519, 16, FALSE), ""), "")</f>
        <v>2</v>
      </c>
    </row>
    <row r="166" spans="1:18" ht="21.75" customHeight="1" x14ac:dyDescent="0.25">
      <c r="A166" s="69">
        <f>_xlfn.IFNA(IF('Interactive Selection Sheet'!A84 = "", VLOOKUP('Interactive Selection Sheet'!$B84, 'Master List Import'!$A$1:$P$519, 2, FALSE), ""), "")</f>
        <v>4103</v>
      </c>
      <c r="B166" s="69" t="str">
        <f>_xlfn.IFNA(IF('Interactive Selection Sheet'!A84 = "", VLOOKUP('Interactive Selection Sheet'!$B84, 'Master List Import'!$A$1:$P$519, 3, FALSE), ""), "")</f>
        <v>Freshscent Deodorant Soap, 3oz</v>
      </c>
      <c r="C166" s="76">
        <f>IF('Interactive Selection Sheet'!$T$2="", "", IF(B166="","",'Interactive Selection Sheet'!$T$2))</f>
        <v>3.5000000000000003E-2</v>
      </c>
      <c r="D166" s="70">
        <f>IF(B166 = "", "", 'Interactive Selection Sheet'!$Q$2)</f>
        <v>4.4999999999999998E-2</v>
      </c>
      <c r="E166" s="70">
        <f>IF(B166="","", 'Interactive Selection Sheet'!$R$2)</f>
        <v>0.02</v>
      </c>
      <c r="F166" s="69" t="str">
        <f>_xlfn.IFNA(IF('Interactive Selection Sheet'!A84 = "", VLOOKUP('Interactive Selection Sheet'!$B84, 'Master List Import'!$A$1:$P$519, 4, FALSE), ""), "")</f>
        <v>Hygiene</v>
      </c>
      <c r="G166" s="69" t="str">
        <f>_xlfn.IFNA(IF('Interactive Selection Sheet'!A84 = "", VLOOKUP('Interactive Selection Sheet'!$B84, 'Master List Import'!$A$1:$P$519, 5, FALSE), ""), "")</f>
        <v>Hygiene</v>
      </c>
      <c r="H166" s="69" t="str">
        <f>_xlfn.IFNA(IF('Interactive Selection Sheet'!A84 = "", VLOOKUP('Interactive Selection Sheet'!$B84, 'Master List Import'!$A$1:$P$519, 6, FALSE), ""), "")</f>
        <v>Both</v>
      </c>
      <c r="I166" s="72">
        <f>_xlfn.IFNA(IF('Interactive Selection Sheet'!A84 = "", VLOOKUP('Interactive Selection Sheet'!$B84, 'Master List Import'!$A$1:$P$519, 7, FALSE), ""), "")</f>
        <v>0.25</v>
      </c>
      <c r="J166" s="69" t="str">
        <f>_xlfn.IFNA(IF('Interactive Selection Sheet'!A84 = "", VLOOKUP('Interactive Selection Sheet'!$B84, 'Master List Import'!$A$1:$P$519, 8, FALSE), ""), "")</f>
        <v>REI</v>
      </c>
      <c r="K166" s="69" t="str">
        <f>_xlfn.IFNA(IF('Interactive Selection Sheet'!A84 = "", VLOOKUP('Interactive Selection Sheet'!$B84, 'Master List Import'!$A$1:$P$519, 9, FALSE), ""), "")</f>
        <v>400930</v>
      </c>
      <c r="L166" s="69">
        <f>_xlfn.IFNA(IF('Interactive Selection Sheet'!A84 = "", VLOOKUP('Interactive Selection Sheet'!$B84, 'Master List Import'!$A$1:$P$519, 10, FALSE), ""), "")</f>
        <v>0</v>
      </c>
      <c r="M166" s="69">
        <f>_xlfn.IFNA(IF('Interactive Selection Sheet'!A84 = "", VLOOKUP('Interactive Selection Sheet'!$B84, 'Master List Import'!$A$1:$P$519, 11, FALSE), ""), "")</f>
        <v>0</v>
      </c>
      <c r="N166" s="69">
        <f>_xlfn.IFNA(IF('Interactive Selection Sheet'!A84 = "", VLOOKUP('Interactive Selection Sheet'!$B84, 'Master List Import'!$A$1:$P$519, 12, FALSE), ""), "")</f>
        <v>72</v>
      </c>
      <c r="O166" s="69">
        <f>_xlfn.IFNA(IF('Interactive Selection Sheet'!A84 = "", VLOOKUP('Interactive Selection Sheet'!$B84, 'Master List Import'!$A$1:$P$519, 13, FALSE), ""), "")</f>
        <v>4103</v>
      </c>
      <c r="P166" s="69" t="str">
        <f>_xlfn.IFNA(IF('Interactive Selection Sheet'!A84 = "", VLOOKUP('Interactive Selection Sheet'!$B84, 'Master List Import'!$A$1:$P$519, 14, FALSE), ""), "")</f>
        <v>Freshscent Bar Soap</v>
      </c>
      <c r="Q166" s="69">
        <f>_xlfn.IFNA(IF('Interactive Selection Sheet'!A84 = "", VLOOKUP('Interactive Selection Sheet'!$B84, 'Master List Import'!$A$1:$P$519, 15, FALSE), ""), "")</f>
        <v>1</v>
      </c>
      <c r="R166" s="74">
        <f>_xlfn.IFNA(IF('Interactive Selection Sheet'!A84 = "", VLOOKUP('Interactive Selection Sheet'!$B84, 'Master List Import'!$A$1:$P$519, 16, FALSE), ""), "")</f>
        <v>1.25</v>
      </c>
    </row>
    <row r="167" spans="1:18" ht="21.75" customHeight="1" x14ac:dyDescent="0.25">
      <c r="A167" s="69">
        <f>_xlfn.IFNA(IF('Interactive Selection Sheet'!A85 = "", VLOOKUP('Interactive Selection Sheet'!$B85, 'Master List Import'!$A$1:$P$519, 2, FALSE), ""), "")</f>
        <v>4104</v>
      </c>
      <c r="B167" s="69" t="str">
        <f>_xlfn.IFNA(IF('Interactive Selection Sheet'!A85 = "", VLOOKUP('Interactive Selection Sheet'!$B85, 'Master List Import'!$A$1:$P$519, 3, FALSE), ""), "")</f>
        <v>Dial Antibacterial Gold Soap - 88/cs</v>
      </c>
      <c r="C167" s="76">
        <f>IF('Interactive Selection Sheet'!$T$2="", "", IF(B167="","",'Interactive Selection Sheet'!$T$2))</f>
        <v>3.5000000000000003E-2</v>
      </c>
      <c r="D167" s="70">
        <f>IF(B167 = "", "", 'Interactive Selection Sheet'!$Q$2)</f>
        <v>4.4999999999999998E-2</v>
      </c>
      <c r="E167" s="70">
        <f>IF(B167="","", 'Interactive Selection Sheet'!$R$2)</f>
        <v>0.02</v>
      </c>
      <c r="F167" s="69" t="str">
        <f>_xlfn.IFNA(IF('Interactive Selection Sheet'!A85 = "", VLOOKUP('Interactive Selection Sheet'!$B85, 'Master List Import'!$A$1:$P$519, 4, FALSE), ""), "")</f>
        <v>Hygiene</v>
      </c>
      <c r="G167" s="69" t="str">
        <f>_xlfn.IFNA(IF('Interactive Selection Sheet'!A85 = "", VLOOKUP('Interactive Selection Sheet'!$B85, 'Master List Import'!$A$1:$P$519, 5, FALSE), ""), "")</f>
        <v>Hygiene</v>
      </c>
      <c r="H167" s="69" t="str">
        <f>_xlfn.IFNA(IF('Interactive Selection Sheet'!A85 = "", VLOOKUP('Interactive Selection Sheet'!$B85, 'Master List Import'!$A$1:$P$519, 6, FALSE), ""), "")</f>
        <v>Both</v>
      </c>
      <c r="I167" s="72">
        <f>_xlfn.IFNA(IF('Interactive Selection Sheet'!A85 = "", VLOOKUP('Interactive Selection Sheet'!$B85, 'Master List Import'!$A$1:$P$519, 7, FALSE), ""), "")</f>
        <v>0.65</v>
      </c>
      <c r="J167" s="69" t="str">
        <f>_xlfn.IFNA(IF('Interactive Selection Sheet'!A85 = "", VLOOKUP('Interactive Selection Sheet'!$B85, 'Master List Import'!$A$1:$P$519, 8, FALSE), ""), "")</f>
        <v>REI</v>
      </c>
      <c r="K167" s="69" t="str">
        <f>_xlfn.IFNA(IF('Interactive Selection Sheet'!A85 = "", VLOOKUP('Interactive Selection Sheet'!$B85, 'Master List Import'!$A$1:$P$519, 9, FALSE), ""), "")</f>
        <v>598375</v>
      </c>
      <c r="L167" s="69">
        <f>_xlfn.IFNA(IF('Interactive Selection Sheet'!A85 = "", VLOOKUP('Interactive Selection Sheet'!$B85, 'Master List Import'!$A$1:$P$519, 10, FALSE), ""), "")</f>
        <v>0</v>
      </c>
      <c r="M167" s="69">
        <f>_xlfn.IFNA(IF('Interactive Selection Sheet'!A85 = "", VLOOKUP('Interactive Selection Sheet'!$B85, 'Master List Import'!$A$1:$P$519, 11, FALSE), ""), "")</f>
        <v>0</v>
      </c>
      <c r="N167" s="69">
        <f>_xlfn.IFNA(IF('Interactive Selection Sheet'!A85 = "", VLOOKUP('Interactive Selection Sheet'!$B85, 'Master List Import'!$A$1:$P$519, 12, FALSE), ""), "")</f>
        <v>88</v>
      </c>
      <c r="O167" s="69">
        <f>_xlfn.IFNA(IF('Interactive Selection Sheet'!A85 = "", VLOOKUP('Interactive Selection Sheet'!$B85, 'Master List Import'!$A$1:$P$519, 13, FALSE), ""), "")</f>
        <v>4104</v>
      </c>
      <c r="P167" s="69" t="str">
        <f>_xlfn.IFNA(IF('Interactive Selection Sheet'!A85 = "", VLOOKUP('Interactive Selection Sheet'!$B85, 'Master List Import'!$A$1:$P$519, 14, FALSE), ""), "")</f>
        <v>Dial Gold Soap</v>
      </c>
      <c r="Q167" s="69">
        <f>_xlfn.IFNA(IF('Interactive Selection Sheet'!A85 = "", VLOOKUP('Interactive Selection Sheet'!$B85, 'Master List Import'!$A$1:$P$519, 15, FALSE), ""), "")</f>
        <v>1</v>
      </c>
      <c r="R167" s="74">
        <f>_xlfn.IFNA(IF('Interactive Selection Sheet'!A85 = "", VLOOKUP('Interactive Selection Sheet'!$B85, 'Master List Import'!$A$1:$P$519, 16, FALSE), ""), "")</f>
        <v>2.4</v>
      </c>
    </row>
    <row r="168" spans="1:18" ht="21.75" customHeight="1" x14ac:dyDescent="0.25">
      <c r="A168" s="69">
        <f>_xlfn.IFNA(IF('Interactive Selection Sheet'!A86 = "", VLOOKUP('Interactive Selection Sheet'!$B86, 'Master List Import'!$A$1:$P$519, 2, FALSE), ""), "")</f>
        <v>4108</v>
      </c>
      <c r="B168" s="69" t="str">
        <f>_xlfn.IFNA(IF('Interactive Selection Sheet'!A86 = "", VLOOKUP('Interactive Selection Sheet'!$B86, 'Master List Import'!$A$1:$P$519, 3, FALSE), ""), "")</f>
        <v>Ambi Cocoa Butter Soap, 3.5oz - 24/cs</v>
      </c>
      <c r="C168" s="76">
        <f>IF('Interactive Selection Sheet'!$T$2="", "", IF(B168="","",'Interactive Selection Sheet'!$T$2))</f>
        <v>3.5000000000000003E-2</v>
      </c>
      <c r="D168" s="70">
        <f>IF(B168 = "", "", 'Interactive Selection Sheet'!$Q$2)</f>
        <v>4.4999999999999998E-2</v>
      </c>
      <c r="E168" s="70">
        <f>IF(B168="","", 'Interactive Selection Sheet'!$R$2)</f>
        <v>0.02</v>
      </c>
      <c r="F168" s="69" t="str">
        <f>_xlfn.IFNA(IF('Interactive Selection Sheet'!A86 = "", VLOOKUP('Interactive Selection Sheet'!$B86, 'Master List Import'!$A$1:$P$519, 4, FALSE), ""), "")</f>
        <v>Hygiene</v>
      </c>
      <c r="G168" s="69" t="str">
        <f>_xlfn.IFNA(IF('Interactive Selection Sheet'!A86 = "", VLOOKUP('Interactive Selection Sheet'!$B86, 'Master List Import'!$A$1:$P$519, 5, FALSE), ""), "")</f>
        <v>Hygiene</v>
      </c>
      <c r="H168" s="69" t="str">
        <f>_xlfn.IFNA(IF('Interactive Selection Sheet'!A86 = "", VLOOKUP('Interactive Selection Sheet'!$B86, 'Master List Import'!$A$1:$P$519, 6, FALSE), ""), "")</f>
        <v>Both</v>
      </c>
      <c r="I168" s="72">
        <f>_xlfn.IFNA(IF('Interactive Selection Sheet'!A86 = "", VLOOKUP('Interactive Selection Sheet'!$B86, 'Master List Import'!$A$1:$P$519, 7, FALSE), ""), "")</f>
        <v>1.6</v>
      </c>
      <c r="J168" s="69" t="str">
        <f>_xlfn.IFNA(IF('Interactive Selection Sheet'!A86 = "", VLOOKUP('Interactive Selection Sheet'!$B86, 'Master List Import'!$A$1:$P$519, 8, FALSE), ""), "")</f>
        <v>REI</v>
      </c>
      <c r="K168" s="69" t="str">
        <f>_xlfn.IFNA(IF('Interactive Selection Sheet'!A86 = "", VLOOKUP('Interactive Selection Sheet'!$B86, 'Master List Import'!$A$1:$P$519, 9, FALSE), ""), "")</f>
        <v>392210</v>
      </c>
      <c r="L168" s="69">
        <f>_xlfn.IFNA(IF('Interactive Selection Sheet'!A86 = "", VLOOKUP('Interactive Selection Sheet'!$B86, 'Master List Import'!$A$1:$P$519, 10, FALSE), ""), "")</f>
        <v>0</v>
      </c>
      <c r="M168" s="69">
        <f>_xlfn.IFNA(IF('Interactive Selection Sheet'!A86 = "", VLOOKUP('Interactive Selection Sheet'!$B86, 'Master List Import'!$A$1:$P$519, 11, FALSE), ""), "")</f>
        <v>0</v>
      </c>
      <c r="N168" s="69">
        <f>_xlfn.IFNA(IF('Interactive Selection Sheet'!A86 = "", VLOOKUP('Interactive Selection Sheet'!$B86, 'Master List Import'!$A$1:$P$519, 12, FALSE), ""), "")</f>
        <v>24</v>
      </c>
      <c r="O168" s="69">
        <f>_xlfn.IFNA(IF('Interactive Selection Sheet'!A86 = "", VLOOKUP('Interactive Selection Sheet'!$B86, 'Master List Import'!$A$1:$P$519, 13, FALSE), ""), "")</f>
        <v>4108</v>
      </c>
      <c r="P168" s="69" t="str">
        <f>_xlfn.IFNA(IF('Interactive Selection Sheet'!A86 = "", VLOOKUP('Interactive Selection Sheet'!$B86, 'Master List Import'!$A$1:$P$519, 14, FALSE), ""), "")</f>
        <v>Ambi Cocoa Butter Soap</v>
      </c>
      <c r="Q168" s="69">
        <f>_xlfn.IFNA(IF('Interactive Selection Sheet'!A86 = "", VLOOKUP('Interactive Selection Sheet'!$B86, 'Master List Import'!$A$1:$P$519, 15, FALSE), ""), "")</f>
        <v>1</v>
      </c>
      <c r="R168" s="74">
        <f>_xlfn.IFNA(IF('Interactive Selection Sheet'!A86 = "", VLOOKUP('Interactive Selection Sheet'!$B86, 'Master List Import'!$A$1:$P$519, 16, FALSE), ""), "")</f>
        <v>5.6</v>
      </c>
    </row>
    <row r="169" spans="1:18" ht="21.75" customHeight="1" x14ac:dyDescent="0.25">
      <c r="A169" s="69">
        <f>_xlfn.IFNA(IF('Interactive Selection Sheet'!A87 = "", VLOOKUP('Interactive Selection Sheet'!$B87, 'Master List Import'!$A$1:$P$519, 2, FALSE), ""), "")</f>
        <v>4150</v>
      </c>
      <c r="B169" s="69" t="str">
        <f>_xlfn.IFNA(IF('Interactive Selection Sheet'!A87 = "", VLOOKUP('Interactive Selection Sheet'!$B87, 'Master List Import'!$A$1:$P$519, 3, FALSE), ""), "")</f>
        <v>Soap Dish, Hinged Box SD3 - 100/cs</v>
      </c>
      <c r="C169" s="76">
        <f>IF('Interactive Selection Sheet'!$T$2="", "", IF(B169="","",'Interactive Selection Sheet'!$T$2))</f>
        <v>3.5000000000000003E-2</v>
      </c>
      <c r="D169" s="70">
        <f>IF(B169 = "", "", 'Interactive Selection Sheet'!$Q$2)</f>
        <v>4.4999999999999998E-2</v>
      </c>
      <c r="E169" s="70">
        <f>IF(B169="","", 'Interactive Selection Sheet'!$R$2)</f>
        <v>0.02</v>
      </c>
      <c r="F169" s="69" t="str">
        <f>_xlfn.IFNA(IF('Interactive Selection Sheet'!A87 = "", VLOOKUP('Interactive Selection Sheet'!$B87, 'Master List Import'!$A$1:$P$519, 4, FALSE), ""), "")</f>
        <v>Hygiene</v>
      </c>
      <c r="G169" s="69" t="str">
        <f>_xlfn.IFNA(IF('Interactive Selection Sheet'!A87 = "", VLOOKUP('Interactive Selection Sheet'!$B87, 'Master List Import'!$A$1:$P$519, 5, FALSE), ""), "")</f>
        <v>Hygiene</v>
      </c>
      <c r="H169" s="69" t="str">
        <f>_xlfn.IFNA(IF('Interactive Selection Sheet'!A87 = "", VLOOKUP('Interactive Selection Sheet'!$B87, 'Master List Import'!$A$1:$P$519, 6, FALSE), ""), "")</f>
        <v>Both</v>
      </c>
      <c r="I169" s="72">
        <f>_xlfn.IFNA(IF('Interactive Selection Sheet'!A87 = "", VLOOKUP('Interactive Selection Sheet'!$B87, 'Master List Import'!$A$1:$P$519, 7, FALSE), ""), "")</f>
        <v>0.18360000000000001</v>
      </c>
      <c r="J169" s="69" t="str">
        <f>_xlfn.IFNA(IF('Interactive Selection Sheet'!A87 = "", VLOOKUP('Interactive Selection Sheet'!$B87, 'Master List Import'!$A$1:$P$519, 8, FALSE), ""), "")</f>
        <v>REI</v>
      </c>
      <c r="K169" s="69" t="str">
        <f>_xlfn.IFNA(IF('Interactive Selection Sheet'!A87 = "", VLOOKUP('Interactive Selection Sheet'!$B87, 'Master List Import'!$A$1:$P$519, 9, FALSE), ""), "")</f>
        <v>602751</v>
      </c>
      <c r="L169" s="69">
        <f>_xlfn.IFNA(IF('Interactive Selection Sheet'!A87 = "", VLOOKUP('Interactive Selection Sheet'!$B87, 'Master List Import'!$A$1:$P$519, 10, FALSE), ""), "")</f>
        <v>0</v>
      </c>
      <c r="M169" s="69">
        <f>_xlfn.IFNA(IF('Interactive Selection Sheet'!A87 = "", VLOOKUP('Interactive Selection Sheet'!$B87, 'Master List Import'!$A$1:$P$519, 11, FALSE), ""), "")</f>
        <v>0</v>
      </c>
      <c r="N169" s="69">
        <f>_xlfn.IFNA(IF('Interactive Selection Sheet'!A87 = "", VLOOKUP('Interactive Selection Sheet'!$B87, 'Master List Import'!$A$1:$P$519, 12, FALSE), ""), "")</f>
        <v>100</v>
      </c>
      <c r="O169" s="69">
        <f>_xlfn.IFNA(IF('Interactive Selection Sheet'!A87 = "", VLOOKUP('Interactive Selection Sheet'!$B87, 'Master List Import'!$A$1:$P$519, 13, FALSE), ""), "")</f>
        <v>4150</v>
      </c>
      <c r="P169" s="69" t="str">
        <f>_xlfn.IFNA(IF('Interactive Selection Sheet'!A87 = "", VLOOKUP('Interactive Selection Sheet'!$B87, 'Master List Import'!$A$1:$P$519, 14, FALSE), ""), "")</f>
        <v>Soap Dish</v>
      </c>
      <c r="Q169" s="69">
        <f>_xlfn.IFNA(IF('Interactive Selection Sheet'!A87 = "", VLOOKUP('Interactive Selection Sheet'!$B87, 'Master List Import'!$A$1:$P$519, 15, FALSE), ""), "")</f>
        <v>1</v>
      </c>
      <c r="R169" s="74">
        <f>_xlfn.IFNA(IF('Interactive Selection Sheet'!A87 = "", VLOOKUP('Interactive Selection Sheet'!$B87, 'Master List Import'!$A$1:$P$519, 16, FALSE), ""), "")</f>
        <v>0.75</v>
      </c>
    </row>
    <row r="170" spans="1:18" ht="21.75" customHeight="1" x14ac:dyDescent="0.25">
      <c r="A170" s="69">
        <f>_xlfn.IFNA(IF('Interactive Selection Sheet'!A90 = "", VLOOKUP('Interactive Selection Sheet'!$B90, 'Master List Import'!$A$1:$P$519, 2, FALSE), ""), "")</f>
        <v>4200</v>
      </c>
      <c r="B170" s="69" t="str">
        <f>_xlfn.IFNA(IF('Interactive Selection Sheet'!A90 = "", VLOOKUP('Interactive Selection Sheet'!$B90, 'Master List Import'!$A$1:$P$519, 3, FALSE), ""), "")</f>
        <v>Dial Roll-On Deodorant, 1.5oz</v>
      </c>
      <c r="C170" s="76">
        <f>IF('Interactive Selection Sheet'!$T$2="", "", IF(B170="","",'Interactive Selection Sheet'!$T$2))</f>
        <v>3.5000000000000003E-2</v>
      </c>
      <c r="D170" s="70">
        <f>IF(B170 = "", "", 'Interactive Selection Sheet'!$Q$2)</f>
        <v>4.4999999999999998E-2</v>
      </c>
      <c r="E170" s="70">
        <f>IF(B170="","", 'Interactive Selection Sheet'!$R$2)</f>
        <v>0.02</v>
      </c>
      <c r="F170" s="69" t="str">
        <f>_xlfn.IFNA(IF('Interactive Selection Sheet'!A90 = "", VLOOKUP('Interactive Selection Sheet'!$B90, 'Master List Import'!$A$1:$P$519, 4, FALSE), ""), "")</f>
        <v>Hygiene</v>
      </c>
      <c r="G170" s="69" t="str">
        <f>_xlfn.IFNA(IF('Interactive Selection Sheet'!A90 = "", VLOOKUP('Interactive Selection Sheet'!$B90, 'Master List Import'!$A$1:$P$519, 5, FALSE), ""), "")</f>
        <v>Hygiene</v>
      </c>
      <c r="H170" s="69" t="str">
        <f>_xlfn.IFNA(IF('Interactive Selection Sheet'!A90 = "", VLOOKUP('Interactive Selection Sheet'!$B90, 'Master List Import'!$A$1:$P$519, 6, FALSE), ""), "")</f>
        <v>Both</v>
      </c>
      <c r="I170" s="72">
        <f>_xlfn.IFNA(IF('Interactive Selection Sheet'!A90 = "", VLOOKUP('Interactive Selection Sheet'!$B90, 'Master List Import'!$A$1:$P$519, 7, FALSE), ""), "")</f>
        <v>0.87</v>
      </c>
      <c r="J170" s="69" t="str">
        <f>_xlfn.IFNA(IF('Interactive Selection Sheet'!A90 = "", VLOOKUP('Interactive Selection Sheet'!$B90, 'Master List Import'!$A$1:$P$519, 8, FALSE), ""), "")</f>
        <v>REI</v>
      </c>
      <c r="K170" s="69" t="str">
        <f>_xlfn.IFNA(IF('Interactive Selection Sheet'!A90 = "", VLOOKUP('Interactive Selection Sheet'!$B90, 'Master List Import'!$A$1:$P$519, 9, FALSE), ""), "")</f>
        <v>396885</v>
      </c>
      <c r="L170" s="69">
        <f>_xlfn.IFNA(IF('Interactive Selection Sheet'!A90 = "", VLOOKUP('Interactive Selection Sheet'!$B90, 'Master List Import'!$A$1:$P$519, 10, FALSE), ""), "")</f>
        <v>0</v>
      </c>
      <c r="M170" s="69">
        <f>_xlfn.IFNA(IF('Interactive Selection Sheet'!A90 = "", VLOOKUP('Interactive Selection Sheet'!$B90, 'Master List Import'!$A$1:$P$519, 11, FALSE), ""), "")</f>
        <v>0</v>
      </c>
      <c r="N170" s="69">
        <f>_xlfn.IFNA(IF('Interactive Selection Sheet'!A90 = "", VLOOKUP('Interactive Selection Sheet'!$B90, 'Master List Import'!$A$1:$P$519, 12, FALSE), ""), "")</f>
        <v>48</v>
      </c>
      <c r="O170" s="69">
        <f>_xlfn.IFNA(IF('Interactive Selection Sheet'!A90 = "", VLOOKUP('Interactive Selection Sheet'!$B90, 'Master List Import'!$A$1:$P$519, 13, FALSE), ""), "")</f>
        <v>4200</v>
      </c>
      <c r="P170" s="69" t="str">
        <f>_xlfn.IFNA(IF('Interactive Selection Sheet'!A90 = "", VLOOKUP('Interactive Selection Sheet'!$B90, 'Master List Import'!$A$1:$P$519, 14, FALSE), ""), "")</f>
        <v>Dial Roll-On Deodorant</v>
      </c>
      <c r="Q170" s="69">
        <f>_xlfn.IFNA(IF('Interactive Selection Sheet'!A90 = "", VLOOKUP('Interactive Selection Sheet'!$B90, 'Master List Import'!$A$1:$P$519, 15, FALSE), ""), "")</f>
        <v>1</v>
      </c>
      <c r="R170" s="74">
        <f>_xlfn.IFNA(IF('Interactive Selection Sheet'!A90 = "", VLOOKUP('Interactive Selection Sheet'!$B90, 'Master List Import'!$A$1:$P$519, 16, FALSE), ""), "")</f>
        <v>2.8</v>
      </c>
    </row>
    <row r="171" spans="1:18" ht="21.75" customHeight="1" x14ac:dyDescent="0.25">
      <c r="A171" s="69">
        <f>_xlfn.IFNA(IF('Interactive Selection Sheet'!A91 = "", VLOOKUP('Interactive Selection Sheet'!$B91, 'Master List Import'!$A$1:$P$519, 2, FALSE), ""), "")</f>
        <v>4201</v>
      </c>
      <c r="B171" s="69" t="str">
        <f>_xlfn.IFNA(IF('Interactive Selection Sheet'!A91 = "", VLOOKUP('Interactive Selection Sheet'!$B91, 'Master List Import'!$A$1:$P$519, 3, FALSE), ""), "")</f>
        <v>Freshscent Roll-On Deodorant, 1.5oz</v>
      </c>
      <c r="C171" s="76">
        <f>IF('Interactive Selection Sheet'!$T$2="", "", IF(B171="","",'Interactive Selection Sheet'!$T$2))</f>
        <v>3.5000000000000003E-2</v>
      </c>
      <c r="D171" s="70">
        <f>IF(B171 = "", "", 'Interactive Selection Sheet'!$Q$2)</f>
        <v>4.4999999999999998E-2</v>
      </c>
      <c r="E171" s="70">
        <f>IF(B171="","", 'Interactive Selection Sheet'!$R$2)</f>
        <v>0.02</v>
      </c>
      <c r="F171" s="69" t="str">
        <f>_xlfn.IFNA(IF('Interactive Selection Sheet'!A91 = "", VLOOKUP('Interactive Selection Sheet'!$B91, 'Master List Import'!$A$1:$P$519, 4, FALSE), ""), "")</f>
        <v>Hygiene</v>
      </c>
      <c r="G171" s="69" t="str">
        <f>_xlfn.IFNA(IF('Interactive Selection Sheet'!A91 = "", VLOOKUP('Interactive Selection Sheet'!$B91, 'Master List Import'!$A$1:$P$519, 5, FALSE), ""), "")</f>
        <v>Hygiene</v>
      </c>
      <c r="H171" s="69" t="str">
        <f>_xlfn.IFNA(IF('Interactive Selection Sheet'!A91 = "", VLOOKUP('Interactive Selection Sheet'!$B91, 'Master List Import'!$A$1:$P$519, 6, FALSE), ""), "")</f>
        <v>Both</v>
      </c>
      <c r="I171" s="72">
        <f>_xlfn.IFNA(IF('Interactive Selection Sheet'!A91 = "", VLOOKUP('Interactive Selection Sheet'!$B91, 'Master List Import'!$A$1:$P$519, 7, FALSE), ""), "")</f>
        <v>0.32</v>
      </c>
      <c r="J171" s="69" t="str">
        <f>_xlfn.IFNA(IF('Interactive Selection Sheet'!A91 = "", VLOOKUP('Interactive Selection Sheet'!$B91, 'Master List Import'!$A$1:$P$519, 8, FALSE), ""), "")</f>
        <v>REI</v>
      </c>
      <c r="K171" s="69" t="str">
        <f>_xlfn.IFNA(IF('Interactive Selection Sheet'!A91 = "", VLOOKUP('Interactive Selection Sheet'!$B91, 'Master List Import'!$A$1:$P$519, 9, FALSE), ""), "")</f>
        <v>400932</v>
      </c>
      <c r="L171" s="69">
        <f>_xlfn.IFNA(IF('Interactive Selection Sheet'!A91 = "", VLOOKUP('Interactive Selection Sheet'!$B91, 'Master List Import'!$A$1:$P$519, 10, FALSE), ""), "")</f>
        <v>0</v>
      </c>
      <c r="M171" s="69">
        <f>_xlfn.IFNA(IF('Interactive Selection Sheet'!A91 = "", VLOOKUP('Interactive Selection Sheet'!$B91, 'Master List Import'!$A$1:$P$519, 11, FALSE), ""), "")</f>
        <v>0</v>
      </c>
      <c r="N171" s="69">
        <f>_xlfn.IFNA(IF('Interactive Selection Sheet'!A91 = "", VLOOKUP('Interactive Selection Sheet'!$B91, 'Master List Import'!$A$1:$P$519, 12, FALSE), ""), "")</f>
        <v>96</v>
      </c>
      <c r="O171" s="69">
        <f>_xlfn.IFNA(IF('Interactive Selection Sheet'!A91 = "", VLOOKUP('Interactive Selection Sheet'!$B91, 'Master List Import'!$A$1:$P$519, 13, FALSE), ""), "")</f>
        <v>4201</v>
      </c>
      <c r="P171" s="69" t="str">
        <f>_xlfn.IFNA(IF('Interactive Selection Sheet'!A91 = "", VLOOKUP('Interactive Selection Sheet'!$B91, 'Master List Import'!$A$1:$P$519, 14, FALSE), ""), "")</f>
        <v>Freshscent Roll-On Deodorant</v>
      </c>
      <c r="Q171" s="69">
        <f>_xlfn.IFNA(IF('Interactive Selection Sheet'!A91 = "", VLOOKUP('Interactive Selection Sheet'!$B91, 'Master List Import'!$A$1:$P$519, 15, FALSE), ""), "")</f>
        <v>1</v>
      </c>
      <c r="R171" s="74">
        <f>_xlfn.IFNA(IF('Interactive Selection Sheet'!A91 = "", VLOOKUP('Interactive Selection Sheet'!$B91, 'Master List Import'!$A$1:$P$519, 16, FALSE), ""), "")</f>
        <v>1.1499999999999999</v>
      </c>
    </row>
    <row r="172" spans="1:18" ht="21.75" customHeight="1" x14ac:dyDescent="0.25">
      <c r="A172" s="69">
        <f>_xlfn.IFNA(IF('Interactive Selection Sheet'!A92 = "", VLOOKUP('Interactive Selection Sheet'!$B92, 'Master List Import'!$A$1:$P$519, 2, FALSE), ""), "")</f>
        <v>4210</v>
      </c>
      <c r="B172" s="69" t="str">
        <f>_xlfn.IFNA(IF('Interactive Selection Sheet'!A92 = "", VLOOKUP('Interactive Selection Sheet'!$B92, 'Master List Import'!$A$1:$P$519, 3, FALSE), ""), "")</f>
        <v>Lady Speed Stick Deoderant, Shower Fresh, 1.4oz stick - 12/cs</v>
      </c>
      <c r="C172" s="76">
        <f>IF('Interactive Selection Sheet'!$T$2="", "", IF(B172="","",'Interactive Selection Sheet'!$T$2))</f>
        <v>3.5000000000000003E-2</v>
      </c>
      <c r="D172" s="70">
        <f>IF(B172 = "", "", 'Interactive Selection Sheet'!$Q$2)</f>
        <v>4.4999999999999998E-2</v>
      </c>
      <c r="E172" s="70">
        <f>IF(B172="","", 'Interactive Selection Sheet'!$R$2)</f>
        <v>0.02</v>
      </c>
      <c r="F172" s="69" t="str">
        <f>_xlfn.IFNA(IF('Interactive Selection Sheet'!A92 = "", VLOOKUP('Interactive Selection Sheet'!$B92, 'Master List Import'!$A$1:$P$519, 4, FALSE), ""), "")</f>
        <v>Hygiene</v>
      </c>
      <c r="G172" s="69" t="str">
        <f>_xlfn.IFNA(IF('Interactive Selection Sheet'!A92 = "", VLOOKUP('Interactive Selection Sheet'!$B92, 'Master List Import'!$A$1:$P$519, 5, FALSE), ""), "")</f>
        <v>Hygiene</v>
      </c>
      <c r="H172" s="69" t="str">
        <f>_xlfn.IFNA(IF('Interactive Selection Sheet'!A92 = "", VLOOKUP('Interactive Selection Sheet'!$B92, 'Master List Import'!$A$1:$P$519, 6, FALSE), ""), "")</f>
        <v>Both</v>
      </c>
      <c r="I172" s="72">
        <f>_xlfn.IFNA(IF('Interactive Selection Sheet'!A92 = "", VLOOKUP('Interactive Selection Sheet'!$B92, 'Master List Import'!$A$1:$P$519, 7, FALSE), ""), "")</f>
        <v>1.4741</v>
      </c>
      <c r="J172" s="69" t="str">
        <f>_xlfn.IFNA(IF('Interactive Selection Sheet'!A92 = "", VLOOKUP('Interactive Selection Sheet'!$B92, 'Master List Import'!$A$1:$P$519, 8, FALSE), ""), "")</f>
        <v>REI</v>
      </c>
      <c r="K172" s="69" t="str">
        <f>_xlfn.IFNA(IF('Interactive Selection Sheet'!A92 = "", VLOOKUP('Interactive Selection Sheet'!$B92, 'Master List Import'!$A$1:$P$519, 9, FALSE), ""), "")</f>
        <v>397281</v>
      </c>
      <c r="L172" s="69">
        <f>_xlfn.IFNA(IF('Interactive Selection Sheet'!A92 = "", VLOOKUP('Interactive Selection Sheet'!$B92, 'Master List Import'!$A$1:$P$519, 10, FALSE), ""), "")</f>
        <v>0</v>
      </c>
      <c r="M172" s="69">
        <f>_xlfn.IFNA(IF('Interactive Selection Sheet'!A92 = "", VLOOKUP('Interactive Selection Sheet'!$B92, 'Master List Import'!$A$1:$P$519, 11, FALSE), ""), "")</f>
        <v>0</v>
      </c>
      <c r="N172" s="69">
        <f>_xlfn.IFNA(IF('Interactive Selection Sheet'!A92 = "", VLOOKUP('Interactive Selection Sheet'!$B92, 'Master List Import'!$A$1:$P$519, 12, FALSE), ""), "")</f>
        <v>12</v>
      </c>
      <c r="O172" s="69">
        <f>_xlfn.IFNA(IF('Interactive Selection Sheet'!A92 = "", VLOOKUP('Interactive Selection Sheet'!$B92, 'Master List Import'!$A$1:$P$519, 13, FALSE), ""), "")</f>
        <v>4210</v>
      </c>
      <c r="P172" s="69" t="str">
        <f>_xlfn.IFNA(IF('Interactive Selection Sheet'!A92 = "", VLOOKUP('Interactive Selection Sheet'!$B92, 'Master List Import'!$A$1:$P$519, 14, FALSE), ""), "")</f>
        <v>Lady Speed Stick, Shower Fresh</v>
      </c>
      <c r="Q172" s="69">
        <f>_xlfn.IFNA(IF('Interactive Selection Sheet'!A92 = "", VLOOKUP('Interactive Selection Sheet'!$B92, 'Master List Import'!$A$1:$P$519, 15, FALSE), ""), "")</f>
        <v>1</v>
      </c>
      <c r="R172" s="74">
        <f>_xlfn.IFNA(IF('Interactive Selection Sheet'!A92 = "", VLOOKUP('Interactive Selection Sheet'!$B92, 'Master List Import'!$A$1:$P$519, 16, FALSE), ""), "")</f>
        <v>4.5</v>
      </c>
    </row>
    <row r="173" spans="1:18" ht="21.75" customHeight="1" x14ac:dyDescent="0.25">
      <c r="A173" s="69">
        <f>_xlfn.IFNA(IF('Interactive Selection Sheet'!A93 = "", VLOOKUP('Interactive Selection Sheet'!$B93, 'Master List Import'!$A$1:$P$519, 2, FALSE), ""), "")</f>
        <v>4211</v>
      </c>
      <c r="B173" s="69" t="str">
        <f>_xlfn.IFNA(IF('Interactive Selection Sheet'!A93 = "", VLOOKUP('Interactive Selection Sheet'!$B93, 'Master List Import'!$A$1:$P$519, 3, FALSE), ""), "")</f>
        <v>Speed Stick Deoderant, Fresh Scent Green, 1.8oz stick - 12/cs</v>
      </c>
      <c r="C173" s="76">
        <f>IF('Interactive Selection Sheet'!$T$2="", "", IF(B173="","",'Interactive Selection Sheet'!$T$2))</f>
        <v>3.5000000000000003E-2</v>
      </c>
      <c r="D173" s="70">
        <f>IF(B173 = "", "", 'Interactive Selection Sheet'!$Q$2)</f>
        <v>4.4999999999999998E-2</v>
      </c>
      <c r="E173" s="70">
        <f>IF(B173="","", 'Interactive Selection Sheet'!$R$2)</f>
        <v>0.02</v>
      </c>
      <c r="F173" s="69" t="str">
        <f>_xlfn.IFNA(IF('Interactive Selection Sheet'!A93 = "", VLOOKUP('Interactive Selection Sheet'!$B93, 'Master List Import'!$A$1:$P$519, 4, FALSE), ""), "")</f>
        <v>Hygiene</v>
      </c>
      <c r="G173" s="69" t="str">
        <f>_xlfn.IFNA(IF('Interactive Selection Sheet'!A93 = "", VLOOKUP('Interactive Selection Sheet'!$B93, 'Master List Import'!$A$1:$P$519, 5, FALSE), ""), "")</f>
        <v>Hygiene</v>
      </c>
      <c r="H173" s="69" t="str">
        <f>_xlfn.IFNA(IF('Interactive Selection Sheet'!A93 = "", VLOOKUP('Interactive Selection Sheet'!$B93, 'Master List Import'!$A$1:$P$519, 6, FALSE), ""), "")</f>
        <v>Both</v>
      </c>
      <c r="I173" s="72">
        <f>_xlfn.IFNA(IF('Interactive Selection Sheet'!A93 = "", VLOOKUP('Interactive Selection Sheet'!$B93, 'Master List Import'!$A$1:$P$519, 7, FALSE), ""), "")</f>
        <v>1.5065999999999999</v>
      </c>
      <c r="J173" s="69" t="str">
        <f>_xlfn.IFNA(IF('Interactive Selection Sheet'!A93 = "", VLOOKUP('Interactive Selection Sheet'!$B93, 'Master List Import'!$A$1:$P$519, 8, FALSE), ""), "")</f>
        <v>REI</v>
      </c>
      <c r="K173" s="69" t="str">
        <f>_xlfn.IFNA(IF('Interactive Selection Sheet'!A93 = "", VLOOKUP('Interactive Selection Sheet'!$B93, 'Master List Import'!$A$1:$P$519, 9, FALSE), ""), "")</f>
        <v>397695</v>
      </c>
      <c r="L173" s="69">
        <f>_xlfn.IFNA(IF('Interactive Selection Sheet'!A93 = "", VLOOKUP('Interactive Selection Sheet'!$B93, 'Master List Import'!$A$1:$P$519, 10, FALSE), ""), "")</f>
        <v>0</v>
      </c>
      <c r="M173" s="69">
        <f>_xlfn.IFNA(IF('Interactive Selection Sheet'!A93 = "", VLOOKUP('Interactive Selection Sheet'!$B93, 'Master List Import'!$A$1:$P$519, 11, FALSE), ""), "")</f>
        <v>0</v>
      </c>
      <c r="N173" s="69">
        <f>_xlfn.IFNA(IF('Interactive Selection Sheet'!A93 = "", VLOOKUP('Interactive Selection Sheet'!$B93, 'Master List Import'!$A$1:$P$519, 12, FALSE), ""), "")</f>
        <v>12</v>
      </c>
      <c r="O173" s="69">
        <f>_xlfn.IFNA(IF('Interactive Selection Sheet'!A93 = "", VLOOKUP('Interactive Selection Sheet'!$B93, 'Master List Import'!$A$1:$P$519, 13, FALSE), ""), "")</f>
        <v>4211</v>
      </c>
      <c r="P173" s="69" t="str">
        <f>_xlfn.IFNA(IF('Interactive Selection Sheet'!A93 = "", VLOOKUP('Interactive Selection Sheet'!$B93, 'Master List Import'!$A$1:$P$519, 14, FALSE), ""), "")</f>
        <v>Speed Stick, Fresh Scent</v>
      </c>
      <c r="Q173" s="69">
        <f>_xlfn.IFNA(IF('Interactive Selection Sheet'!A93 = "", VLOOKUP('Interactive Selection Sheet'!$B93, 'Master List Import'!$A$1:$P$519, 15, FALSE), ""), "")</f>
        <v>1</v>
      </c>
      <c r="R173" s="74">
        <f>_xlfn.IFNA(IF('Interactive Selection Sheet'!A93 = "", VLOOKUP('Interactive Selection Sheet'!$B93, 'Master List Import'!$A$1:$P$519, 16, FALSE), ""), "")</f>
        <v>4.8499999999999996</v>
      </c>
    </row>
    <row r="174" spans="1:18" ht="21.75" customHeight="1" x14ac:dyDescent="0.25">
      <c r="A174" s="69">
        <f>_xlfn.IFNA(IF('Interactive Selection Sheet'!A94 = "", VLOOKUP('Interactive Selection Sheet'!$B94, 'Master List Import'!$A$1:$P$519, 2, FALSE), ""), "")</f>
        <v>4212</v>
      </c>
      <c r="B174" s="69" t="str">
        <f>_xlfn.IFNA(IF('Interactive Selection Sheet'!A94 = "", VLOOKUP('Interactive Selection Sheet'!$B94, 'Master List Import'!$A$1:$P$519, 3, FALSE), ""), "")</f>
        <v>Degree Solid Extreme Blast 12/1.7oz</v>
      </c>
      <c r="C174" s="76">
        <f>IF('Interactive Selection Sheet'!$T$2="", "", IF(B174="","",'Interactive Selection Sheet'!$T$2))</f>
        <v>3.5000000000000003E-2</v>
      </c>
      <c r="D174" s="70">
        <f>IF(B174 = "", "", 'Interactive Selection Sheet'!$Q$2)</f>
        <v>4.4999999999999998E-2</v>
      </c>
      <c r="E174" s="70">
        <f>IF(B174="","", 'Interactive Selection Sheet'!$R$2)</f>
        <v>0.02</v>
      </c>
      <c r="F174" s="69" t="str">
        <f>_xlfn.IFNA(IF('Interactive Selection Sheet'!A94 = "", VLOOKUP('Interactive Selection Sheet'!$B94, 'Master List Import'!$A$1:$P$519, 4, FALSE), ""), "")</f>
        <v>Hygiene</v>
      </c>
      <c r="G174" s="69" t="str">
        <f>_xlfn.IFNA(IF('Interactive Selection Sheet'!A94 = "", VLOOKUP('Interactive Selection Sheet'!$B94, 'Master List Import'!$A$1:$P$519, 5, FALSE), ""), "")</f>
        <v>Hygiene</v>
      </c>
      <c r="H174" s="69" t="str">
        <f>_xlfn.IFNA(IF('Interactive Selection Sheet'!A94 = "", VLOOKUP('Interactive Selection Sheet'!$B94, 'Master List Import'!$A$1:$P$519, 6, FALSE), ""), "")</f>
        <v>Both</v>
      </c>
      <c r="I174" s="72">
        <f>_xlfn.IFNA(IF('Interactive Selection Sheet'!A94 = "", VLOOKUP('Interactive Selection Sheet'!$B94, 'Master List Import'!$A$1:$P$519, 7, FALSE), ""), "")</f>
        <v>1.87</v>
      </c>
      <c r="J174" s="69" t="str">
        <f>_xlfn.IFNA(IF('Interactive Selection Sheet'!A94 = "", VLOOKUP('Interactive Selection Sheet'!$B94, 'Master List Import'!$A$1:$P$519, 8, FALSE), ""), "")</f>
        <v>REI</v>
      </c>
      <c r="K174" s="69" t="str">
        <f>_xlfn.IFNA(IF('Interactive Selection Sheet'!A94 = "", VLOOKUP('Interactive Selection Sheet'!$B94, 'Master List Import'!$A$1:$P$519, 9, FALSE), ""), "")</f>
        <v>396879</v>
      </c>
      <c r="L174" s="69">
        <f>_xlfn.IFNA(IF('Interactive Selection Sheet'!A94 = "", VLOOKUP('Interactive Selection Sheet'!$B94, 'Master List Import'!$A$1:$P$519, 10, FALSE), ""), "")</f>
        <v>0</v>
      </c>
      <c r="M174" s="69">
        <f>_xlfn.IFNA(IF('Interactive Selection Sheet'!A94 = "", VLOOKUP('Interactive Selection Sheet'!$B94, 'Master List Import'!$A$1:$P$519, 11, FALSE), ""), "")</f>
        <v>0</v>
      </c>
      <c r="N174" s="69">
        <f>_xlfn.IFNA(IF('Interactive Selection Sheet'!A94 = "", VLOOKUP('Interactive Selection Sheet'!$B94, 'Master List Import'!$A$1:$P$519, 12, FALSE), ""), "")</f>
        <v>12</v>
      </c>
      <c r="O174" s="69">
        <f>_xlfn.IFNA(IF('Interactive Selection Sheet'!A94 = "", VLOOKUP('Interactive Selection Sheet'!$B94, 'Master List Import'!$A$1:$P$519, 13, FALSE), ""), "")</f>
        <v>4212</v>
      </c>
      <c r="P174" s="69" t="str">
        <f>_xlfn.IFNA(IF('Interactive Selection Sheet'!A94 = "", VLOOKUP('Interactive Selection Sheet'!$B94, 'Master List Import'!$A$1:$P$519, 14, FALSE), ""), "")</f>
        <v>Degree Solid, Extreme Blast</v>
      </c>
      <c r="Q174" s="69">
        <f>_xlfn.IFNA(IF('Interactive Selection Sheet'!A94 = "", VLOOKUP('Interactive Selection Sheet'!$B94, 'Master List Import'!$A$1:$P$519, 15, FALSE), ""), "")</f>
        <v>1</v>
      </c>
      <c r="R174" s="74">
        <f>_xlfn.IFNA(IF('Interactive Selection Sheet'!A94 = "", VLOOKUP('Interactive Selection Sheet'!$B94, 'Master List Import'!$A$1:$P$519, 16, FALSE), ""), "")</f>
        <v>6</v>
      </c>
    </row>
    <row r="175" spans="1:18" ht="21.75" customHeight="1" x14ac:dyDescent="0.25">
      <c r="A175" s="69">
        <f>_xlfn.IFNA(IF('Interactive Selection Sheet'!A95 = "", VLOOKUP('Interactive Selection Sheet'!$B95, 'Master List Import'!$A$1:$P$519, 2, FALSE), ""), "")</f>
        <v>4213</v>
      </c>
      <c r="B175" s="69" t="str">
        <f>_xlfn.IFNA(IF('Interactive Selection Sheet'!A95 = "", VLOOKUP('Interactive Selection Sheet'!$B95, 'Master List Import'!$A$1:$P$519, 3, FALSE), ""), "")</f>
        <v>Suave Powder Scent A/P Deodorant 12/1.4oz</v>
      </c>
      <c r="C175" s="76">
        <f>IF('Interactive Selection Sheet'!$T$2="", "", IF(B175="","",'Interactive Selection Sheet'!$T$2))</f>
        <v>3.5000000000000003E-2</v>
      </c>
      <c r="D175" s="70">
        <f>IF(B175 = "", "", 'Interactive Selection Sheet'!$Q$2)</f>
        <v>4.4999999999999998E-2</v>
      </c>
      <c r="E175" s="70">
        <f>IF(B175="","", 'Interactive Selection Sheet'!$R$2)</f>
        <v>0.02</v>
      </c>
      <c r="F175" s="69" t="str">
        <f>_xlfn.IFNA(IF('Interactive Selection Sheet'!A95 = "", VLOOKUP('Interactive Selection Sheet'!$B95, 'Master List Import'!$A$1:$P$519, 4, FALSE), ""), "")</f>
        <v>Hygiene</v>
      </c>
      <c r="G175" s="69" t="str">
        <f>_xlfn.IFNA(IF('Interactive Selection Sheet'!A95 = "", VLOOKUP('Interactive Selection Sheet'!$B95, 'Master List Import'!$A$1:$P$519, 5, FALSE), ""), "")</f>
        <v>Hygiene</v>
      </c>
      <c r="H175" s="69" t="str">
        <f>_xlfn.IFNA(IF('Interactive Selection Sheet'!A95 = "", VLOOKUP('Interactive Selection Sheet'!$B95, 'Master List Import'!$A$1:$P$519, 6, FALSE), ""), "")</f>
        <v>Both</v>
      </c>
      <c r="I175" s="72">
        <f>_xlfn.IFNA(IF('Interactive Selection Sheet'!A95 = "", VLOOKUP('Interactive Selection Sheet'!$B95, 'Master List Import'!$A$1:$P$519, 7, FALSE), ""), "")</f>
        <v>1.3</v>
      </c>
      <c r="J175" s="69" t="str">
        <f>_xlfn.IFNA(IF('Interactive Selection Sheet'!A95 = "", VLOOKUP('Interactive Selection Sheet'!$B95, 'Master List Import'!$A$1:$P$519, 8, FALSE), ""), "")</f>
        <v>REI</v>
      </c>
      <c r="K175" s="69" t="str">
        <f>_xlfn.IFNA(IF('Interactive Selection Sheet'!A95 = "", VLOOKUP('Interactive Selection Sheet'!$B95, 'Master List Import'!$A$1:$P$519, 9, FALSE), ""), "")</f>
        <v>397789</v>
      </c>
      <c r="L175" s="69">
        <f>_xlfn.IFNA(IF('Interactive Selection Sheet'!A95 = "", VLOOKUP('Interactive Selection Sheet'!$B95, 'Master List Import'!$A$1:$P$519, 10, FALSE), ""), "")</f>
        <v>0</v>
      </c>
      <c r="M175" s="69">
        <f>_xlfn.IFNA(IF('Interactive Selection Sheet'!A95 = "", VLOOKUP('Interactive Selection Sheet'!$B95, 'Master List Import'!$A$1:$P$519, 11, FALSE), ""), "")</f>
        <v>0</v>
      </c>
      <c r="N175" s="69">
        <f>_xlfn.IFNA(IF('Interactive Selection Sheet'!A95 = "", VLOOKUP('Interactive Selection Sheet'!$B95, 'Master List Import'!$A$1:$P$519, 12, FALSE), ""), "")</f>
        <v>12</v>
      </c>
      <c r="O175" s="69">
        <f>_xlfn.IFNA(IF('Interactive Selection Sheet'!A95 = "", VLOOKUP('Interactive Selection Sheet'!$B95, 'Master List Import'!$A$1:$P$519, 13, FALSE), ""), "")</f>
        <v>4213</v>
      </c>
      <c r="P175" s="69" t="str">
        <f>_xlfn.IFNA(IF('Interactive Selection Sheet'!A95 = "", VLOOKUP('Interactive Selection Sheet'!$B95, 'Master List Import'!$A$1:$P$519, 14, FALSE), ""), "")</f>
        <v>Suave, Powder Scent</v>
      </c>
      <c r="Q175" s="69">
        <f>_xlfn.IFNA(IF('Interactive Selection Sheet'!A95 = "", VLOOKUP('Interactive Selection Sheet'!$B95, 'Master List Import'!$A$1:$P$519, 15, FALSE), ""), "")</f>
        <v>1</v>
      </c>
      <c r="R175" s="74">
        <f>_xlfn.IFNA(IF('Interactive Selection Sheet'!A95 = "", VLOOKUP('Interactive Selection Sheet'!$B95, 'Master List Import'!$A$1:$P$519, 16, FALSE), ""), "")</f>
        <v>4.5</v>
      </c>
    </row>
    <row r="176" spans="1:18" ht="21.75" customHeight="1" x14ac:dyDescent="0.25">
      <c r="A176" s="69">
        <f>_xlfn.IFNA(IF('Interactive Selection Sheet'!$K83= "", VLOOKUP('Interactive Selection Sheet'!$L83, 'Master List Import'!$A$1:$P$519, 2, FALSE), ""), "")</f>
        <v>4301</v>
      </c>
      <c r="B176" s="69" t="str">
        <f>_xlfn.IFNA(IF('Interactive Selection Sheet'!$K83= "", VLOOKUP('Interactive Selection Sheet'!$L83, 'Master List Import'!$A$1:$P$519, 3, FALSE), ""), "")</f>
        <v>Magic Shave Cream (Regular), 6oz tube - 6/cs</v>
      </c>
      <c r="C176" s="76">
        <f>IF('Interactive Selection Sheet'!$T$2="", "", IF(B176="","",'Interactive Selection Sheet'!$T$2))</f>
        <v>3.5000000000000003E-2</v>
      </c>
      <c r="D176" s="70">
        <f>IF(B176 = "", "", 'Interactive Selection Sheet'!$Q$2)</f>
        <v>4.4999999999999998E-2</v>
      </c>
      <c r="E176" s="70">
        <f>IF(B176="","", 'Interactive Selection Sheet'!$R$2)</f>
        <v>0.02</v>
      </c>
      <c r="F176" s="69" t="str">
        <f>_xlfn.IFNA(IF('Interactive Selection Sheet'!K83= "", VLOOKUP('Interactive Selection Sheet'!$L83, 'Master List Import'!$A$1:$P$519, 4, FALSE), ""), "")</f>
        <v>Hygiene</v>
      </c>
      <c r="G176" s="69" t="str">
        <f>_xlfn.IFNA(IF('Interactive Selection Sheet'!K83= "", VLOOKUP('Interactive Selection Sheet'!$L83, 'Master List Import'!$A$1:$P$519, 5, FALSE), ""), "")</f>
        <v>Hygiene</v>
      </c>
      <c r="H176" s="69" t="str">
        <f>_xlfn.IFNA(IF('Interactive Selection Sheet'!K83= "", VLOOKUP('Interactive Selection Sheet'!$L83, 'Master List Import'!$A$1:$P$519, 6, FALSE), ""), "")</f>
        <v>Both</v>
      </c>
      <c r="I176" s="72">
        <f>_xlfn.IFNA(IF('Interactive Selection Sheet'!K83= "", VLOOKUP('Interactive Selection Sheet'!$L83, 'Master List Import'!$A$1:$P$519, 7, FALSE), ""), "")</f>
        <v>3</v>
      </c>
      <c r="J176" s="69" t="str">
        <f>_xlfn.IFNA(IF('Interactive Selection Sheet'!K83= "", VLOOKUP('Interactive Selection Sheet'!$L83, 'Master List Import'!$A$1:$P$519, 8, FALSE), ""), "")</f>
        <v>REI</v>
      </c>
      <c r="K176" s="69" t="str">
        <f>_xlfn.IFNA(IF('Interactive Selection Sheet'!K83= "", VLOOKUP('Interactive Selection Sheet'!$L83, 'Master List Import'!$A$1:$P$519, 9, FALSE), ""), "")</f>
        <v>399951</v>
      </c>
      <c r="L176" s="69">
        <f>_xlfn.IFNA(IF('Interactive Selection Sheet'!K83= "", VLOOKUP('Interactive Selection Sheet'!$L83, 'Master List Import'!$A$1:$P$519, 10, FALSE), ""), "")</f>
        <v>0</v>
      </c>
      <c r="M176" s="69">
        <f>_xlfn.IFNA(IF('Interactive Selection Sheet'!K83= "", VLOOKUP('Interactive Selection Sheet'!$L83, 'Master List Import'!$A$1:$P$519, 11, FALSE), ""), "")</f>
        <v>0</v>
      </c>
      <c r="N176" s="69">
        <f>_xlfn.IFNA(IF('Interactive Selection Sheet'!K83= "", VLOOKUP('Interactive Selection Sheet'!$L83, 'Master List Import'!$A$1:$P$519, 12, FALSE), ""), "")</f>
        <v>6</v>
      </c>
      <c r="O176" s="69">
        <f>_xlfn.IFNA(IF('Interactive Selection Sheet'!K83= "", VLOOKUP('Interactive Selection Sheet'!$L83, 'Master List Import'!$A$1:$P$519, 13, FALSE), ""), "")</f>
        <v>4301</v>
      </c>
      <c r="P176" s="69" t="str">
        <f>_xlfn.IFNA(IF('Interactive Selection Sheet'!K83= "", VLOOKUP('Interactive Selection Sheet'!$L83, 'Master List Import'!$A$1:$P$519, 14, FALSE), ""), "")</f>
        <v>Magic Shave Cream</v>
      </c>
      <c r="Q176" s="69">
        <f>_xlfn.IFNA(IF('Interactive Selection Sheet'!K83= "", VLOOKUP('Interactive Selection Sheet'!$L83, 'Master List Import'!$A$1:$P$519, 15, FALSE), ""), "")</f>
        <v>1</v>
      </c>
      <c r="R176" s="74">
        <f>_xlfn.IFNA(IF('Interactive Selection Sheet'!K83= "", VLOOKUP('Interactive Selection Sheet'!$L83, 'Master List Import'!$A$1:$P$519, 16, FALSE), ""), "")</f>
        <v>9</v>
      </c>
    </row>
    <row r="177" spans="1:18" ht="21.75" customHeight="1" x14ac:dyDescent="0.25">
      <c r="A177" s="69">
        <f>_xlfn.IFNA(IF('Interactive Selection Sheet'!F95= "", VLOOKUP('Interactive Selection Sheet'!$G95, 'Master List Import'!$A$1:$P$519, 2, FALSE), ""), "")</f>
        <v>4400</v>
      </c>
      <c r="B177" s="69" t="str">
        <f>_xlfn.IFNA(IF('Interactive Selection Sheet'!F95= "", VLOOKUP('Interactive Selection Sheet'!$G95, 'Master List Import'!$A$1:$P$519, 3, FALSE), ""), "")</f>
        <v>Colgate Regular Cavity Protection Toothpaste, 2.5oz tube - 24/cs</v>
      </c>
      <c r="C177" s="76">
        <f>IF('Interactive Selection Sheet'!$T$2="", "", IF(B177="","",'Interactive Selection Sheet'!$T$2))</f>
        <v>3.5000000000000003E-2</v>
      </c>
      <c r="D177" s="70">
        <f>IF(B177 = "", "", 'Interactive Selection Sheet'!$Q$2)</f>
        <v>4.4999999999999998E-2</v>
      </c>
      <c r="E177" s="70">
        <f>IF(B177="","", 'Interactive Selection Sheet'!$R$2)</f>
        <v>0.02</v>
      </c>
      <c r="F177" s="69" t="str">
        <f>_xlfn.IFNA(IF('Interactive Selection Sheet'!F95= "", VLOOKUP('Interactive Selection Sheet'!$G95, 'Master List Import'!$A$1:$P$519, 4, FALSE), ""), "")</f>
        <v>Hygiene</v>
      </c>
      <c r="G177" s="69" t="str">
        <f>_xlfn.IFNA(IF('Interactive Selection Sheet'!F95= "", VLOOKUP('Interactive Selection Sheet'!$G95, 'Master List Import'!$A$1:$P$519, 5, FALSE), ""), "")</f>
        <v>Hygiene</v>
      </c>
      <c r="H177" s="69" t="str">
        <f>_xlfn.IFNA(IF('Interactive Selection Sheet'!F95= "", VLOOKUP('Interactive Selection Sheet'!$G95, 'Master List Import'!$A$1:$P$519, 6, FALSE), ""), "")</f>
        <v>Both</v>
      </c>
      <c r="I177" s="72">
        <f>_xlfn.IFNA(IF('Interactive Selection Sheet'!F95= "", VLOOKUP('Interactive Selection Sheet'!$G95, 'Master List Import'!$A$1:$P$519, 7, FALSE), ""), "")</f>
        <v>0.9</v>
      </c>
      <c r="J177" s="69" t="str">
        <f>_xlfn.IFNA(IF('Interactive Selection Sheet'!F95= "", VLOOKUP('Interactive Selection Sheet'!$G95, 'Master List Import'!$A$1:$P$519, 8, FALSE), ""), "")</f>
        <v>REI</v>
      </c>
      <c r="K177" s="69" t="str">
        <f>_xlfn.IFNA(IF('Interactive Selection Sheet'!F95= "", VLOOKUP('Interactive Selection Sheet'!$G95, 'Master List Import'!$A$1:$P$519, 9, FALSE), ""), "")</f>
        <v>390856</v>
      </c>
      <c r="L177" s="69">
        <f>_xlfn.IFNA(IF('Interactive Selection Sheet'!F95= "", VLOOKUP('Interactive Selection Sheet'!$G95, 'Master List Import'!$A$1:$P$519, 10, FALSE), ""), "")</f>
        <v>0</v>
      </c>
      <c r="M177" s="69">
        <f>_xlfn.IFNA(IF('Interactive Selection Sheet'!F95= "", VLOOKUP('Interactive Selection Sheet'!$G95, 'Master List Import'!$A$1:$P$519, 11, FALSE), ""), "")</f>
        <v>0</v>
      </c>
      <c r="N177" s="69">
        <f>_xlfn.IFNA(IF('Interactive Selection Sheet'!F95= "", VLOOKUP('Interactive Selection Sheet'!$G95, 'Master List Import'!$A$1:$P$519, 12, FALSE), ""), "")</f>
        <v>24</v>
      </c>
      <c r="O177" s="69">
        <f>_xlfn.IFNA(IF('Interactive Selection Sheet'!F95= "", VLOOKUP('Interactive Selection Sheet'!$G95, 'Master List Import'!$A$1:$P$519, 13, FALSE), ""), "")</f>
        <v>4400</v>
      </c>
      <c r="P177" s="69" t="str">
        <f>_xlfn.IFNA(IF('Interactive Selection Sheet'!F95= "", VLOOKUP('Interactive Selection Sheet'!$G95, 'Master List Import'!$A$1:$P$519, 14, FALSE), ""), "")</f>
        <v>Colgate Regular Toothpaste</v>
      </c>
      <c r="Q177" s="69">
        <f>_xlfn.IFNA(IF('Interactive Selection Sheet'!F95= "", VLOOKUP('Interactive Selection Sheet'!$G95, 'Master List Import'!$A$1:$P$519, 15, FALSE), ""), "")</f>
        <v>1</v>
      </c>
      <c r="R177" s="74">
        <f>_xlfn.IFNA(IF('Interactive Selection Sheet'!F95= "", VLOOKUP('Interactive Selection Sheet'!$G95, 'Master List Import'!$A$1:$P$519, 16, FALSE), ""), "")</f>
        <v>3.15</v>
      </c>
    </row>
    <row r="178" spans="1:18" ht="21.75" customHeight="1" x14ac:dyDescent="0.25">
      <c r="A178" s="69">
        <f>_xlfn.IFNA(IF('Interactive Selection Sheet'!F96= "", VLOOKUP('Interactive Selection Sheet'!$G96, 'Master List Import'!$A$1:$P$519, 2, FALSE), ""), "")</f>
        <v>4401</v>
      </c>
      <c r="B178" s="69" t="str">
        <f>_xlfn.IFNA(IF('Interactive Selection Sheet'!F96= "", VLOOKUP('Interactive Selection Sheet'!$G96, 'Master List Import'!$A$1:$P$519, 3, FALSE), ""), "")</f>
        <v>Close-Up Red Gel Cinnamon Toothpaste, 4oz tube - 24/cs</v>
      </c>
      <c r="C178" s="76">
        <f>IF('Interactive Selection Sheet'!$T$2="", "", IF(B178="","",'Interactive Selection Sheet'!$T$2))</f>
        <v>3.5000000000000003E-2</v>
      </c>
      <c r="D178" s="70">
        <f>IF(B178 = "", "", 'Interactive Selection Sheet'!$Q$2)</f>
        <v>4.4999999999999998E-2</v>
      </c>
      <c r="E178" s="70">
        <f>IF(B178="","", 'Interactive Selection Sheet'!$R$2)</f>
        <v>0.02</v>
      </c>
      <c r="F178" s="69" t="str">
        <f>_xlfn.IFNA(IF('Interactive Selection Sheet'!F96= "", VLOOKUP('Interactive Selection Sheet'!$G96, 'Master List Import'!$A$1:$P$519, 4, FALSE), ""), "")</f>
        <v>Hygiene</v>
      </c>
      <c r="G178" s="69" t="str">
        <f>_xlfn.IFNA(IF('Interactive Selection Sheet'!F96= "", VLOOKUP('Interactive Selection Sheet'!$G96, 'Master List Import'!$A$1:$P$519, 5, FALSE), ""), "")</f>
        <v>Hygiene</v>
      </c>
      <c r="H178" s="69" t="str">
        <f>_xlfn.IFNA(IF('Interactive Selection Sheet'!F96= "", VLOOKUP('Interactive Selection Sheet'!$G96, 'Master List Import'!$A$1:$P$519, 6, FALSE), ""), "")</f>
        <v>Both</v>
      </c>
      <c r="I178" s="72">
        <f>_xlfn.IFNA(IF('Interactive Selection Sheet'!F96= "", VLOOKUP('Interactive Selection Sheet'!$G96, 'Master List Import'!$A$1:$P$519, 7, FALSE), ""), "")</f>
        <v>1.25</v>
      </c>
      <c r="J178" s="69" t="str">
        <f>_xlfn.IFNA(IF('Interactive Selection Sheet'!F96= "", VLOOKUP('Interactive Selection Sheet'!$G96, 'Master List Import'!$A$1:$P$519, 8, FALSE), ""), "")</f>
        <v>REI</v>
      </c>
      <c r="K178" s="69" t="str">
        <f>_xlfn.IFNA(IF('Interactive Selection Sheet'!F96= "", VLOOKUP('Interactive Selection Sheet'!$G96, 'Master List Import'!$A$1:$P$519, 9, FALSE), ""), "")</f>
        <v>389675</v>
      </c>
      <c r="L178" s="69">
        <f>_xlfn.IFNA(IF('Interactive Selection Sheet'!F96= "", VLOOKUP('Interactive Selection Sheet'!$G96, 'Master List Import'!$A$1:$P$519, 10, FALSE), ""), "")</f>
        <v>0</v>
      </c>
      <c r="M178" s="69">
        <f>_xlfn.IFNA(IF('Interactive Selection Sheet'!F96= "", VLOOKUP('Interactive Selection Sheet'!$G96, 'Master List Import'!$A$1:$P$519, 11, FALSE), ""), "")</f>
        <v>0</v>
      </c>
      <c r="N178" s="69">
        <f>_xlfn.IFNA(IF('Interactive Selection Sheet'!F96= "", VLOOKUP('Interactive Selection Sheet'!$G96, 'Master List Import'!$A$1:$P$519, 12, FALSE), ""), "")</f>
        <v>24</v>
      </c>
      <c r="O178" s="69">
        <f>_xlfn.IFNA(IF('Interactive Selection Sheet'!F96= "", VLOOKUP('Interactive Selection Sheet'!$G96, 'Master List Import'!$A$1:$P$519, 13, FALSE), ""), "")</f>
        <v>4401</v>
      </c>
      <c r="P178" s="69" t="str">
        <f>_xlfn.IFNA(IF('Interactive Selection Sheet'!F96= "", VLOOKUP('Interactive Selection Sheet'!$G96, 'Master List Import'!$A$1:$P$519, 14, FALSE), ""), "")</f>
        <v>Close-Up Toothpaste</v>
      </c>
      <c r="Q178" s="69">
        <f>_xlfn.IFNA(IF('Interactive Selection Sheet'!F96= "", VLOOKUP('Interactive Selection Sheet'!$G96, 'Master List Import'!$A$1:$P$519, 15, FALSE), ""), "")</f>
        <v>1</v>
      </c>
      <c r="R178" s="74">
        <f>_xlfn.IFNA(IF('Interactive Selection Sheet'!F96= "", VLOOKUP('Interactive Selection Sheet'!$G96, 'Master List Import'!$A$1:$P$519, 16, FALSE), ""), "")</f>
        <v>3.95</v>
      </c>
    </row>
    <row r="179" spans="1:18" ht="21.75" customHeight="1" x14ac:dyDescent="0.25">
      <c r="A179" s="69">
        <f>_xlfn.IFNA(IF('Interactive Selection Sheet'!F97= "", VLOOKUP('Interactive Selection Sheet'!$G97, 'Master List Import'!$A$1:$P$519, 2, FALSE), ""), "")</f>
        <v>4402</v>
      </c>
      <c r="B179" s="69" t="str">
        <f>_xlfn.IFNA(IF('Interactive Selection Sheet'!F97= "", VLOOKUP('Interactive Selection Sheet'!$G97, 'Master List Import'!$A$1:$P$519, 3, FALSE), ""), "")</f>
        <v>Freshmint Toothpaste, 1.5oz</v>
      </c>
      <c r="C179" s="76">
        <f>IF('Interactive Selection Sheet'!$T$2="", "", IF(B179="","",'Interactive Selection Sheet'!$T$2))</f>
        <v>3.5000000000000003E-2</v>
      </c>
      <c r="D179" s="70">
        <f>IF(B179 = "", "", 'Interactive Selection Sheet'!$Q$2)</f>
        <v>4.4999999999999998E-2</v>
      </c>
      <c r="E179" s="70">
        <f>IF(B179="","", 'Interactive Selection Sheet'!$R$2)</f>
        <v>0.02</v>
      </c>
      <c r="F179" s="69" t="str">
        <f>_xlfn.IFNA(IF('Interactive Selection Sheet'!F97= "", VLOOKUP('Interactive Selection Sheet'!$G97, 'Master List Import'!$A$1:$P$519, 4, FALSE), ""), "")</f>
        <v>Hygiene</v>
      </c>
      <c r="G179" s="69" t="str">
        <f>_xlfn.IFNA(IF('Interactive Selection Sheet'!F97= "", VLOOKUP('Interactive Selection Sheet'!$G97, 'Master List Import'!$A$1:$P$519, 5, FALSE), ""), "")</f>
        <v>Hygiene</v>
      </c>
      <c r="H179" s="69" t="str">
        <f>_xlfn.IFNA(IF('Interactive Selection Sheet'!F97= "", VLOOKUP('Interactive Selection Sheet'!$G97, 'Master List Import'!$A$1:$P$519, 6, FALSE), ""), "")</f>
        <v>Both</v>
      </c>
      <c r="I179" s="72">
        <f>_xlfn.IFNA(IF('Interactive Selection Sheet'!F97= "", VLOOKUP('Interactive Selection Sheet'!$G97, 'Master List Import'!$A$1:$P$519, 7, FALSE), ""), "")</f>
        <v>0.21</v>
      </c>
      <c r="J179" s="69" t="str">
        <f>_xlfn.IFNA(IF('Interactive Selection Sheet'!F97= "", VLOOKUP('Interactive Selection Sheet'!$G97, 'Master List Import'!$A$1:$P$519, 8, FALSE), ""), "")</f>
        <v>REI</v>
      </c>
      <c r="K179" s="69" t="str">
        <f>_xlfn.IFNA(IF('Interactive Selection Sheet'!F97= "", VLOOKUP('Interactive Selection Sheet'!$G97, 'Master List Import'!$A$1:$P$519, 9, FALSE), ""), "")</f>
        <v>400933</v>
      </c>
      <c r="L179" s="69">
        <f>_xlfn.IFNA(IF('Interactive Selection Sheet'!F97= "", VLOOKUP('Interactive Selection Sheet'!$G97, 'Master List Import'!$A$1:$P$519, 10, FALSE), ""), "")</f>
        <v>0</v>
      </c>
      <c r="M179" s="69">
        <f>_xlfn.IFNA(IF('Interactive Selection Sheet'!F97= "", VLOOKUP('Interactive Selection Sheet'!$G97, 'Master List Import'!$A$1:$P$519, 11, FALSE), ""), "")</f>
        <v>0</v>
      </c>
      <c r="N179" s="69">
        <f>_xlfn.IFNA(IF('Interactive Selection Sheet'!F97= "", VLOOKUP('Interactive Selection Sheet'!$G97, 'Master List Import'!$A$1:$P$519, 12, FALSE), ""), "")</f>
        <v>144</v>
      </c>
      <c r="O179" s="69">
        <f>_xlfn.IFNA(IF('Interactive Selection Sheet'!F97= "", VLOOKUP('Interactive Selection Sheet'!$G97, 'Master List Import'!$A$1:$P$519, 13, FALSE), ""), "")</f>
        <v>4402</v>
      </c>
      <c r="P179" s="69" t="str">
        <f>_xlfn.IFNA(IF('Interactive Selection Sheet'!F97= "", VLOOKUP('Interactive Selection Sheet'!$G97, 'Master List Import'!$A$1:$P$519, 14, FALSE), ""), "")</f>
        <v>Freshmint Toothpaste</v>
      </c>
      <c r="Q179" s="69">
        <f>_xlfn.IFNA(IF('Interactive Selection Sheet'!F97= "", VLOOKUP('Interactive Selection Sheet'!$G97, 'Master List Import'!$A$1:$P$519, 15, FALSE), ""), "")</f>
        <v>1</v>
      </c>
      <c r="R179" s="74">
        <f>_xlfn.IFNA(IF('Interactive Selection Sheet'!F97= "", VLOOKUP('Interactive Selection Sheet'!$G97, 'Master List Import'!$A$1:$P$519, 16, FALSE), ""), "")</f>
        <v>1</v>
      </c>
    </row>
    <row r="180" spans="1:18" ht="21.75" customHeight="1" x14ac:dyDescent="0.25">
      <c r="A180" s="69">
        <f>_xlfn.IFNA(IF('Interactive Selection Sheet'!F98= "", VLOOKUP('Interactive Selection Sheet'!$G98, 'Master List Import'!$A$1:$P$519, 2, FALSE), ""), "")</f>
        <v>4403</v>
      </c>
      <c r="B180" s="69" t="str">
        <f>_xlfn.IFNA(IF('Interactive Selection Sheet'!F98= "", VLOOKUP('Interactive Selection Sheet'!$G98, 'Master List Import'!$A$1:$P$519, 3, FALSE), ""), "")</f>
        <v>Aim Blue Gel Toothpaste w/ TC, 6oz - 24/cs</v>
      </c>
      <c r="C180" s="76">
        <f>IF('Interactive Selection Sheet'!$T$2="", "", IF(B180="","",'Interactive Selection Sheet'!$T$2))</f>
        <v>3.5000000000000003E-2</v>
      </c>
      <c r="D180" s="70">
        <f>IF(B180 = "", "", 'Interactive Selection Sheet'!$Q$2)</f>
        <v>4.4999999999999998E-2</v>
      </c>
      <c r="E180" s="70">
        <f>IF(B180="","", 'Interactive Selection Sheet'!$R$2)</f>
        <v>0.02</v>
      </c>
      <c r="F180" s="69" t="str">
        <f>_xlfn.IFNA(IF('Interactive Selection Sheet'!F98= "", VLOOKUP('Interactive Selection Sheet'!$G98, 'Master List Import'!$A$1:$P$519, 4, FALSE), ""), "")</f>
        <v>Hygiene</v>
      </c>
      <c r="G180" s="69" t="str">
        <f>_xlfn.IFNA(IF('Interactive Selection Sheet'!F98= "", VLOOKUP('Interactive Selection Sheet'!$G98, 'Master List Import'!$A$1:$P$519, 5, FALSE), ""), "")</f>
        <v>Hygiene</v>
      </c>
      <c r="H180" s="69" t="str">
        <f>_xlfn.IFNA(IF('Interactive Selection Sheet'!F98= "", VLOOKUP('Interactive Selection Sheet'!$G98, 'Master List Import'!$A$1:$P$519, 6, FALSE), ""), "")</f>
        <v>Both</v>
      </c>
      <c r="I180" s="72">
        <f>_xlfn.IFNA(IF('Interactive Selection Sheet'!F98= "", VLOOKUP('Interactive Selection Sheet'!$G98, 'Master List Import'!$A$1:$P$519, 7, FALSE), ""), "")</f>
        <v>1.2</v>
      </c>
      <c r="J180" s="69" t="str">
        <f>_xlfn.IFNA(IF('Interactive Selection Sheet'!F98= "", VLOOKUP('Interactive Selection Sheet'!$G98, 'Master List Import'!$A$1:$P$519, 8, FALSE), ""), "")</f>
        <v>REI</v>
      </c>
      <c r="K180" s="69" t="str">
        <f>_xlfn.IFNA(IF('Interactive Selection Sheet'!F98= "", VLOOKUP('Interactive Selection Sheet'!$G98, 'Master List Import'!$A$1:$P$519, 9, FALSE), ""), "")</f>
        <v>389544</v>
      </c>
      <c r="L180" s="69">
        <f>_xlfn.IFNA(IF('Interactive Selection Sheet'!F98= "", VLOOKUP('Interactive Selection Sheet'!$G98, 'Master List Import'!$A$1:$P$519, 10, FALSE), ""), "")</f>
        <v>0</v>
      </c>
      <c r="M180" s="69">
        <f>_xlfn.IFNA(IF('Interactive Selection Sheet'!F98= "", VLOOKUP('Interactive Selection Sheet'!$G98, 'Master List Import'!$A$1:$P$519, 11, FALSE), ""), "")</f>
        <v>0</v>
      </c>
      <c r="N180" s="69">
        <f>_xlfn.IFNA(IF('Interactive Selection Sheet'!F98= "", VLOOKUP('Interactive Selection Sheet'!$G98, 'Master List Import'!$A$1:$P$519, 12, FALSE), ""), "")</f>
        <v>24</v>
      </c>
      <c r="O180" s="69">
        <f>_xlfn.IFNA(IF('Interactive Selection Sheet'!F98= "", VLOOKUP('Interactive Selection Sheet'!$G98, 'Master List Import'!$A$1:$P$519, 13, FALSE), ""), "")</f>
        <v>4403</v>
      </c>
      <c r="P180" s="69" t="str">
        <f>_xlfn.IFNA(IF('Interactive Selection Sheet'!F98= "", VLOOKUP('Interactive Selection Sheet'!$G98, 'Master List Import'!$A$1:$P$519, 14, FALSE), ""), "")</f>
        <v>Aim Toothpaste</v>
      </c>
      <c r="Q180" s="69">
        <f>_xlfn.IFNA(IF('Interactive Selection Sheet'!F98= "", VLOOKUP('Interactive Selection Sheet'!$G98, 'Master List Import'!$A$1:$P$519, 15, FALSE), ""), "")</f>
        <v>1</v>
      </c>
      <c r="R180" s="74">
        <f>_xlfn.IFNA(IF('Interactive Selection Sheet'!F98= "", VLOOKUP('Interactive Selection Sheet'!$G98, 'Master List Import'!$A$1:$P$519, 16, FALSE), ""), "")</f>
        <v>4.25</v>
      </c>
    </row>
    <row r="181" spans="1:18" ht="21.75" customHeight="1" x14ac:dyDescent="0.25">
      <c r="A181" s="69">
        <f>_xlfn.IFNA(IF('Interactive Selection Sheet'!F99= "", VLOOKUP('Interactive Selection Sheet'!$G99, 'Master List Import'!$A$1:$P$519, 2, FALSE), ""), "")</f>
        <v>4420</v>
      </c>
      <c r="B181" s="69" t="str">
        <f>_xlfn.IFNA(IF('Interactive Selection Sheet'!F99= "", VLOOKUP('Interactive Selection Sheet'!$G99, 'Master List Import'!$A$1:$P$519, 3, FALSE), ""), "")</f>
        <v>Colgate Sensitive Toothpaste, 6oz tube - 24/cs</v>
      </c>
      <c r="C181" s="76">
        <f>IF('Interactive Selection Sheet'!$T$2="", "", IF(B181="","",'Interactive Selection Sheet'!$T$2))</f>
        <v>3.5000000000000003E-2</v>
      </c>
      <c r="D181" s="70">
        <f>IF(B181 = "", "", 'Interactive Selection Sheet'!$Q$2)</f>
        <v>4.4999999999999998E-2</v>
      </c>
      <c r="E181" s="70">
        <f>IF(B181="","", 'Interactive Selection Sheet'!$R$2)</f>
        <v>0.02</v>
      </c>
      <c r="F181" s="69" t="str">
        <f>_xlfn.IFNA(IF('Interactive Selection Sheet'!F99= "", VLOOKUP('Interactive Selection Sheet'!$G99, 'Master List Import'!$A$1:$P$519, 4, FALSE), ""), "")</f>
        <v>Hygiene</v>
      </c>
      <c r="G181" s="69" t="str">
        <f>_xlfn.IFNA(IF('Interactive Selection Sheet'!F99= "", VLOOKUP('Interactive Selection Sheet'!$G99, 'Master List Import'!$A$1:$P$519, 5, FALSE), ""), "")</f>
        <v>Hygiene</v>
      </c>
      <c r="H181" s="69" t="str">
        <f>_xlfn.IFNA(IF('Interactive Selection Sheet'!F99= "", VLOOKUP('Interactive Selection Sheet'!$G99, 'Master List Import'!$A$1:$P$519, 6, FALSE), ""), "")</f>
        <v>Both</v>
      </c>
      <c r="I181" s="72">
        <f>_xlfn.IFNA(IF('Interactive Selection Sheet'!F99= "", VLOOKUP('Interactive Selection Sheet'!$G99, 'Master List Import'!$A$1:$P$519, 7, FALSE), ""), "")</f>
        <v>4</v>
      </c>
      <c r="J181" s="69" t="str">
        <f>_xlfn.IFNA(IF('Interactive Selection Sheet'!F99= "", VLOOKUP('Interactive Selection Sheet'!$G99, 'Master List Import'!$A$1:$P$519, 8, FALSE), ""), "")</f>
        <v>REI</v>
      </c>
      <c r="K181" s="69" t="str">
        <f>_xlfn.IFNA(IF('Interactive Selection Sheet'!F99= "", VLOOKUP('Interactive Selection Sheet'!$G99, 'Master List Import'!$A$1:$P$519, 9, FALSE), ""), "")</f>
        <v>389890</v>
      </c>
      <c r="L181" s="69">
        <f>_xlfn.IFNA(IF('Interactive Selection Sheet'!F99= "", VLOOKUP('Interactive Selection Sheet'!$G99, 'Master List Import'!$A$1:$P$519, 10, FALSE), ""), "")</f>
        <v>0</v>
      </c>
      <c r="M181" s="69">
        <f>_xlfn.IFNA(IF('Interactive Selection Sheet'!F99= "", VLOOKUP('Interactive Selection Sheet'!$G99, 'Master List Import'!$A$1:$P$519, 11, FALSE), ""), "")</f>
        <v>0</v>
      </c>
      <c r="N181" s="69">
        <f>_xlfn.IFNA(IF('Interactive Selection Sheet'!F99= "", VLOOKUP('Interactive Selection Sheet'!$G99, 'Master List Import'!$A$1:$P$519, 12, FALSE), ""), "")</f>
        <v>24</v>
      </c>
      <c r="O181" s="69">
        <f>_xlfn.IFNA(IF('Interactive Selection Sheet'!F99= "", VLOOKUP('Interactive Selection Sheet'!$G99, 'Master List Import'!$A$1:$P$519, 13, FALSE), ""), "")</f>
        <v>4420</v>
      </c>
      <c r="P181" s="69" t="str">
        <f>_xlfn.IFNA(IF('Interactive Selection Sheet'!F99= "", VLOOKUP('Interactive Selection Sheet'!$G99, 'Master List Import'!$A$1:$P$519, 14, FALSE), ""), "")</f>
        <v>Colgate Sensitive Toothpaste</v>
      </c>
      <c r="Q181" s="69">
        <f>_xlfn.IFNA(IF('Interactive Selection Sheet'!F99= "", VLOOKUP('Interactive Selection Sheet'!$G99, 'Master List Import'!$A$1:$P$519, 15, FALSE), ""), "")</f>
        <v>1</v>
      </c>
      <c r="R181" s="74">
        <f>_xlfn.IFNA(IF('Interactive Selection Sheet'!F99= "", VLOOKUP('Interactive Selection Sheet'!$G99, 'Master List Import'!$A$1:$P$519, 16, FALSE), ""), "")</f>
        <v>12</v>
      </c>
    </row>
    <row r="182" spans="1:18" ht="21.75" customHeight="1" x14ac:dyDescent="0.25">
      <c r="A182" s="69">
        <f>_xlfn.IFNA(IF('Interactive Selection Sheet'!F100= "", VLOOKUP('Interactive Selection Sheet'!$G100, 'Master List Import'!$A$1:$P$519, 2, FALSE), ""), "")</f>
        <v>4500</v>
      </c>
      <c r="B182" s="69" t="str">
        <f>_xlfn.IFNA(IF('Interactive Selection Sheet'!F100= "", VLOOKUP('Interactive Selection Sheet'!$G100, 'Master List Import'!$A$1:$P$519, 3, FALSE), ""), "")</f>
        <v>Tek Toothbrush w/Medium Bristles - 72/cs</v>
      </c>
      <c r="C182" s="76">
        <f>IF('Interactive Selection Sheet'!$T$2="", "", IF(B182="","",'Interactive Selection Sheet'!$T$2))</f>
        <v>3.5000000000000003E-2</v>
      </c>
      <c r="D182" s="70">
        <f>IF(B182 = "", "", 'Interactive Selection Sheet'!$Q$2)</f>
        <v>4.4999999999999998E-2</v>
      </c>
      <c r="E182" s="70">
        <f>IF(B182="","", 'Interactive Selection Sheet'!$R$2)</f>
        <v>0.02</v>
      </c>
      <c r="F182" s="69" t="str">
        <f>_xlfn.IFNA(IF('Interactive Selection Sheet'!F100= "", VLOOKUP('Interactive Selection Sheet'!$G100, 'Master List Import'!$A$1:$P$519, 4, FALSE), ""), "")</f>
        <v>Hygiene</v>
      </c>
      <c r="G182" s="69" t="str">
        <f>_xlfn.IFNA(IF('Interactive Selection Sheet'!F100= "", VLOOKUP('Interactive Selection Sheet'!$G100, 'Master List Import'!$A$1:$P$519, 5, FALSE), ""), "")</f>
        <v>Hygiene</v>
      </c>
      <c r="H182" s="69" t="str">
        <f>_xlfn.IFNA(IF('Interactive Selection Sheet'!F100= "", VLOOKUP('Interactive Selection Sheet'!$G100, 'Master List Import'!$A$1:$P$519, 6, FALSE), ""), "")</f>
        <v>Both</v>
      </c>
      <c r="I182" s="72">
        <f>_xlfn.IFNA(IF('Interactive Selection Sheet'!F100= "", VLOOKUP('Interactive Selection Sheet'!$G100, 'Master List Import'!$A$1:$P$519, 7, FALSE), ""), "")</f>
        <v>0.34</v>
      </c>
      <c r="J182" s="69" t="str">
        <f>_xlfn.IFNA(IF('Interactive Selection Sheet'!F100= "", VLOOKUP('Interactive Selection Sheet'!$G100, 'Master List Import'!$A$1:$P$519, 8, FALSE), ""), "")</f>
        <v>REI</v>
      </c>
      <c r="K182" s="69" t="str">
        <f>_xlfn.IFNA(IF('Interactive Selection Sheet'!F100= "", VLOOKUP('Interactive Selection Sheet'!$G100, 'Master List Import'!$A$1:$P$519, 9, FALSE), ""), "")</f>
        <v>389436</v>
      </c>
      <c r="L182" s="69">
        <f>_xlfn.IFNA(IF('Interactive Selection Sheet'!F100= "", VLOOKUP('Interactive Selection Sheet'!$G100, 'Master List Import'!$A$1:$P$519, 10, FALSE), ""), "")</f>
        <v>0</v>
      </c>
      <c r="M182" s="69">
        <f>_xlfn.IFNA(IF('Interactive Selection Sheet'!F100= "", VLOOKUP('Interactive Selection Sheet'!$G100, 'Master List Import'!$A$1:$P$519, 11, FALSE), ""), "")</f>
        <v>0</v>
      </c>
      <c r="N182" s="69">
        <f>_xlfn.IFNA(IF('Interactive Selection Sheet'!F100= "", VLOOKUP('Interactive Selection Sheet'!$G100, 'Master List Import'!$A$1:$P$519, 12, FALSE), ""), "")</f>
        <v>72</v>
      </c>
      <c r="O182" s="69">
        <f>_xlfn.IFNA(IF('Interactive Selection Sheet'!F100= "", VLOOKUP('Interactive Selection Sheet'!$G100, 'Master List Import'!$A$1:$P$519, 13, FALSE), ""), "")</f>
        <v>4500</v>
      </c>
      <c r="P182" s="69" t="str">
        <f>_xlfn.IFNA(IF('Interactive Selection Sheet'!F100= "", VLOOKUP('Interactive Selection Sheet'!$G100, 'Master List Import'!$A$1:$P$519, 14, FALSE), ""), "")</f>
        <v>Tek Toothbrush</v>
      </c>
      <c r="Q182" s="69">
        <f>_xlfn.IFNA(IF('Interactive Selection Sheet'!F100= "", VLOOKUP('Interactive Selection Sheet'!$G100, 'Master List Import'!$A$1:$P$519, 15, FALSE), ""), "")</f>
        <v>1</v>
      </c>
      <c r="R182" s="74">
        <f>_xlfn.IFNA(IF('Interactive Selection Sheet'!F100= "", VLOOKUP('Interactive Selection Sheet'!$G100, 'Master List Import'!$A$1:$P$519, 16, FALSE), ""), "")</f>
        <v>1.25</v>
      </c>
    </row>
    <row r="183" spans="1:18" ht="21.75" customHeight="1" x14ac:dyDescent="0.25">
      <c r="A183" s="69">
        <f>_xlfn.IFNA(IF('Interactive Selection Sheet'!F101= "", VLOOKUP('Interactive Selection Sheet'!$G101, 'Master List Import'!$A$1:$P$519, 2, FALSE), ""), "")</f>
        <v>4501</v>
      </c>
      <c r="B183" s="69" t="str">
        <f>_xlfn.IFNA(IF('Interactive Selection Sheet'!F101= "", VLOOKUP('Interactive Selection Sheet'!$G101, 'Master List Import'!$A$1:$P$519, 3, FALSE), ""), "")</f>
        <v>Shorty Toothbrush</v>
      </c>
      <c r="C183" s="76">
        <f>IF('Interactive Selection Sheet'!$T$2="", "", IF(B183="","",'Interactive Selection Sheet'!$T$2))</f>
        <v>3.5000000000000003E-2</v>
      </c>
      <c r="D183" s="70">
        <f>IF(B183 = "", "", 'Interactive Selection Sheet'!$Q$2)</f>
        <v>4.4999999999999998E-2</v>
      </c>
      <c r="E183" s="70">
        <f>IF(B183="","", 'Interactive Selection Sheet'!$R$2)</f>
        <v>0.02</v>
      </c>
      <c r="F183" s="69" t="str">
        <f>_xlfn.IFNA(IF('Interactive Selection Sheet'!F101= "", VLOOKUP('Interactive Selection Sheet'!$G101, 'Master List Import'!$A$1:$P$519, 4, FALSE), ""), "")</f>
        <v>Hygiene</v>
      </c>
      <c r="G183" s="69" t="str">
        <f>_xlfn.IFNA(IF('Interactive Selection Sheet'!F101= "", VLOOKUP('Interactive Selection Sheet'!$G101, 'Master List Import'!$A$1:$P$519, 5, FALSE), ""), "")</f>
        <v>Hygiene</v>
      </c>
      <c r="H183" s="69" t="str">
        <f>_xlfn.IFNA(IF('Interactive Selection Sheet'!F101= "", VLOOKUP('Interactive Selection Sheet'!$G101, 'Master List Import'!$A$1:$P$519, 6, FALSE), ""), "")</f>
        <v>Both</v>
      </c>
      <c r="I183" s="72">
        <f>_xlfn.IFNA(IF('Interactive Selection Sheet'!F101= "", VLOOKUP('Interactive Selection Sheet'!$G101, 'Master List Import'!$A$1:$P$519, 7, FALSE), ""), "")</f>
        <v>0.05</v>
      </c>
      <c r="J183" s="69" t="str">
        <f>_xlfn.IFNA(IF('Interactive Selection Sheet'!F101= "", VLOOKUP('Interactive Selection Sheet'!$G101, 'Master List Import'!$A$1:$P$519, 8, FALSE), ""), "")</f>
        <v>REI</v>
      </c>
      <c r="K183" s="69" t="str">
        <f>_xlfn.IFNA(IF('Interactive Selection Sheet'!F101= "", VLOOKUP('Interactive Selection Sheet'!$G101, 'Master List Import'!$A$1:$P$519, 9, FALSE), ""), "")</f>
        <v>389296</v>
      </c>
      <c r="L183" s="69">
        <f>_xlfn.IFNA(IF('Interactive Selection Sheet'!F101= "", VLOOKUP('Interactive Selection Sheet'!$G101, 'Master List Import'!$A$1:$P$519, 10, FALSE), ""), "")</f>
        <v>0</v>
      </c>
      <c r="M183" s="69">
        <f>_xlfn.IFNA(IF('Interactive Selection Sheet'!F101= "", VLOOKUP('Interactive Selection Sheet'!$G101, 'Master List Import'!$A$1:$P$519, 11, FALSE), ""), "")</f>
        <v>0</v>
      </c>
      <c r="N183" s="69">
        <f>_xlfn.IFNA(IF('Interactive Selection Sheet'!F101= "", VLOOKUP('Interactive Selection Sheet'!$G101, 'Master List Import'!$A$1:$P$519, 12, FALSE), ""), "")</f>
        <v>144</v>
      </c>
      <c r="O183" s="69">
        <f>_xlfn.IFNA(IF('Interactive Selection Sheet'!F101= "", VLOOKUP('Interactive Selection Sheet'!$G101, 'Master List Import'!$A$1:$P$519, 13, FALSE), ""), "")</f>
        <v>4501</v>
      </c>
      <c r="P183" s="69" t="str">
        <f>_xlfn.IFNA(IF('Interactive Selection Sheet'!F101= "", VLOOKUP('Interactive Selection Sheet'!$G101, 'Master List Import'!$A$1:$P$519, 14, FALSE), ""), "")</f>
        <v>Shorty Toothbrush</v>
      </c>
      <c r="Q183" s="69">
        <f>_xlfn.IFNA(IF('Interactive Selection Sheet'!F101= "", VLOOKUP('Interactive Selection Sheet'!$G101, 'Master List Import'!$A$1:$P$519, 15, FALSE), ""), "")</f>
        <v>1</v>
      </c>
      <c r="R183" s="74">
        <f>_xlfn.IFNA(IF('Interactive Selection Sheet'!F101= "", VLOOKUP('Interactive Selection Sheet'!$G101, 'Master List Import'!$A$1:$P$519, 16, FALSE), ""), "")</f>
        <v>0.2</v>
      </c>
    </row>
    <row r="184" spans="1:18" ht="21.75" customHeight="1" x14ac:dyDescent="0.25">
      <c r="A184" s="69">
        <f>_xlfn.IFNA(IF('Interactive Selection Sheet'!F102= "", VLOOKUP('Interactive Selection Sheet'!$G102, 'Master List Import'!$A$1:$P$519, 2, FALSE), ""), "")</f>
        <v>4502</v>
      </c>
      <c r="B184" s="69" t="str">
        <f>_xlfn.IFNA(IF('Interactive Selection Sheet'!F102= "", VLOOKUP('Interactive Selection Sheet'!$G102, 'Master List Import'!$A$1:$P$519, 3, FALSE), ""), "")</f>
        <v>Thumb Toothbrush - 72/cs</v>
      </c>
      <c r="C184" s="76">
        <f>IF('Interactive Selection Sheet'!$T$2="", "", IF(B184="","",'Interactive Selection Sheet'!$T$2))</f>
        <v>3.5000000000000003E-2</v>
      </c>
      <c r="D184" s="70">
        <f>IF(B184 = "", "", 'Interactive Selection Sheet'!$Q$2)</f>
        <v>4.4999999999999998E-2</v>
      </c>
      <c r="E184" s="70">
        <f>IF(B184="","", 'Interactive Selection Sheet'!$R$2)</f>
        <v>0.02</v>
      </c>
      <c r="F184" s="69" t="str">
        <f>_xlfn.IFNA(IF('Interactive Selection Sheet'!F102= "", VLOOKUP('Interactive Selection Sheet'!$G102, 'Master List Import'!$A$1:$P$519, 4, FALSE), ""), "")</f>
        <v>Hygiene</v>
      </c>
      <c r="G184" s="69" t="str">
        <f>_xlfn.IFNA(IF('Interactive Selection Sheet'!F102= "", VLOOKUP('Interactive Selection Sheet'!$G102, 'Master List Import'!$A$1:$P$519, 5, FALSE), ""), "")</f>
        <v>Hygiene</v>
      </c>
      <c r="H184" s="69" t="str">
        <f>_xlfn.IFNA(IF('Interactive Selection Sheet'!F102= "", VLOOKUP('Interactive Selection Sheet'!$G102, 'Master List Import'!$A$1:$P$519, 6, FALSE), ""), "")</f>
        <v>Both</v>
      </c>
      <c r="I184" s="72">
        <f>_xlfn.IFNA(IF('Interactive Selection Sheet'!F102= "", VLOOKUP('Interactive Selection Sheet'!$G102, 'Master List Import'!$A$1:$P$519, 7, FALSE), ""), "")</f>
        <v>0.15</v>
      </c>
      <c r="J184" s="69" t="str">
        <f>_xlfn.IFNA(IF('Interactive Selection Sheet'!F102= "", VLOOKUP('Interactive Selection Sheet'!$G102, 'Master List Import'!$A$1:$P$519, 8, FALSE), ""), "")</f>
        <v>REI</v>
      </c>
      <c r="K184" s="69" t="str">
        <f>_xlfn.IFNA(IF('Interactive Selection Sheet'!F102= "", VLOOKUP('Interactive Selection Sheet'!$G102, 'Master List Import'!$A$1:$P$519, 9, FALSE), ""), "")</f>
        <v>389440</v>
      </c>
      <c r="L184" s="69">
        <f>_xlfn.IFNA(IF('Interactive Selection Sheet'!F102= "", VLOOKUP('Interactive Selection Sheet'!$G102, 'Master List Import'!$A$1:$P$519, 10, FALSE), ""), "")</f>
        <v>0</v>
      </c>
      <c r="M184" s="69">
        <f>_xlfn.IFNA(IF('Interactive Selection Sheet'!F102= "", VLOOKUP('Interactive Selection Sheet'!$G102, 'Master List Import'!$A$1:$P$519, 11, FALSE), ""), "")</f>
        <v>0</v>
      </c>
      <c r="N184" s="69">
        <f>_xlfn.IFNA(IF('Interactive Selection Sheet'!F102= "", VLOOKUP('Interactive Selection Sheet'!$G102, 'Master List Import'!$A$1:$P$519, 12, FALSE), ""), "")</f>
        <v>72</v>
      </c>
      <c r="O184" s="69">
        <f>_xlfn.IFNA(IF('Interactive Selection Sheet'!F102= "", VLOOKUP('Interactive Selection Sheet'!$G102, 'Master List Import'!$A$1:$P$519, 13, FALSE), ""), "")</f>
        <v>4502</v>
      </c>
      <c r="P184" s="69" t="str">
        <f>_xlfn.IFNA(IF('Interactive Selection Sheet'!F102= "", VLOOKUP('Interactive Selection Sheet'!$G102, 'Master List Import'!$A$1:$P$519, 14, FALSE), ""), "")</f>
        <v>Thumb Toothbrush</v>
      </c>
      <c r="Q184" s="69">
        <f>_xlfn.IFNA(IF('Interactive Selection Sheet'!F102= "", VLOOKUP('Interactive Selection Sheet'!$G102, 'Master List Import'!$A$1:$P$519, 15, FALSE), ""), "")</f>
        <v>1</v>
      </c>
      <c r="R184" s="74">
        <f>_xlfn.IFNA(IF('Interactive Selection Sheet'!F102= "", VLOOKUP('Interactive Selection Sheet'!$G102, 'Master List Import'!$A$1:$P$519, 16, FALSE), ""), "")</f>
        <v>1</v>
      </c>
    </row>
    <row r="185" spans="1:18" ht="21.75" customHeight="1" x14ac:dyDescent="0.25">
      <c r="A185" s="69">
        <f>_xlfn.IFNA(IF('Interactive Selection Sheet'!F103= "", VLOOKUP('Interactive Selection Sheet'!$G103, 'Master List Import'!$A$1:$P$519, 2, FALSE), ""), "")</f>
        <v>4503</v>
      </c>
      <c r="B185" s="69" t="str">
        <f>_xlfn.IFNA(IF('Interactive Selection Sheet'!F103= "", VLOOKUP('Interactive Selection Sheet'!$G103, 'Master List Import'!$A$1:$P$519, 3, FALSE), ""), "")</f>
        <v>Colgate Full Head Soft Toothbrush - 72/cs</v>
      </c>
      <c r="C185" s="76">
        <f>IF('Interactive Selection Sheet'!$T$2="", "", IF(B185="","",'Interactive Selection Sheet'!$T$2))</f>
        <v>3.5000000000000003E-2</v>
      </c>
      <c r="D185" s="70">
        <f>IF(B185 = "", "", 'Interactive Selection Sheet'!$Q$2)</f>
        <v>4.4999999999999998E-2</v>
      </c>
      <c r="E185" s="70">
        <f>IF(B185="","", 'Interactive Selection Sheet'!$R$2)</f>
        <v>0.02</v>
      </c>
      <c r="F185" s="69" t="str">
        <f>_xlfn.IFNA(IF('Interactive Selection Sheet'!F103= "", VLOOKUP('Interactive Selection Sheet'!$G103, 'Master List Import'!$A$1:$P$519, 4, FALSE), ""), "")</f>
        <v>Hygiene</v>
      </c>
      <c r="G185" s="69" t="str">
        <f>_xlfn.IFNA(IF('Interactive Selection Sheet'!F103= "", VLOOKUP('Interactive Selection Sheet'!$G103, 'Master List Import'!$A$1:$P$519, 5, FALSE), ""), "")</f>
        <v>Hygiene</v>
      </c>
      <c r="H185" s="69" t="str">
        <f>_xlfn.IFNA(IF('Interactive Selection Sheet'!F103= "", VLOOKUP('Interactive Selection Sheet'!$G103, 'Master List Import'!$A$1:$P$519, 6, FALSE), ""), "")</f>
        <v>Both</v>
      </c>
      <c r="I185" s="72">
        <f>_xlfn.IFNA(IF('Interactive Selection Sheet'!F103= "", VLOOKUP('Interactive Selection Sheet'!$G103, 'Master List Import'!$A$1:$P$519, 7, FALSE), ""), "")</f>
        <v>0.59</v>
      </c>
      <c r="J185" s="69" t="str">
        <f>_xlfn.IFNA(IF('Interactive Selection Sheet'!F103= "", VLOOKUP('Interactive Selection Sheet'!$G103, 'Master List Import'!$A$1:$P$519, 8, FALSE), ""), "")</f>
        <v>REI</v>
      </c>
      <c r="K185" s="69" t="str">
        <f>_xlfn.IFNA(IF('Interactive Selection Sheet'!F103= "", VLOOKUP('Interactive Selection Sheet'!$G103, 'Master List Import'!$A$1:$P$519, 9, FALSE), ""), "")</f>
        <v>389205</v>
      </c>
      <c r="L185" s="69">
        <f>_xlfn.IFNA(IF('Interactive Selection Sheet'!F103= "", VLOOKUP('Interactive Selection Sheet'!$G103, 'Master List Import'!$A$1:$P$519, 10, FALSE), ""), "")</f>
        <v>0</v>
      </c>
      <c r="M185" s="69">
        <f>_xlfn.IFNA(IF('Interactive Selection Sheet'!F103= "", VLOOKUP('Interactive Selection Sheet'!$G103, 'Master List Import'!$A$1:$P$519, 11, FALSE), ""), "")</f>
        <v>0</v>
      </c>
      <c r="N185" s="69">
        <f>_xlfn.IFNA(IF('Interactive Selection Sheet'!F103= "", VLOOKUP('Interactive Selection Sheet'!$G103, 'Master List Import'!$A$1:$P$519, 12, FALSE), ""), "")</f>
        <v>72</v>
      </c>
      <c r="O185" s="69">
        <f>_xlfn.IFNA(IF('Interactive Selection Sheet'!F103= "", VLOOKUP('Interactive Selection Sheet'!$G103, 'Master List Import'!$A$1:$P$519, 13, FALSE), ""), "")</f>
        <v>4503</v>
      </c>
      <c r="P185" s="69" t="str">
        <f>_xlfn.IFNA(IF('Interactive Selection Sheet'!F103= "", VLOOKUP('Interactive Selection Sheet'!$G103, 'Master List Import'!$A$1:$P$519, 14, FALSE), ""), "")</f>
        <v>Colgate Toothbrush, Soft</v>
      </c>
      <c r="Q185" s="69">
        <f>_xlfn.IFNA(IF('Interactive Selection Sheet'!F103= "", VLOOKUP('Interactive Selection Sheet'!$G103, 'Master List Import'!$A$1:$P$519, 15, FALSE), ""), "")</f>
        <v>1</v>
      </c>
      <c r="R185" s="74">
        <f>_xlfn.IFNA(IF('Interactive Selection Sheet'!F103= "", VLOOKUP('Interactive Selection Sheet'!$G103, 'Master List Import'!$A$1:$P$519, 16, FALSE), ""), "")</f>
        <v>2.6</v>
      </c>
    </row>
    <row r="186" spans="1:18" ht="21.75" customHeight="1" x14ac:dyDescent="0.25">
      <c r="A186" s="69">
        <f>_xlfn.IFNA(IF('Interactive Selection Sheet'!F104= "", VLOOKUP('Interactive Selection Sheet'!$G104, 'Master List Import'!$A$1:$P$519, 2, FALSE), ""), "")</f>
        <v>4520</v>
      </c>
      <c r="B186" s="69" t="str">
        <f>_xlfn.IFNA(IF('Interactive Selection Sheet'!F104= "", VLOOKUP('Interactive Selection Sheet'!$G104, 'Master List Import'!$A$1:$P$519, 3, FALSE), ""), "")</f>
        <v>Toothbrush Holder, Clear - 100/cs</v>
      </c>
      <c r="C186" s="76">
        <f>IF('Interactive Selection Sheet'!$T$2="", "", IF(B186="","",'Interactive Selection Sheet'!$T$2))</f>
        <v>3.5000000000000003E-2</v>
      </c>
      <c r="D186" s="70">
        <f>IF(B186 = "", "", 'Interactive Selection Sheet'!$Q$2)</f>
        <v>4.4999999999999998E-2</v>
      </c>
      <c r="E186" s="70">
        <f>IF(B186="","", 'Interactive Selection Sheet'!$R$2)</f>
        <v>0.02</v>
      </c>
      <c r="F186" s="69" t="str">
        <f>_xlfn.IFNA(IF('Interactive Selection Sheet'!F104= "", VLOOKUP('Interactive Selection Sheet'!$G104, 'Master List Import'!$A$1:$P$519, 4, FALSE), ""), "")</f>
        <v>Hygiene</v>
      </c>
      <c r="G186" s="69" t="str">
        <f>_xlfn.IFNA(IF('Interactive Selection Sheet'!F104= "", VLOOKUP('Interactive Selection Sheet'!$G104, 'Master List Import'!$A$1:$P$519, 5, FALSE), ""), "")</f>
        <v>Hygiene</v>
      </c>
      <c r="H186" s="69" t="str">
        <f>_xlfn.IFNA(IF('Interactive Selection Sheet'!F104= "", VLOOKUP('Interactive Selection Sheet'!$G104, 'Master List Import'!$A$1:$P$519, 6, FALSE), ""), "")</f>
        <v>Both</v>
      </c>
      <c r="I186" s="72">
        <f>_xlfn.IFNA(IF('Interactive Selection Sheet'!F104= "", VLOOKUP('Interactive Selection Sheet'!$G104, 'Master List Import'!$A$1:$P$519, 7, FALSE), ""), "")</f>
        <v>0.18</v>
      </c>
      <c r="J186" s="69" t="str">
        <f>_xlfn.IFNA(IF('Interactive Selection Sheet'!F104= "", VLOOKUP('Interactive Selection Sheet'!$G104, 'Master List Import'!$A$1:$P$519, 8, FALSE), ""), "")</f>
        <v>REI</v>
      </c>
      <c r="K186" s="69" t="str">
        <f>_xlfn.IFNA(IF('Interactive Selection Sheet'!F104= "", VLOOKUP('Interactive Selection Sheet'!$G104, 'Master List Import'!$A$1:$P$519, 9, FALSE), ""), "")</f>
        <v>400911</v>
      </c>
      <c r="L186" s="69">
        <f>_xlfn.IFNA(IF('Interactive Selection Sheet'!F104= "", VLOOKUP('Interactive Selection Sheet'!$G104, 'Master List Import'!$A$1:$P$519, 10, FALSE), ""), "")</f>
        <v>0</v>
      </c>
      <c r="M186" s="69">
        <f>_xlfn.IFNA(IF('Interactive Selection Sheet'!F104= "", VLOOKUP('Interactive Selection Sheet'!$G104, 'Master List Import'!$A$1:$P$519, 11, FALSE), ""), "")</f>
        <v>0</v>
      </c>
      <c r="N186" s="69">
        <f>_xlfn.IFNA(IF('Interactive Selection Sheet'!F104= "", VLOOKUP('Interactive Selection Sheet'!$G104, 'Master List Import'!$A$1:$P$519, 12, FALSE), ""), "")</f>
        <v>100</v>
      </c>
      <c r="O186" s="69">
        <f>_xlfn.IFNA(IF('Interactive Selection Sheet'!F104= "", VLOOKUP('Interactive Selection Sheet'!$G104, 'Master List Import'!$A$1:$P$519, 13, FALSE), ""), "")</f>
        <v>4520</v>
      </c>
      <c r="P186" s="69" t="str">
        <f>_xlfn.IFNA(IF('Interactive Selection Sheet'!F104= "", VLOOKUP('Interactive Selection Sheet'!$G104, 'Master List Import'!$A$1:$P$519, 14, FALSE), ""), "")</f>
        <v>Toothbrush Holder</v>
      </c>
      <c r="Q186" s="69">
        <f>_xlfn.IFNA(IF('Interactive Selection Sheet'!F104= "", VLOOKUP('Interactive Selection Sheet'!$G104, 'Master List Import'!$A$1:$P$519, 15, FALSE), ""), "")</f>
        <v>1</v>
      </c>
      <c r="R186" s="74">
        <f>_xlfn.IFNA(IF('Interactive Selection Sheet'!F104= "", VLOOKUP('Interactive Selection Sheet'!$G104, 'Master List Import'!$A$1:$P$519, 16, FALSE), ""), "")</f>
        <v>0.55000000000000004</v>
      </c>
    </row>
    <row r="187" spans="1:18" ht="21.75" customHeight="1" x14ac:dyDescent="0.25">
      <c r="A187" s="69">
        <f>_xlfn.IFNA(IF('Interactive Selection Sheet'!F105= "", VLOOKUP('Interactive Selection Sheet'!$G105, 'Master List Import'!$A$1:$P$519, 2, FALSE), ""), "")</f>
        <v>4530</v>
      </c>
      <c r="B187" s="69" t="str">
        <f>_xlfn.IFNA(IF('Interactive Selection Sheet'!F105= "", VLOOKUP('Interactive Selection Sheet'!$G105, 'Master List Import'!$A$1:$P$519, 3, FALSE), ""), "")</f>
        <v>Dental Floss Safety Loops (Mint) 30ct - 144/cs</v>
      </c>
      <c r="C187" s="76">
        <f>IF('Interactive Selection Sheet'!$T$2="", "", IF(B187="","",'Interactive Selection Sheet'!$T$2))</f>
        <v>3.5000000000000003E-2</v>
      </c>
      <c r="D187" s="70">
        <f>IF(B187 = "", "", 'Interactive Selection Sheet'!$Q$2)</f>
        <v>4.4999999999999998E-2</v>
      </c>
      <c r="E187" s="70">
        <f>IF(B187="","", 'Interactive Selection Sheet'!$R$2)</f>
        <v>0.02</v>
      </c>
      <c r="F187" s="69" t="str">
        <f>_xlfn.IFNA(IF('Interactive Selection Sheet'!F105= "", VLOOKUP('Interactive Selection Sheet'!$G105, 'Master List Import'!$A$1:$P$519, 4, FALSE), ""), "")</f>
        <v>Hygiene</v>
      </c>
      <c r="G187" s="69" t="str">
        <f>_xlfn.IFNA(IF('Interactive Selection Sheet'!F105= "", VLOOKUP('Interactive Selection Sheet'!$G105, 'Master List Import'!$A$1:$P$519, 5, FALSE), ""), "")</f>
        <v>Hygiene</v>
      </c>
      <c r="H187" s="69" t="str">
        <f>_xlfn.IFNA(IF('Interactive Selection Sheet'!F105= "", VLOOKUP('Interactive Selection Sheet'!$G105, 'Master List Import'!$A$1:$P$519, 6, FALSE), ""), "")</f>
        <v>Both</v>
      </c>
      <c r="I187" s="72">
        <f>_xlfn.IFNA(IF('Interactive Selection Sheet'!F105= "", VLOOKUP('Interactive Selection Sheet'!$G105, 'Master List Import'!$A$1:$P$519, 7, FALSE), ""), "")</f>
        <v>2.5499999999999998</v>
      </c>
      <c r="J187" s="69" t="str">
        <f>_xlfn.IFNA(IF('Interactive Selection Sheet'!F105= "", VLOOKUP('Interactive Selection Sheet'!$G105, 'Master List Import'!$A$1:$P$519, 8, FALSE), ""), "")</f>
        <v>REI</v>
      </c>
      <c r="K187" s="69" t="str">
        <f>_xlfn.IFNA(IF('Interactive Selection Sheet'!F105= "", VLOOKUP('Interactive Selection Sheet'!$G105, 'Master List Import'!$A$1:$P$519, 9, FALSE), ""), "")</f>
        <v>390578</v>
      </c>
      <c r="L187" s="69">
        <f>_xlfn.IFNA(IF('Interactive Selection Sheet'!F105= "", VLOOKUP('Interactive Selection Sheet'!$G105, 'Master List Import'!$A$1:$P$519, 10, FALSE), ""), "")</f>
        <v>0</v>
      </c>
      <c r="M187" s="69">
        <f>_xlfn.IFNA(IF('Interactive Selection Sheet'!F105= "", VLOOKUP('Interactive Selection Sheet'!$G105, 'Master List Import'!$A$1:$P$519, 11, FALSE), ""), "")</f>
        <v>0</v>
      </c>
      <c r="N187" s="69">
        <f>_xlfn.IFNA(IF('Interactive Selection Sheet'!F105= "", VLOOKUP('Interactive Selection Sheet'!$G105, 'Master List Import'!$A$1:$P$519, 12, FALSE), ""), "")</f>
        <v>144</v>
      </c>
      <c r="O187" s="69">
        <f>_xlfn.IFNA(IF('Interactive Selection Sheet'!F105= "", VLOOKUP('Interactive Selection Sheet'!$G105, 'Master List Import'!$A$1:$P$519, 13, FALSE), ""), "")</f>
        <v>4530</v>
      </c>
      <c r="P187" s="69" t="str">
        <f>_xlfn.IFNA(IF('Interactive Selection Sheet'!F105= "", VLOOKUP('Interactive Selection Sheet'!$G105, 'Master List Import'!$A$1:$P$519, 14, FALSE), ""), "")</f>
        <v>Dental Floss Loops (30ct)</v>
      </c>
      <c r="Q187" s="69">
        <f>_xlfn.IFNA(IF('Interactive Selection Sheet'!F105= "", VLOOKUP('Interactive Selection Sheet'!$G105, 'Master List Import'!$A$1:$P$519, 15, FALSE), ""), "")</f>
        <v>1</v>
      </c>
      <c r="R187" s="74">
        <f>_xlfn.IFNA(IF('Interactive Selection Sheet'!F105= "", VLOOKUP('Interactive Selection Sheet'!$G105, 'Master List Import'!$A$1:$P$519, 16, FALSE), ""), "")</f>
        <v>7</v>
      </c>
    </row>
    <row r="188" spans="1:18" ht="21.75" customHeight="1" x14ac:dyDescent="0.25">
      <c r="A188" s="69">
        <f>_xlfn.IFNA(IF('Interactive Selection Sheet'!F106= "", VLOOKUP('Interactive Selection Sheet'!$G106, 'Master List Import'!$A$1:$P$519, 2, FALSE), ""), "")</f>
        <v>4600</v>
      </c>
      <c r="B188" s="69" t="str">
        <f>_xlfn.IFNA(IF('Interactive Selection Sheet'!F106= "", VLOOKUP('Interactive Selection Sheet'!$G106, 'Master List Import'!$A$1:$P$519, 3, FALSE), ""), "")</f>
        <v>Freshmint Mouthwash, Alchohol Free, 4oz bottle - 60/cs</v>
      </c>
      <c r="C188" s="76">
        <f>IF('Interactive Selection Sheet'!$T$2="", "", IF(B188="","",'Interactive Selection Sheet'!$T$2))</f>
        <v>3.5000000000000003E-2</v>
      </c>
      <c r="D188" s="70">
        <f>IF(B188 = "", "", 'Interactive Selection Sheet'!$Q$2)</f>
        <v>4.4999999999999998E-2</v>
      </c>
      <c r="E188" s="70">
        <f>IF(B188="","", 'Interactive Selection Sheet'!$R$2)</f>
        <v>0.02</v>
      </c>
      <c r="F188" s="69" t="str">
        <f>_xlfn.IFNA(IF('Interactive Selection Sheet'!F106= "", VLOOKUP('Interactive Selection Sheet'!$G106, 'Master List Import'!$A$1:$P$519, 4, FALSE), ""), "")</f>
        <v>Hygiene</v>
      </c>
      <c r="G188" s="69" t="str">
        <f>_xlfn.IFNA(IF('Interactive Selection Sheet'!F106= "", VLOOKUP('Interactive Selection Sheet'!$G106, 'Master List Import'!$A$1:$P$519, 5, FALSE), ""), "")</f>
        <v>Hygiene</v>
      </c>
      <c r="H188" s="69" t="str">
        <f>_xlfn.IFNA(IF('Interactive Selection Sheet'!F106= "", VLOOKUP('Interactive Selection Sheet'!$G106, 'Master List Import'!$A$1:$P$519, 6, FALSE), ""), "")</f>
        <v>Both</v>
      </c>
      <c r="I188" s="72">
        <f>_xlfn.IFNA(IF('Interactive Selection Sheet'!F106= "", VLOOKUP('Interactive Selection Sheet'!$G106, 'Master List Import'!$A$1:$P$519, 7, FALSE), ""), "")</f>
        <v>0.32</v>
      </c>
      <c r="J188" s="69" t="str">
        <f>_xlfn.IFNA(IF('Interactive Selection Sheet'!F106= "", VLOOKUP('Interactive Selection Sheet'!$G106, 'Master List Import'!$A$1:$P$519, 8, FALSE), ""), "")</f>
        <v>REI</v>
      </c>
      <c r="K188" s="69" t="str">
        <f>_xlfn.IFNA(IF('Interactive Selection Sheet'!F106= "", VLOOKUP('Interactive Selection Sheet'!$G106, 'Master List Import'!$A$1:$P$519, 9, FALSE), ""), "")</f>
        <v>390963</v>
      </c>
      <c r="L188" s="69">
        <f>_xlfn.IFNA(IF('Interactive Selection Sheet'!F106= "", VLOOKUP('Interactive Selection Sheet'!$G106, 'Master List Import'!$A$1:$P$519, 10, FALSE), ""), "")</f>
        <v>0</v>
      </c>
      <c r="M188" s="69">
        <f>_xlfn.IFNA(IF('Interactive Selection Sheet'!F106= "", VLOOKUP('Interactive Selection Sheet'!$G106, 'Master List Import'!$A$1:$P$519, 11, FALSE), ""), "")</f>
        <v>0</v>
      </c>
      <c r="N188" s="69">
        <f>_xlfn.IFNA(IF('Interactive Selection Sheet'!F106= "", VLOOKUP('Interactive Selection Sheet'!$G106, 'Master List Import'!$A$1:$P$519, 12, FALSE), ""), "")</f>
        <v>60</v>
      </c>
      <c r="O188" s="69">
        <f>_xlfn.IFNA(IF('Interactive Selection Sheet'!F106= "", VLOOKUP('Interactive Selection Sheet'!$G106, 'Master List Import'!$A$1:$P$519, 13, FALSE), ""), "")</f>
        <v>4600</v>
      </c>
      <c r="P188" s="69" t="str">
        <f>_xlfn.IFNA(IF('Interactive Selection Sheet'!F106= "", VLOOKUP('Interactive Selection Sheet'!$G106, 'Master List Import'!$A$1:$P$519, 14, FALSE), ""), "")</f>
        <v>Mouthwash</v>
      </c>
      <c r="Q188" s="69">
        <f>_xlfn.IFNA(IF('Interactive Selection Sheet'!F106= "", VLOOKUP('Interactive Selection Sheet'!$G106, 'Master List Import'!$A$1:$P$519, 15, FALSE), ""), "")</f>
        <v>1</v>
      </c>
      <c r="R188" s="74">
        <f>_xlfn.IFNA(IF('Interactive Selection Sheet'!F106= "", VLOOKUP('Interactive Selection Sheet'!$G106, 'Master List Import'!$A$1:$P$519, 16, FALSE), ""), "")</f>
        <v>1.5</v>
      </c>
    </row>
    <row r="189" spans="1:18" ht="21.75" customHeight="1" x14ac:dyDescent="0.25">
      <c r="A189" s="69">
        <f>_xlfn.IFNA(IF('Interactive Selection Sheet'!F107= "", VLOOKUP('Interactive Selection Sheet'!$G107, 'Master List Import'!$A$1:$P$519, 2, FALSE), ""), "")</f>
        <v>4700</v>
      </c>
      <c r="B189" s="69" t="str">
        <f>_xlfn.IFNA(IF('Interactive Selection Sheet'!F107= "", VLOOKUP('Interactive Selection Sheet'!$G107, 'Master List Import'!$A$1:$P$519, 3, FALSE), ""), "")</f>
        <v>Denture Adhesive Cream, 2.4oz tube - 12/cs</v>
      </c>
      <c r="C189" s="76">
        <f>IF('Interactive Selection Sheet'!$T$2="", "", IF(B189="","",'Interactive Selection Sheet'!$T$2))</f>
        <v>3.5000000000000003E-2</v>
      </c>
      <c r="D189" s="70">
        <f>IF(B189 = "", "", 'Interactive Selection Sheet'!$Q$2)</f>
        <v>4.4999999999999998E-2</v>
      </c>
      <c r="E189" s="70">
        <f>IF(B189="","", 'Interactive Selection Sheet'!$R$2)</f>
        <v>0.02</v>
      </c>
      <c r="F189" s="69" t="str">
        <f>_xlfn.IFNA(IF('Interactive Selection Sheet'!F107= "", VLOOKUP('Interactive Selection Sheet'!$G107, 'Master List Import'!$A$1:$P$519, 4, FALSE), ""), "")</f>
        <v>Hygiene</v>
      </c>
      <c r="G189" s="69" t="str">
        <f>_xlfn.IFNA(IF('Interactive Selection Sheet'!F107= "", VLOOKUP('Interactive Selection Sheet'!$G107, 'Master List Import'!$A$1:$P$519, 5, FALSE), ""), "")</f>
        <v>Hygiene</v>
      </c>
      <c r="H189" s="69" t="str">
        <f>_xlfn.IFNA(IF('Interactive Selection Sheet'!F107= "", VLOOKUP('Interactive Selection Sheet'!$G107, 'Master List Import'!$A$1:$P$519, 6, FALSE), ""), "")</f>
        <v>Both</v>
      </c>
      <c r="I189" s="72">
        <f>_xlfn.IFNA(IF('Interactive Selection Sheet'!F107= "", VLOOKUP('Interactive Selection Sheet'!$G107, 'Master List Import'!$A$1:$P$519, 7, FALSE), ""), "")</f>
        <v>1.69</v>
      </c>
      <c r="J189" s="69" t="str">
        <f>_xlfn.IFNA(IF('Interactive Selection Sheet'!F107= "", VLOOKUP('Interactive Selection Sheet'!$G107, 'Master List Import'!$A$1:$P$519, 8, FALSE), ""), "")</f>
        <v>REI</v>
      </c>
      <c r="K189" s="69" t="str">
        <f>_xlfn.IFNA(IF('Interactive Selection Sheet'!F107= "", VLOOKUP('Interactive Selection Sheet'!$G107, 'Master List Import'!$A$1:$P$519, 9, FALSE), ""), "")</f>
        <v>390301</v>
      </c>
      <c r="L189" s="69">
        <f>_xlfn.IFNA(IF('Interactive Selection Sheet'!F107= "", VLOOKUP('Interactive Selection Sheet'!$G107, 'Master List Import'!$A$1:$P$519, 10, FALSE), ""), "")</f>
        <v>0</v>
      </c>
      <c r="M189" s="69">
        <f>_xlfn.IFNA(IF('Interactive Selection Sheet'!F107= "", VLOOKUP('Interactive Selection Sheet'!$G107, 'Master List Import'!$A$1:$P$519, 11, FALSE), ""), "")</f>
        <v>0</v>
      </c>
      <c r="N189" s="69">
        <f>_xlfn.IFNA(IF('Interactive Selection Sheet'!F107= "", VLOOKUP('Interactive Selection Sheet'!$G107, 'Master List Import'!$A$1:$P$519, 12, FALSE), ""), "")</f>
        <v>12</v>
      </c>
      <c r="O189" s="69">
        <f>_xlfn.IFNA(IF('Interactive Selection Sheet'!F107= "", VLOOKUP('Interactive Selection Sheet'!$G107, 'Master List Import'!$A$1:$P$519, 13, FALSE), ""), "")</f>
        <v>4700</v>
      </c>
      <c r="P189" s="69" t="str">
        <f>_xlfn.IFNA(IF('Interactive Selection Sheet'!F107= "", VLOOKUP('Interactive Selection Sheet'!$G107, 'Master List Import'!$A$1:$P$519, 14, FALSE), ""), "")</f>
        <v>Denture Adhesive</v>
      </c>
      <c r="Q189" s="69">
        <f>_xlfn.IFNA(IF('Interactive Selection Sheet'!F107= "", VLOOKUP('Interactive Selection Sheet'!$G107, 'Master List Import'!$A$1:$P$519, 15, FALSE), ""), "")</f>
        <v>1</v>
      </c>
      <c r="R189" s="74">
        <f>_xlfn.IFNA(IF('Interactive Selection Sheet'!F107= "", VLOOKUP('Interactive Selection Sheet'!$G107, 'Master List Import'!$A$1:$P$519, 16, FALSE), ""), "")</f>
        <v>5.95</v>
      </c>
    </row>
    <row r="190" spans="1:18" ht="21.75" customHeight="1" x14ac:dyDescent="0.25">
      <c r="A190" s="69">
        <f>_xlfn.IFNA(IF('Interactive Selection Sheet'!F108= "", VLOOKUP('Interactive Selection Sheet'!$G108, 'Master List Import'!$A$1:$P$519, 2, FALSE), ""), "")</f>
        <v>4701</v>
      </c>
      <c r="B190" s="69" t="str">
        <f>_xlfn.IFNA(IF('Interactive Selection Sheet'!F108= "", VLOOKUP('Interactive Selection Sheet'!$G108, 'Master List Import'!$A$1:$P$519, 3, FALSE), ""), "")</f>
        <v>Freshmint Denture Cleanser - 24/40/cs</v>
      </c>
      <c r="C190" s="76">
        <f>IF('Interactive Selection Sheet'!$T$2="", "", IF(B190="","",'Interactive Selection Sheet'!$T$2))</f>
        <v>3.5000000000000003E-2</v>
      </c>
      <c r="D190" s="70">
        <f>IF(B190 = "", "", 'Interactive Selection Sheet'!$Q$2)</f>
        <v>4.4999999999999998E-2</v>
      </c>
      <c r="E190" s="70">
        <f>IF(B190="","", 'Interactive Selection Sheet'!$R$2)</f>
        <v>0.02</v>
      </c>
      <c r="F190" s="69" t="str">
        <f>_xlfn.IFNA(IF('Interactive Selection Sheet'!F108= "", VLOOKUP('Interactive Selection Sheet'!$G108, 'Master List Import'!$A$1:$P$519, 4, FALSE), ""), "")</f>
        <v>Hygiene</v>
      </c>
      <c r="G190" s="69" t="str">
        <f>_xlfn.IFNA(IF('Interactive Selection Sheet'!F108= "", VLOOKUP('Interactive Selection Sheet'!$G108, 'Master List Import'!$A$1:$P$519, 5, FALSE), ""), "")</f>
        <v>Hygiene</v>
      </c>
      <c r="H190" s="69" t="str">
        <f>_xlfn.IFNA(IF('Interactive Selection Sheet'!F108= "", VLOOKUP('Interactive Selection Sheet'!$G108, 'Master List Import'!$A$1:$P$519, 6, FALSE), ""), "")</f>
        <v>Both</v>
      </c>
      <c r="I190" s="72">
        <f>_xlfn.IFNA(IF('Interactive Selection Sheet'!F108= "", VLOOKUP('Interactive Selection Sheet'!$G108, 'Master List Import'!$A$1:$P$519, 7, FALSE), ""), "")</f>
        <v>3.3300000000000003E-2</v>
      </c>
      <c r="J190" s="69" t="str">
        <f>_xlfn.IFNA(IF('Interactive Selection Sheet'!F108= "", VLOOKUP('Interactive Selection Sheet'!$G108, 'Master List Import'!$A$1:$P$519, 8, FALSE), ""), "")</f>
        <v>REI</v>
      </c>
      <c r="K190" s="69" t="str">
        <f>_xlfn.IFNA(IF('Interactive Selection Sheet'!F108= "", VLOOKUP('Interactive Selection Sheet'!$G108, 'Master List Import'!$A$1:$P$519, 9, FALSE), ""), "")</f>
        <v>400910</v>
      </c>
      <c r="L190" s="69">
        <f>_xlfn.IFNA(IF('Interactive Selection Sheet'!F108= "", VLOOKUP('Interactive Selection Sheet'!$G108, 'Master List Import'!$A$1:$P$519, 10, FALSE), ""), "")</f>
        <v>0</v>
      </c>
      <c r="M190" s="69">
        <f>_xlfn.IFNA(IF('Interactive Selection Sheet'!F108= "", VLOOKUP('Interactive Selection Sheet'!$G108, 'Master List Import'!$A$1:$P$519, 11, FALSE), ""), "")</f>
        <v>0</v>
      </c>
      <c r="N190" s="69">
        <f>_xlfn.IFNA(IF('Interactive Selection Sheet'!F108= "", VLOOKUP('Interactive Selection Sheet'!$G108, 'Master List Import'!$A$1:$P$519, 12, FALSE), ""), "")</f>
        <v>960</v>
      </c>
      <c r="O190" s="69">
        <f>_xlfn.IFNA(IF('Interactive Selection Sheet'!F108= "", VLOOKUP('Interactive Selection Sheet'!$G108, 'Master List Import'!$A$1:$P$519, 13, FALSE), ""), "")</f>
        <v>4701</v>
      </c>
      <c r="P190" s="69" t="str">
        <f>_xlfn.IFNA(IF('Interactive Selection Sheet'!F108= "", VLOOKUP('Interactive Selection Sheet'!$G108, 'Master List Import'!$A$1:$P$519, 14, FALSE), ""), "")</f>
        <v>Freshmint Denture Cleanser Tabs</v>
      </c>
      <c r="Q190" s="69">
        <f>_xlfn.IFNA(IF('Interactive Selection Sheet'!F108= "", VLOOKUP('Interactive Selection Sheet'!$G108, 'Master List Import'!$A$1:$P$519, 15, FALSE), ""), "")</f>
        <v>1</v>
      </c>
      <c r="R190" s="74">
        <f>_xlfn.IFNA(IF('Interactive Selection Sheet'!F108= "", VLOOKUP('Interactive Selection Sheet'!$G108, 'Master List Import'!$A$1:$P$519, 16, FALSE), ""), "")</f>
        <v>0.25</v>
      </c>
    </row>
    <row r="191" spans="1:18" ht="21.75" customHeight="1" x14ac:dyDescent="0.25">
      <c r="A191" s="69">
        <f>_xlfn.IFNA(IF('Interactive Selection Sheet'!F109= "", VLOOKUP('Interactive Selection Sheet'!$G109, 'Master List Import'!$A$1:$P$519, 2, FALSE), ""), "")</f>
        <v>4710</v>
      </c>
      <c r="B191" s="69" t="str">
        <f>_xlfn.IFNA(IF('Interactive Selection Sheet'!F109= "", VLOOKUP('Interactive Selection Sheet'!$G109, 'Master List Import'!$A$1:$P$519, 3, FALSE), ""), "")</f>
        <v>Dr. Sheffields Oral Pain Relief, .33oz - 24/cs</v>
      </c>
      <c r="C191" s="76">
        <f>IF('Interactive Selection Sheet'!$T$2="", "", IF(B191="","",'Interactive Selection Sheet'!$T$2))</f>
        <v>3.5000000000000003E-2</v>
      </c>
      <c r="D191" s="70">
        <f>IF(B191 = "", "", 'Interactive Selection Sheet'!$Q$2)</f>
        <v>4.4999999999999998E-2</v>
      </c>
      <c r="E191" s="70">
        <f>IF(B191="","", 'Interactive Selection Sheet'!$R$2)</f>
        <v>0.02</v>
      </c>
      <c r="F191" s="69" t="str">
        <f>_xlfn.IFNA(IF('Interactive Selection Sheet'!F109= "", VLOOKUP('Interactive Selection Sheet'!$G109, 'Master List Import'!$A$1:$P$519, 4, FALSE), ""), "")</f>
        <v>Medicine</v>
      </c>
      <c r="G191" s="69" t="str">
        <f>_xlfn.IFNA(IF('Interactive Selection Sheet'!F109= "", VLOOKUP('Interactive Selection Sheet'!$G109, 'Master List Import'!$A$1:$P$519, 5, FALSE), ""), "")</f>
        <v>Medicine</v>
      </c>
      <c r="H191" s="69" t="str">
        <f>_xlfn.IFNA(IF('Interactive Selection Sheet'!F109= "", VLOOKUP('Interactive Selection Sheet'!$G109, 'Master List Import'!$A$1:$P$519, 6, FALSE), ""), "")</f>
        <v>Both</v>
      </c>
      <c r="I191" s="72">
        <f>_xlfn.IFNA(IF('Interactive Selection Sheet'!F109= "", VLOOKUP('Interactive Selection Sheet'!$G109, 'Master List Import'!$A$1:$P$519, 7, FALSE), ""), "")</f>
        <v>0.88</v>
      </c>
      <c r="J191" s="69" t="str">
        <f>_xlfn.IFNA(IF('Interactive Selection Sheet'!F109= "", VLOOKUP('Interactive Selection Sheet'!$G109, 'Master List Import'!$A$1:$P$519, 8, FALSE), ""), "")</f>
        <v>REI</v>
      </c>
      <c r="K191" s="69" t="str">
        <f>_xlfn.IFNA(IF('Interactive Selection Sheet'!F109= "", VLOOKUP('Interactive Selection Sheet'!$G109, 'Master List Import'!$A$1:$P$519, 9, FALSE), ""), "")</f>
        <v>390978</v>
      </c>
      <c r="L191" s="69">
        <f>_xlfn.IFNA(IF('Interactive Selection Sheet'!F109= "", VLOOKUP('Interactive Selection Sheet'!$G109, 'Master List Import'!$A$1:$P$519, 10, FALSE), ""), "")</f>
        <v>0</v>
      </c>
      <c r="M191" s="69">
        <f>_xlfn.IFNA(IF('Interactive Selection Sheet'!F109= "", VLOOKUP('Interactive Selection Sheet'!$G109, 'Master List Import'!$A$1:$P$519, 11, FALSE), ""), "")</f>
        <v>0</v>
      </c>
      <c r="N191" s="69">
        <f>_xlfn.IFNA(IF('Interactive Selection Sheet'!F109= "", VLOOKUP('Interactive Selection Sheet'!$G109, 'Master List Import'!$A$1:$P$519, 12, FALSE), ""), "")</f>
        <v>24</v>
      </c>
      <c r="O191" s="69">
        <f>_xlfn.IFNA(IF('Interactive Selection Sheet'!F109= "", VLOOKUP('Interactive Selection Sheet'!$G109, 'Master List Import'!$A$1:$P$519, 13, FALSE), ""), "")</f>
        <v>4710</v>
      </c>
      <c r="P191" s="69" t="str">
        <f>_xlfn.IFNA(IF('Interactive Selection Sheet'!F109= "", VLOOKUP('Interactive Selection Sheet'!$G109, 'Master List Import'!$A$1:$P$519, 14, FALSE), ""), "")</f>
        <v>Oral Pain Relief</v>
      </c>
      <c r="Q191" s="69">
        <f>_xlfn.IFNA(IF('Interactive Selection Sheet'!F109= "", VLOOKUP('Interactive Selection Sheet'!$G109, 'Master List Import'!$A$1:$P$519, 15, FALSE), ""), "")</f>
        <v>1</v>
      </c>
      <c r="R191" s="74">
        <f>_xlfn.IFNA(IF('Interactive Selection Sheet'!F109= "", VLOOKUP('Interactive Selection Sheet'!$G109, 'Master List Import'!$A$1:$P$519, 16, FALSE), ""), "")</f>
        <v>3.5</v>
      </c>
    </row>
    <row r="192" spans="1:18" ht="21.75" customHeight="1" x14ac:dyDescent="0.25">
      <c r="A192" s="69">
        <f>_xlfn.IFNA(IF('Interactive Selection Sheet'!$K100= "", VLOOKUP('Interactive Selection Sheet'!$L100, 'Master List Import'!$A$1:$P$519, 2, FALSE), ""), "")</f>
        <v>4800</v>
      </c>
      <c r="B192" s="69" t="str">
        <f>_xlfn.IFNA(IF('Interactive Selection Sheet'!$K100= "", VLOOKUP('Interactive Selection Sheet'!$L100, 'Master List Import'!$A$1:$P$519, 3, FALSE), ""), "")</f>
        <v>Classic Cotton Swabs, 90pk - 96/cs</v>
      </c>
      <c r="C192" s="76">
        <f>IF('Interactive Selection Sheet'!$T$2="", "", IF(B192="","",'Interactive Selection Sheet'!$T$2))</f>
        <v>3.5000000000000003E-2</v>
      </c>
      <c r="D192" s="70">
        <f>IF(B192 = "", "", 'Interactive Selection Sheet'!$Q$2)</f>
        <v>4.4999999999999998E-2</v>
      </c>
      <c r="E192" s="70">
        <f>IF(B192="","", 'Interactive Selection Sheet'!$R$2)</f>
        <v>0.02</v>
      </c>
      <c r="F192" s="69" t="str">
        <f>_xlfn.IFNA(IF('Interactive Selection Sheet'!K100= "", VLOOKUP('Interactive Selection Sheet'!$L100, 'Master List Import'!$A$1:$P$519, 4, FALSE), ""), "")</f>
        <v>Hygiene</v>
      </c>
      <c r="G192" s="69" t="str">
        <f>_xlfn.IFNA(IF('Interactive Selection Sheet'!K100= "", VLOOKUP('Interactive Selection Sheet'!$L100, 'Master List Import'!$A$1:$P$519, 5, FALSE), ""), "")</f>
        <v>Hygiene</v>
      </c>
      <c r="H192" s="69" t="str">
        <f>_xlfn.IFNA(IF('Interactive Selection Sheet'!K100= "", VLOOKUP('Interactive Selection Sheet'!$L100, 'Master List Import'!$A$1:$P$519, 6, FALSE), ""), "")</f>
        <v>Both</v>
      </c>
      <c r="I192" s="72">
        <f>_xlfn.IFNA(IF('Interactive Selection Sheet'!K100= "", VLOOKUP('Interactive Selection Sheet'!$L100, 'Master List Import'!$A$1:$P$519, 7, FALSE), ""), "")</f>
        <v>0.75</v>
      </c>
      <c r="J192" s="69" t="str">
        <f>_xlfn.IFNA(IF('Interactive Selection Sheet'!K100= "", VLOOKUP('Interactive Selection Sheet'!$L100, 'Master List Import'!$A$1:$P$519, 8, FALSE), ""), "")</f>
        <v>REI</v>
      </c>
      <c r="K192" s="69" t="str">
        <f>_xlfn.IFNA(IF('Interactive Selection Sheet'!K100= "", VLOOKUP('Interactive Selection Sheet'!$L100, 'Master List Import'!$A$1:$P$519, 9, FALSE), ""), "")</f>
        <v>388902</v>
      </c>
      <c r="L192" s="69">
        <f>_xlfn.IFNA(IF('Interactive Selection Sheet'!K100= "", VLOOKUP('Interactive Selection Sheet'!$L100, 'Master List Import'!$A$1:$P$519, 10, FALSE), ""), "")</f>
        <v>0</v>
      </c>
      <c r="M192" s="69">
        <f>_xlfn.IFNA(IF('Interactive Selection Sheet'!K100= "", VLOOKUP('Interactive Selection Sheet'!$L100, 'Master List Import'!$A$1:$P$519, 11, FALSE), ""), "")</f>
        <v>0</v>
      </c>
      <c r="N192" s="69">
        <f>_xlfn.IFNA(IF('Interactive Selection Sheet'!K100= "", VLOOKUP('Interactive Selection Sheet'!$L100, 'Master List Import'!$A$1:$P$519, 12, FALSE), ""), "")</f>
        <v>288</v>
      </c>
      <c r="O192" s="69">
        <f>_xlfn.IFNA(IF('Interactive Selection Sheet'!K100= "", VLOOKUP('Interactive Selection Sheet'!$L100, 'Master List Import'!$A$1:$P$519, 13, FALSE), ""), "")</f>
        <v>4800</v>
      </c>
      <c r="P192" s="69" t="str">
        <f>_xlfn.IFNA(IF('Interactive Selection Sheet'!K100= "", VLOOKUP('Interactive Selection Sheet'!$L100, 'Master List Import'!$A$1:$P$519, 14, FALSE), ""), "")</f>
        <v>Q-Tips (90ct)</v>
      </c>
      <c r="Q192" s="69">
        <f>_xlfn.IFNA(IF('Interactive Selection Sheet'!K100= "", VLOOKUP('Interactive Selection Sheet'!$L100, 'Master List Import'!$A$1:$P$519, 15, FALSE), ""), "")</f>
        <v>1</v>
      </c>
      <c r="R192" s="74">
        <f>_xlfn.IFNA(IF('Interactive Selection Sheet'!K100= "", VLOOKUP('Interactive Selection Sheet'!$L100, 'Master List Import'!$A$1:$P$519, 16, FALSE), ""), "")</f>
        <v>2.2999999999999998</v>
      </c>
    </row>
    <row r="193" spans="1:18" ht="21.75" customHeight="1" x14ac:dyDescent="0.25">
      <c r="A193" s="69">
        <f>_xlfn.IFNA(IF('Interactive Selection Sheet'!$K101= "", VLOOKUP('Interactive Selection Sheet'!$L101, 'Master List Import'!$A$1:$P$519, 2, FALSE), ""), "")</f>
        <v>4801</v>
      </c>
      <c r="B193" s="69" t="str">
        <f>_xlfn.IFNA(IF('Interactive Selection Sheet'!$K101= "", VLOOKUP('Interactive Selection Sheet'!$L101, 'Master List Import'!$A$1:$P$519, 3, FALSE), ""), "")</f>
        <v>Handkerchiefs - 24/cs</v>
      </c>
      <c r="C193" s="76">
        <f>IF('Interactive Selection Sheet'!$T$2="", "", IF(B193="","",'Interactive Selection Sheet'!$T$2))</f>
        <v>3.5000000000000003E-2</v>
      </c>
      <c r="D193" s="70">
        <f>IF(B193 = "", "", 'Interactive Selection Sheet'!$Q$2)</f>
        <v>4.4999999999999998E-2</v>
      </c>
      <c r="E193" s="70">
        <f>IF(B193="","", 'Interactive Selection Sheet'!$R$2)</f>
        <v>0.02</v>
      </c>
      <c r="F193" s="69" t="str">
        <f>_xlfn.IFNA(IF('Interactive Selection Sheet'!K101= "", VLOOKUP('Interactive Selection Sheet'!$L101, 'Master List Import'!$A$1:$P$519, 4, FALSE), ""), "")</f>
        <v>Hygiene</v>
      </c>
      <c r="G193" s="69" t="str">
        <f>_xlfn.IFNA(IF('Interactive Selection Sheet'!K101= "", VLOOKUP('Interactive Selection Sheet'!$L101, 'Master List Import'!$A$1:$P$519, 5, FALSE), ""), "")</f>
        <v>Hygiene</v>
      </c>
      <c r="H193" s="69" t="str">
        <f>_xlfn.IFNA(IF('Interactive Selection Sheet'!K101= "", VLOOKUP('Interactive Selection Sheet'!$L101, 'Master List Import'!$A$1:$P$519, 6, FALSE), ""), "")</f>
        <v>Both</v>
      </c>
      <c r="I193" s="72">
        <f>_xlfn.IFNA(IF('Interactive Selection Sheet'!K101= "", VLOOKUP('Interactive Selection Sheet'!$L101, 'Master List Import'!$A$1:$P$519, 7, FALSE), ""), "")</f>
        <v>0.73080000000000001</v>
      </c>
      <c r="J193" s="69" t="str">
        <f>_xlfn.IFNA(IF('Interactive Selection Sheet'!K101= "", VLOOKUP('Interactive Selection Sheet'!$L101, 'Master List Import'!$A$1:$P$519, 8, FALSE), ""), "")</f>
        <v>REI</v>
      </c>
      <c r="K193" s="69" t="str">
        <f>_xlfn.IFNA(IF('Interactive Selection Sheet'!K101= "", VLOOKUP('Interactive Selection Sheet'!$L101, 'Master List Import'!$A$1:$P$519, 9, FALSE), ""), "")</f>
        <v>411654</v>
      </c>
      <c r="L193" s="69">
        <f>_xlfn.IFNA(IF('Interactive Selection Sheet'!K101= "", VLOOKUP('Interactive Selection Sheet'!$L101, 'Master List Import'!$A$1:$P$519, 10, FALSE), ""), "")</f>
        <v>0</v>
      </c>
      <c r="M193" s="69">
        <f>_xlfn.IFNA(IF('Interactive Selection Sheet'!K101= "", VLOOKUP('Interactive Selection Sheet'!$L101, 'Master List Import'!$A$1:$P$519, 11, FALSE), ""), "")</f>
        <v>0</v>
      </c>
      <c r="N193" s="69">
        <f>_xlfn.IFNA(IF('Interactive Selection Sheet'!K101= "", VLOOKUP('Interactive Selection Sheet'!$L101, 'Master List Import'!$A$1:$P$519, 12, FALSE), ""), "")</f>
        <v>24</v>
      </c>
      <c r="O193" s="69">
        <f>_xlfn.IFNA(IF('Interactive Selection Sheet'!K101= "", VLOOKUP('Interactive Selection Sheet'!$L101, 'Master List Import'!$A$1:$P$519, 13, FALSE), ""), "")</f>
        <v>4801</v>
      </c>
      <c r="P193" s="69" t="str">
        <f>_xlfn.IFNA(IF('Interactive Selection Sheet'!K101= "", VLOOKUP('Interactive Selection Sheet'!$L101, 'Master List Import'!$A$1:$P$519, 14, FALSE), ""), "")</f>
        <v>Handkerchief</v>
      </c>
      <c r="Q193" s="69">
        <f>_xlfn.IFNA(IF('Interactive Selection Sheet'!K101= "", VLOOKUP('Interactive Selection Sheet'!$L101, 'Master List Import'!$A$1:$P$519, 15, FALSE), ""), "")</f>
        <v>1</v>
      </c>
      <c r="R193" s="74">
        <f>_xlfn.IFNA(IF('Interactive Selection Sheet'!K101= "", VLOOKUP('Interactive Selection Sheet'!$L101, 'Master List Import'!$A$1:$P$519, 16, FALSE), ""), "")</f>
        <v>2.25</v>
      </c>
    </row>
    <row r="194" spans="1:18" ht="21.75" customHeight="1" x14ac:dyDescent="0.25">
      <c r="A194" s="69">
        <f>_xlfn.IFNA(IF('Interactive Selection Sheet'!$K102= "", VLOOKUP('Interactive Selection Sheet'!$L102, 'Master List Import'!$A$1:$P$519, 2, FALSE), ""), "")</f>
        <v>4802</v>
      </c>
      <c r="B194" s="69" t="str">
        <f>_xlfn.IFNA(IF('Interactive Selection Sheet'!$K102= "", VLOOKUP('Interactive Selection Sheet'!$L102, 'Master List Import'!$A$1:$P$519, 3, FALSE), ""), "")</f>
        <v>Foam Earplugs, Uncorded, 2pk - 200/cs</v>
      </c>
      <c r="C194" s="76">
        <f>IF('Interactive Selection Sheet'!$T$2="", "", IF(B194="","",'Interactive Selection Sheet'!$T$2))</f>
        <v>3.5000000000000003E-2</v>
      </c>
      <c r="D194" s="70">
        <f>IF(B194 = "", "", 'Interactive Selection Sheet'!$Q$2)</f>
        <v>4.4999999999999998E-2</v>
      </c>
      <c r="E194" s="70">
        <f>IF(B194="","", 'Interactive Selection Sheet'!$R$2)</f>
        <v>0.02</v>
      </c>
      <c r="F194" s="69" t="str">
        <f>_xlfn.IFNA(IF('Interactive Selection Sheet'!K102= "", VLOOKUP('Interactive Selection Sheet'!$L102, 'Master List Import'!$A$1:$P$519, 4, FALSE), ""), "")</f>
        <v>Hygiene</v>
      </c>
      <c r="G194" s="69" t="str">
        <f>_xlfn.IFNA(IF('Interactive Selection Sheet'!K102= "", VLOOKUP('Interactive Selection Sheet'!$L102, 'Master List Import'!$A$1:$P$519, 5, FALSE), ""), "")</f>
        <v>Hygiene</v>
      </c>
      <c r="H194" s="69" t="str">
        <f>_xlfn.IFNA(IF('Interactive Selection Sheet'!K102= "", VLOOKUP('Interactive Selection Sheet'!$L102, 'Master List Import'!$A$1:$P$519, 6, FALSE), ""), "")</f>
        <v>Both</v>
      </c>
      <c r="I194" s="72">
        <f>_xlfn.IFNA(IF('Interactive Selection Sheet'!K102= "", VLOOKUP('Interactive Selection Sheet'!$L102, 'Master List Import'!$A$1:$P$519, 7, FALSE), ""), "")</f>
        <v>0.12</v>
      </c>
      <c r="J194" s="69" t="str">
        <f>_xlfn.IFNA(IF('Interactive Selection Sheet'!K102= "", VLOOKUP('Interactive Selection Sheet'!$L102, 'Master List Import'!$A$1:$P$519, 8, FALSE), ""), "")</f>
        <v>REI</v>
      </c>
      <c r="K194" s="69" t="str">
        <f>_xlfn.IFNA(IF('Interactive Selection Sheet'!K102= "", VLOOKUP('Interactive Selection Sheet'!$L102, 'Master List Import'!$A$1:$P$519, 9, FALSE), ""), "")</f>
        <v>404871</v>
      </c>
      <c r="L194" s="69">
        <f>_xlfn.IFNA(IF('Interactive Selection Sheet'!K102= "", VLOOKUP('Interactive Selection Sheet'!$L102, 'Master List Import'!$A$1:$P$519, 10, FALSE), ""), "")</f>
        <v>0</v>
      </c>
      <c r="M194" s="69">
        <f>_xlfn.IFNA(IF('Interactive Selection Sheet'!K102= "", VLOOKUP('Interactive Selection Sheet'!$L102, 'Master List Import'!$A$1:$P$519, 11, FALSE), ""), "")</f>
        <v>0</v>
      </c>
      <c r="N194" s="69">
        <f>_xlfn.IFNA(IF('Interactive Selection Sheet'!K102= "", VLOOKUP('Interactive Selection Sheet'!$L102, 'Master List Import'!$A$1:$P$519, 12, FALSE), ""), "")</f>
        <v>200</v>
      </c>
      <c r="O194" s="69">
        <f>_xlfn.IFNA(IF('Interactive Selection Sheet'!K102= "", VLOOKUP('Interactive Selection Sheet'!$L102, 'Master List Import'!$A$1:$P$519, 13, FALSE), ""), "")</f>
        <v>4802</v>
      </c>
      <c r="P194" s="69" t="str">
        <f>_xlfn.IFNA(IF('Interactive Selection Sheet'!K102= "", VLOOKUP('Interactive Selection Sheet'!$L102, 'Master List Import'!$A$1:$P$519, 14, FALSE), ""), "")</f>
        <v>Foam Earplugs</v>
      </c>
      <c r="Q194" s="69">
        <f>_xlfn.IFNA(IF('Interactive Selection Sheet'!K102= "", VLOOKUP('Interactive Selection Sheet'!$L102, 'Master List Import'!$A$1:$P$519, 15, FALSE), ""), "")</f>
        <v>1</v>
      </c>
      <c r="R194" s="74">
        <f>_xlfn.IFNA(IF('Interactive Selection Sheet'!K102= "", VLOOKUP('Interactive Selection Sheet'!$L102, 'Master List Import'!$A$1:$P$519, 16, FALSE), ""), "")</f>
        <v>0.55000000000000004</v>
      </c>
    </row>
    <row r="195" spans="1:18" ht="21.75" customHeight="1" x14ac:dyDescent="0.25">
      <c r="A195" s="69">
        <f>_xlfn.IFNA(IF('Interactive Selection Sheet'!$K103= "", VLOOKUP('Interactive Selection Sheet'!$L103, 'Master List Import'!$A$1:$P$519, 2, FALSE), ""), "")</f>
        <v>4830</v>
      </c>
      <c r="B195" s="69" t="str">
        <f>_xlfn.IFNA(IF('Interactive Selection Sheet'!$K103= "", VLOOKUP('Interactive Selection Sheet'!$L103, 'Master List Import'!$A$1:$P$519, 3, FALSE), ""), "")</f>
        <v>Green Heritage 2-Ply Toilet Tissue - 96/cs</v>
      </c>
      <c r="C195" s="76">
        <f>IF('Interactive Selection Sheet'!$T$2="", "", IF(B195="","",'Interactive Selection Sheet'!$T$2))</f>
        <v>3.5000000000000003E-2</v>
      </c>
      <c r="D195" s="70">
        <f>IF(B195 = "", "", 'Interactive Selection Sheet'!$Q$2)</f>
        <v>4.4999999999999998E-2</v>
      </c>
      <c r="E195" s="70">
        <f>IF(B195="","", 'Interactive Selection Sheet'!$R$2)</f>
        <v>0.02</v>
      </c>
      <c r="F195" s="69" t="str">
        <f>_xlfn.IFNA(IF('Interactive Selection Sheet'!K103= "", VLOOKUP('Interactive Selection Sheet'!$L103, 'Master List Import'!$A$1:$P$519, 4, FALSE), ""), "")</f>
        <v>Hygiene</v>
      </c>
      <c r="G195" s="69" t="str">
        <f>_xlfn.IFNA(IF('Interactive Selection Sheet'!K103= "", VLOOKUP('Interactive Selection Sheet'!$L103, 'Master List Import'!$A$1:$P$519, 5, FALSE), ""), "")</f>
        <v>Hygiene</v>
      </c>
      <c r="H195" s="69" t="str">
        <f>_xlfn.IFNA(IF('Interactive Selection Sheet'!K103= "", VLOOKUP('Interactive Selection Sheet'!$L103, 'Master List Import'!$A$1:$P$519, 6, FALSE), ""), "")</f>
        <v>Both</v>
      </c>
      <c r="I195" s="72">
        <f>_xlfn.IFNA(IF('Interactive Selection Sheet'!K103= "", VLOOKUP('Interactive Selection Sheet'!$L103, 'Master List Import'!$A$1:$P$519, 7, FALSE), ""), "")</f>
        <v>0.432</v>
      </c>
      <c r="J195" s="69" t="str">
        <f>_xlfn.IFNA(IF('Interactive Selection Sheet'!K103= "", VLOOKUP('Interactive Selection Sheet'!$L103, 'Master List Import'!$A$1:$P$519, 8, FALSE), ""), "")</f>
        <v>REI</v>
      </c>
      <c r="K195" s="69" t="str">
        <f>_xlfn.IFNA(IF('Interactive Selection Sheet'!K103= "", VLOOKUP('Interactive Selection Sheet'!$L103, 'Master List Import'!$A$1:$P$519, 9, FALSE), ""), "")</f>
        <v>593386</v>
      </c>
      <c r="L195" s="69">
        <f>_xlfn.IFNA(IF('Interactive Selection Sheet'!K103= "", VLOOKUP('Interactive Selection Sheet'!$L103, 'Master List Import'!$A$1:$P$519, 10, FALSE), ""), "")</f>
        <v>0</v>
      </c>
      <c r="M195" s="69">
        <f>_xlfn.IFNA(IF('Interactive Selection Sheet'!K103= "", VLOOKUP('Interactive Selection Sheet'!$L103, 'Master List Import'!$A$1:$P$519, 11, FALSE), ""), "")</f>
        <v>0</v>
      </c>
      <c r="N195" s="69">
        <f>_xlfn.IFNA(IF('Interactive Selection Sheet'!K103= "", VLOOKUP('Interactive Selection Sheet'!$L103, 'Master List Import'!$A$1:$P$519, 12, FALSE), ""), "")</f>
        <v>96</v>
      </c>
      <c r="O195" s="69">
        <f>_xlfn.IFNA(IF('Interactive Selection Sheet'!K103= "", VLOOKUP('Interactive Selection Sheet'!$L103, 'Master List Import'!$A$1:$P$519, 13, FALSE), ""), "")</f>
        <v>4830</v>
      </c>
      <c r="P195" s="69" t="str">
        <f>_xlfn.IFNA(IF('Interactive Selection Sheet'!K103= "", VLOOKUP('Interactive Selection Sheet'!$L103, 'Master List Import'!$A$1:$P$519, 14, FALSE), ""), "")</f>
        <v>Toilet Paper</v>
      </c>
      <c r="Q195" s="69">
        <f>_xlfn.IFNA(IF('Interactive Selection Sheet'!K103= "", VLOOKUP('Interactive Selection Sheet'!$L103, 'Master List Import'!$A$1:$P$519, 15, FALSE), ""), "")</f>
        <v>1</v>
      </c>
      <c r="R195" s="74">
        <f>_xlfn.IFNA(IF('Interactive Selection Sheet'!K103= "", VLOOKUP('Interactive Selection Sheet'!$L103, 'Master List Import'!$A$1:$P$519, 16, FALSE), ""), "")</f>
        <v>1.3</v>
      </c>
    </row>
    <row r="196" spans="1:18" ht="21.75" customHeight="1" x14ac:dyDescent="0.25">
      <c r="A196" s="69">
        <f>_xlfn.IFNA(IF('Interactive Selection Sheet'!$K104= "", VLOOKUP('Interactive Selection Sheet'!$L104, 'Master List Import'!$A$1:$P$519, 2, FALSE), ""), "")</f>
        <v>4840</v>
      </c>
      <c r="B196" s="69" t="str">
        <f>_xlfn.IFNA(IF('Interactive Selection Sheet'!$K104= "", VLOOKUP('Interactive Selection Sheet'!$L104, 'Master List Import'!$A$1:$P$519, 3, FALSE), ""), "")</f>
        <v>Nail Clippers, No File - 12/cs</v>
      </c>
      <c r="C196" s="76">
        <f>IF('Interactive Selection Sheet'!$T$2="", "", IF(B196="","",'Interactive Selection Sheet'!$T$2))</f>
        <v>3.5000000000000003E-2</v>
      </c>
      <c r="D196" s="70">
        <f>IF(B196 = "", "", 'Interactive Selection Sheet'!$Q$2)</f>
        <v>4.4999999999999998E-2</v>
      </c>
      <c r="E196" s="70">
        <f>IF(B196="","", 'Interactive Selection Sheet'!$R$2)</f>
        <v>0.02</v>
      </c>
      <c r="F196" s="69" t="str">
        <f>_xlfn.IFNA(IF('Interactive Selection Sheet'!K104= "", VLOOKUP('Interactive Selection Sheet'!$L104, 'Master List Import'!$A$1:$P$519, 4, FALSE), ""), "")</f>
        <v>Hygiene</v>
      </c>
      <c r="G196" s="69" t="str">
        <f>_xlfn.IFNA(IF('Interactive Selection Sheet'!K104= "", VLOOKUP('Interactive Selection Sheet'!$L104, 'Master List Import'!$A$1:$P$519, 5, FALSE), ""), "")</f>
        <v>Hygiene</v>
      </c>
      <c r="H196" s="69" t="str">
        <f>_xlfn.IFNA(IF('Interactive Selection Sheet'!K104= "", VLOOKUP('Interactive Selection Sheet'!$L104, 'Master List Import'!$A$1:$P$519, 6, FALSE), ""), "")</f>
        <v>Both</v>
      </c>
      <c r="I196" s="72">
        <f>_xlfn.IFNA(IF('Interactive Selection Sheet'!K104= "", VLOOKUP('Interactive Selection Sheet'!$L104, 'Master List Import'!$A$1:$P$519, 7, FALSE), ""), "")</f>
        <v>0.31909999999999999</v>
      </c>
      <c r="J196" s="69" t="str">
        <f>_xlfn.IFNA(IF('Interactive Selection Sheet'!K104= "", VLOOKUP('Interactive Selection Sheet'!$L104, 'Master List Import'!$A$1:$P$519, 8, FALSE), ""), "")</f>
        <v>REI</v>
      </c>
      <c r="K196" s="69" t="str">
        <f>_xlfn.IFNA(IF('Interactive Selection Sheet'!K104= "", VLOOKUP('Interactive Selection Sheet'!$L104, 'Master List Import'!$A$1:$P$519, 9, FALSE), ""), "")</f>
        <v>396524</v>
      </c>
      <c r="L196" s="69">
        <f>_xlfn.IFNA(IF('Interactive Selection Sheet'!K104= "", VLOOKUP('Interactive Selection Sheet'!$L104, 'Master List Import'!$A$1:$P$519, 10, FALSE), ""), "")</f>
        <v>0</v>
      </c>
      <c r="M196" s="69">
        <f>_xlfn.IFNA(IF('Interactive Selection Sheet'!K104= "", VLOOKUP('Interactive Selection Sheet'!$L104, 'Master List Import'!$A$1:$P$519, 11, FALSE), ""), "")</f>
        <v>0</v>
      </c>
      <c r="N196" s="69">
        <f>_xlfn.IFNA(IF('Interactive Selection Sheet'!K104= "", VLOOKUP('Interactive Selection Sheet'!$L104, 'Master List Import'!$A$1:$P$519, 12, FALSE), ""), "")</f>
        <v>12</v>
      </c>
      <c r="O196" s="69">
        <f>_xlfn.IFNA(IF('Interactive Selection Sheet'!K104= "", VLOOKUP('Interactive Selection Sheet'!$L104, 'Master List Import'!$A$1:$P$519, 13, FALSE), ""), "")</f>
        <v>4840</v>
      </c>
      <c r="P196" s="69" t="str">
        <f>_xlfn.IFNA(IF('Interactive Selection Sheet'!K104= "", VLOOKUP('Interactive Selection Sheet'!$L104, 'Master List Import'!$A$1:$P$519, 14, FALSE), ""), "")</f>
        <v>Nail Clippers</v>
      </c>
      <c r="Q196" s="69">
        <f>_xlfn.IFNA(IF('Interactive Selection Sheet'!K104= "", VLOOKUP('Interactive Selection Sheet'!$L104, 'Master List Import'!$A$1:$P$519, 15, FALSE), ""), "")</f>
        <v>1</v>
      </c>
      <c r="R196" s="74">
        <f>_xlfn.IFNA(IF('Interactive Selection Sheet'!K104= "", VLOOKUP('Interactive Selection Sheet'!$L104, 'Master List Import'!$A$1:$P$519, 16, FALSE), ""), "")</f>
        <v>1</v>
      </c>
    </row>
    <row r="197" spans="1:18" ht="21.75" customHeight="1" x14ac:dyDescent="0.25">
      <c r="A197" s="69">
        <f>_xlfn.IFNA(IF('Interactive Selection Sheet'!$K105= "", VLOOKUP('Interactive Selection Sheet'!$L105, 'Master List Import'!$A$1:$P$519, 2, FALSE), ""), "")</f>
        <v>4841</v>
      </c>
      <c r="B197" s="69" t="str">
        <f>_xlfn.IFNA(IF('Interactive Selection Sheet'!$K105= "", VLOOKUP('Interactive Selection Sheet'!$L105, 'Master List Import'!$A$1:$P$519, 3, FALSE), ""), "")</f>
        <v>Emery Board - 100/cs</v>
      </c>
      <c r="C197" s="76">
        <f>IF('Interactive Selection Sheet'!$T$2="", "", IF(B197="","",'Interactive Selection Sheet'!$T$2))</f>
        <v>3.5000000000000003E-2</v>
      </c>
      <c r="D197" s="70">
        <f>IF(B197 = "", "", 'Interactive Selection Sheet'!$Q$2)</f>
        <v>4.4999999999999998E-2</v>
      </c>
      <c r="E197" s="70">
        <f>IF(B197="","", 'Interactive Selection Sheet'!$R$2)</f>
        <v>0.02</v>
      </c>
      <c r="F197" s="69" t="str">
        <f>_xlfn.IFNA(IF('Interactive Selection Sheet'!K105= "", VLOOKUP('Interactive Selection Sheet'!$L105, 'Master List Import'!$A$1:$P$519, 4, FALSE), ""), "")</f>
        <v>Hygiene</v>
      </c>
      <c r="G197" s="69" t="str">
        <f>_xlfn.IFNA(IF('Interactive Selection Sheet'!K105= "", VLOOKUP('Interactive Selection Sheet'!$L105, 'Master List Import'!$A$1:$P$519, 5, FALSE), ""), "")</f>
        <v>Hygiene</v>
      </c>
      <c r="H197" s="69" t="str">
        <f>_xlfn.IFNA(IF('Interactive Selection Sheet'!K105= "", VLOOKUP('Interactive Selection Sheet'!$L105, 'Master List Import'!$A$1:$P$519, 6, FALSE), ""), "")</f>
        <v>Both</v>
      </c>
      <c r="I197" s="72">
        <f>_xlfn.IFNA(IF('Interactive Selection Sheet'!K105= "", VLOOKUP('Interactive Selection Sheet'!$L105, 'Master List Import'!$A$1:$P$519, 7, FALSE), ""), "")</f>
        <v>3.3000000000000002E-2</v>
      </c>
      <c r="J197" s="69" t="str">
        <f>_xlfn.IFNA(IF('Interactive Selection Sheet'!K105= "", VLOOKUP('Interactive Selection Sheet'!$L105, 'Master List Import'!$A$1:$P$519, 8, FALSE), ""), "")</f>
        <v>REI</v>
      </c>
      <c r="K197" s="69" t="str">
        <f>_xlfn.IFNA(IF('Interactive Selection Sheet'!K105= "", VLOOKUP('Interactive Selection Sheet'!$L105, 'Master List Import'!$A$1:$P$519, 9, FALSE), ""), "")</f>
        <v>396579</v>
      </c>
      <c r="L197" s="69">
        <f>_xlfn.IFNA(IF('Interactive Selection Sheet'!K105= "", VLOOKUP('Interactive Selection Sheet'!$L105, 'Master List Import'!$A$1:$P$519, 10, FALSE), ""), "")</f>
        <v>0</v>
      </c>
      <c r="M197" s="69">
        <f>_xlfn.IFNA(IF('Interactive Selection Sheet'!K105= "", VLOOKUP('Interactive Selection Sheet'!$L105, 'Master List Import'!$A$1:$P$519, 11, FALSE), ""), "")</f>
        <v>0</v>
      </c>
      <c r="N197" s="69">
        <f>_xlfn.IFNA(IF('Interactive Selection Sheet'!K105= "", VLOOKUP('Interactive Selection Sheet'!$L105, 'Master List Import'!$A$1:$P$519, 12, FALSE), ""), "")</f>
        <v>100</v>
      </c>
      <c r="O197" s="69">
        <f>_xlfn.IFNA(IF('Interactive Selection Sheet'!K105= "", VLOOKUP('Interactive Selection Sheet'!$L105, 'Master List Import'!$A$1:$P$519, 13, FALSE), ""), "")</f>
        <v>4841</v>
      </c>
      <c r="P197" s="69" t="str">
        <f>_xlfn.IFNA(IF('Interactive Selection Sheet'!K105= "", VLOOKUP('Interactive Selection Sheet'!$L105, 'Master List Import'!$A$1:$P$519, 14, FALSE), ""), "")</f>
        <v>Emery Board</v>
      </c>
      <c r="Q197" s="69">
        <f>_xlfn.IFNA(IF('Interactive Selection Sheet'!K105= "", VLOOKUP('Interactive Selection Sheet'!$L105, 'Master List Import'!$A$1:$P$519, 15, FALSE), ""), "")</f>
        <v>1</v>
      </c>
      <c r="R197" s="74">
        <f>_xlfn.IFNA(IF('Interactive Selection Sheet'!K105= "", VLOOKUP('Interactive Selection Sheet'!$L105, 'Master List Import'!$A$1:$P$519, 16, FALSE), ""), "")</f>
        <v>0.1</v>
      </c>
    </row>
    <row r="198" spans="1:18" ht="21.75" customHeight="1" x14ac:dyDescent="0.25">
      <c r="A198" s="69">
        <f>_xlfn.IFNA(IF('Interactive Selection Sheet'!$K107= "", VLOOKUP('Interactive Selection Sheet'!$L107, 'Master List Import'!$A$1:$P$519, 2, FALSE), ""), "")</f>
        <v>4900</v>
      </c>
      <c r="B198" s="69" t="str">
        <f>_xlfn.IFNA(IF('Interactive Selection Sheet'!$K107= "", VLOOKUP('Interactive Selection Sheet'!$L107, 'Master List Import'!$A$1:$P$519, 3, FALSE), ""), "")</f>
        <v>Douche, Fresh Scent, 4.5oz bottle - 12/cs</v>
      </c>
      <c r="C198" s="76">
        <f>IF('Interactive Selection Sheet'!$T$2="", "", IF(B198="","",'Interactive Selection Sheet'!$T$2))</f>
        <v>3.5000000000000003E-2</v>
      </c>
      <c r="D198" s="70">
        <f>IF(B198 = "", "", 'Interactive Selection Sheet'!$Q$2)</f>
        <v>4.4999999999999998E-2</v>
      </c>
      <c r="E198" s="70">
        <f>IF(B198="","", 'Interactive Selection Sheet'!$R$2)</f>
        <v>0.02</v>
      </c>
      <c r="F198" s="69" t="str">
        <f>_xlfn.IFNA(IF('Interactive Selection Sheet'!K107= "", VLOOKUP('Interactive Selection Sheet'!$L107, 'Master List Import'!$A$1:$P$519, 4, FALSE), ""), "")</f>
        <v>Hygiene</v>
      </c>
      <c r="G198" s="69" t="str">
        <f>_xlfn.IFNA(IF('Interactive Selection Sheet'!K107= "", VLOOKUP('Interactive Selection Sheet'!$L107, 'Master List Import'!$A$1:$P$519, 5, FALSE), ""), "")</f>
        <v>Hygiene</v>
      </c>
      <c r="H198" s="69" t="str">
        <f>_xlfn.IFNA(IF('Interactive Selection Sheet'!K107= "", VLOOKUP('Interactive Selection Sheet'!$L107, 'Master List Import'!$A$1:$P$519, 6, FALSE), ""), "")</f>
        <v>Female</v>
      </c>
      <c r="I198" s="72">
        <f>_xlfn.IFNA(IF('Interactive Selection Sheet'!K107= "", VLOOKUP('Interactive Selection Sheet'!$L107, 'Master List Import'!$A$1:$P$519, 7, FALSE), ""), "")</f>
        <v>1.25</v>
      </c>
      <c r="J198" s="69" t="str">
        <f>_xlfn.IFNA(IF('Interactive Selection Sheet'!K107= "", VLOOKUP('Interactive Selection Sheet'!$L107, 'Master List Import'!$A$1:$P$519, 8, FALSE), ""), "")</f>
        <v>REI</v>
      </c>
      <c r="K198" s="69" t="str">
        <f>_xlfn.IFNA(IF('Interactive Selection Sheet'!K107= "", VLOOKUP('Interactive Selection Sheet'!$L107, 'Master List Import'!$A$1:$P$519, 9, FALSE), ""), "")</f>
        <v>589502</v>
      </c>
      <c r="L198" s="69">
        <f>_xlfn.IFNA(IF('Interactive Selection Sheet'!K107= "", VLOOKUP('Interactive Selection Sheet'!$L107, 'Master List Import'!$A$1:$P$519, 10, FALSE), ""), "")</f>
        <v>0</v>
      </c>
      <c r="M198" s="69">
        <f>_xlfn.IFNA(IF('Interactive Selection Sheet'!K107= "", VLOOKUP('Interactive Selection Sheet'!$L107, 'Master List Import'!$A$1:$P$519, 11, FALSE), ""), "")</f>
        <v>0</v>
      </c>
      <c r="N198" s="69">
        <f>_xlfn.IFNA(IF('Interactive Selection Sheet'!K107= "", VLOOKUP('Interactive Selection Sheet'!$L107, 'Master List Import'!$A$1:$P$519, 12, FALSE), ""), "")</f>
        <v>12</v>
      </c>
      <c r="O198" s="69">
        <f>_xlfn.IFNA(IF('Interactive Selection Sheet'!K107= "", VLOOKUP('Interactive Selection Sheet'!$L107, 'Master List Import'!$A$1:$P$519, 13, FALSE), ""), "")</f>
        <v>4900</v>
      </c>
      <c r="P198" s="69" t="str">
        <f>_xlfn.IFNA(IF('Interactive Selection Sheet'!K107= "", VLOOKUP('Interactive Selection Sheet'!$L107, 'Master List Import'!$A$1:$P$519, 14, FALSE), ""), "")</f>
        <v>Douche</v>
      </c>
      <c r="Q198" s="69">
        <f>_xlfn.IFNA(IF('Interactive Selection Sheet'!K107= "", VLOOKUP('Interactive Selection Sheet'!$L107, 'Master List Import'!$A$1:$P$519, 15, FALSE), ""), "")</f>
        <v>1</v>
      </c>
      <c r="R198" s="74">
        <f>_xlfn.IFNA(IF('Interactive Selection Sheet'!K107= "", VLOOKUP('Interactive Selection Sheet'!$L107, 'Master List Import'!$A$1:$P$519, 16, FALSE), ""), "")</f>
        <v>3.75</v>
      </c>
    </row>
    <row r="199" spans="1:18" ht="21.75" customHeight="1" x14ac:dyDescent="0.25">
      <c r="A199" s="69">
        <f>_xlfn.IFNA(IF('Interactive Selection Sheet'!$K108= "", VLOOKUP('Interactive Selection Sheet'!$L108, 'Master List Import'!$A$1:$P$519, 2, FALSE), ""), "")</f>
        <v>4910</v>
      </c>
      <c r="B199" s="69" t="str">
        <f>_xlfn.IFNA(IF('Interactive Selection Sheet'!$K108= "", VLOOKUP('Interactive Selection Sheet'!$L108, 'Master List Import'!$A$1:$P$519, 3, FALSE), ""), "")</f>
        <v>Coralite Maxipads, Regular, 14ct - 24/cs</v>
      </c>
      <c r="C199" s="76">
        <f>IF('Interactive Selection Sheet'!$T$2="", "", IF(B199="","",'Interactive Selection Sheet'!$T$2))</f>
        <v>3.5000000000000003E-2</v>
      </c>
      <c r="D199" s="70">
        <f>IF(B199 = "", "", 'Interactive Selection Sheet'!$Q$2)</f>
        <v>4.4999999999999998E-2</v>
      </c>
      <c r="E199" s="70">
        <f>IF(B199="","", 'Interactive Selection Sheet'!$R$2)</f>
        <v>0.02</v>
      </c>
      <c r="F199" s="69" t="str">
        <f>_xlfn.IFNA(IF('Interactive Selection Sheet'!K108= "", VLOOKUP('Interactive Selection Sheet'!$L108, 'Master List Import'!$A$1:$P$519, 4, FALSE), ""), "")</f>
        <v>Hygiene</v>
      </c>
      <c r="G199" s="69" t="str">
        <f>_xlfn.IFNA(IF('Interactive Selection Sheet'!K108= "", VLOOKUP('Interactive Selection Sheet'!$L108, 'Master List Import'!$A$1:$P$519, 5, FALSE), ""), "")</f>
        <v>Hygiene</v>
      </c>
      <c r="H199" s="69" t="str">
        <f>_xlfn.IFNA(IF('Interactive Selection Sheet'!K108= "", VLOOKUP('Interactive Selection Sheet'!$L108, 'Master List Import'!$A$1:$P$519, 6, FALSE), ""), "")</f>
        <v>Female</v>
      </c>
      <c r="I199" s="72">
        <f>_xlfn.IFNA(IF('Interactive Selection Sheet'!K108= "", VLOOKUP('Interactive Selection Sheet'!$L108, 'Master List Import'!$A$1:$P$519, 7, FALSE), ""), "")</f>
        <v>0.95</v>
      </c>
      <c r="J199" s="69" t="str">
        <f>_xlfn.IFNA(IF('Interactive Selection Sheet'!K108= "", VLOOKUP('Interactive Selection Sheet'!$L108, 'Master List Import'!$A$1:$P$519, 8, FALSE), ""), "")</f>
        <v>REI</v>
      </c>
      <c r="K199" s="69" t="str">
        <f>_xlfn.IFNA(IF('Interactive Selection Sheet'!K108= "", VLOOKUP('Interactive Selection Sheet'!$L108, 'Master List Import'!$A$1:$P$519, 9, FALSE), ""), "")</f>
        <v>588270</v>
      </c>
      <c r="L199" s="69">
        <f>_xlfn.IFNA(IF('Interactive Selection Sheet'!K108= "", VLOOKUP('Interactive Selection Sheet'!$L108, 'Master List Import'!$A$1:$P$519, 10, FALSE), ""), "")</f>
        <v>0</v>
      </c>
      <c r="M199" s="69">
        <f>_xlfn.IFNA(IF('Interactive Selection Sheet'!K108= "", VLOOKUP('Interactive Selection Sheet'!$L108, 'Master List Import'!$A$1:$P$519, 11, FALSE), ""), "")</f>
        <v>0</v>
      </c>
      <c r="N199" s="69">
        <f>_xlfn.IFNA(IF('Interactive Selection Sheet'!K108= "", VLOOKUP('Interactive Selection Sheet'!$L108, 'Master List Import'!$A$1:$P$519, 12, FALSE), ""), "")</f>
        <v>24</v>
      </c>
      <c r="O199" s="69">
        <f>_xlfn.IFNA(IF('Interactive Selection Sheet'!K108= "", VLOOKUP('Interactive Selection Sheet'!$L108, 'Master List Import'!$A$1:$P$519, 13, FALSE), ""), "")</f>
        <v>4910</v>
      </c>
      <c r="P199" s="69" t="str">
        <f>_xlfn.IFNA(IF('Interactive Selection Sheet'!K108= "", VLOOKUP('Interactive Selection Sheet'!$L108, 'Master List Import'!$A$1:$P$519, 14, FALSE), ""), "")</f>
        <v>Maxipads (14ct)</v>
      </c>
      <c r="Q199" s="69">
        <f>_xlfn.IFNA(IF('Interactive Selection Sheet'!K108= "", VLOOKUP('Interactive Selection Sheet'!$L108, 'Master List Import'!$A$1:$P$519, 15, FALSE), ""), "")</f>
        <v>1</v>
      </c>
      <c r="R199" s="74">
        <f>_xlfn.IFNA(IF('Interactive Selection Sheet'!K108= "", VLOOKUP('Interactive Selection Sheet'!$L108, 'Master List Import'!$A$1:$P$519, 16, FALSE), ""), "")</f>
        <v>2.65</v>
      </c>
    </row>
    <row r="200" spans="1:18" ht="21.75" customHeight="1" x14ac:dyDescent="0.25">
      <c r="A200" s="69">
        <f>_xlfn.IFNA(IF('Interactive Selection Sheet'!$K109= "", VLOOKUP('Interactive Selection Sheet'!$L109, 'Master List Import'!$A$1:$P$519, 2, FALSE), ""), "")</f>
        <v>4920</v>
      </c>
      <c r="B200" s="69" t="str">
        <f>_xlfn.IFNA(IF('Interactive Selection Sheet'!$K109= "", VLOOKUP('Interactive Selection Sheet'!$L109, 'Master List Import'!$A$1:$P$519, 3, FALSE), ""), "")</f>
        <v>Best Choice Tampons, Regular, 40ct box - 12/cs</v>
      </c>
      <c r="C200" s="76">
        <f>IF('Interactive Selection Sheet'!$T$2="", "", IF(B200="","",'Interactive Selection Sheet'!$T$2))</f>
        <v>3.5000000000000003E-2</v>
      </c>
      <c r="D200" s="70">
        <f>IF(B200 = "", "", 'Interactive Selection Sheet'!$Q$2)</f>
        <v>4.4999999999999998E-2</v>
      </c>
      <c r="E200" s="70">
        <f>IF(B200="","", 'Interactive Selection Sheet'!$R$2)</f>
        <v>0.02</v>
      </c>
      <c r="F200" s="69" t="str">
        <f>_xlfn.IFNA(IF('Interactive Selection Sheet'!K109= "", VLOOKUP('Interactive Selection Sheet'!$L109, 'Master List Import'!$A$1:$P$519, 4, FALSE), ""), "")</f>
        <v>Hygiene</v>
      </c>
      <c r="G200" s="69" t="str">
        <f>_xlfn.IFNA(IF('Interactive Selection Sheet'!K109= "", VLOOKUP('Interactive Selection Sheet'!$L109, 'Master List Import'!$A$1:$P$519, 5, FALSE), ""), "")</f>
        <v>Hygiene</v>
      </c>
      <c r="H200" s="69" t="str">
        <f>_xlfn.IFNA(IF('Interactive Selection Sheet'!K109= "", VLOOKUP('Interactive Selection Sheet'!$L109, 'Master List Import'!$A$1:$P$519, 6, FALSE), ""), "")</f>
        <v>Female</v>
      </c>
      <c r="I200" s="72">
        <f>_xlfn.IFNA(IF('Interactive Selection Sheet'!K109= "", VLOOKUP('Interactive Selection Sheet'!$L109, 'Master List Import'!$A$1:$P$519, 7, FALSE), ""), "")</f>
        <v>0.1</v>
      </c>
      <c r="J200" s="69" t="str">
        <f>_xlfn.IFNA(IF('Interactive Selection Sheet'!K109= "", VLOOKUP('Interactive Selection Sheet'!$L109, 'Master List Import'!$A$1:$P$519, 8, FALSE), ""), "")</f>
        <v>REI</v>
      </c>
      <c r="K200" s="69" t="str">
        <f>_xlfn.IFNA(IF('Interactive Selection Sheet'!K109= "", VLOOKUP('Interactive Selection Sheet'!$L109, 'Master List Import'!$A$1:$P$519, 9, FALSE), ""), "")</f>
        <v>588301</v>
      </c>
      <c r="L200" s="69">
        <f>_xlfn.IFNA(IF('Interactive Selection Sheet'!K109= "", VLOOKUP('Interactive Selection Sheet'!$L109, 'Master List Import'!$A$1:$P$519, 10, FALSE), ""), "")</f>
        <v>0</v>
      </c>
      <c r="M200" s="69">
        <f>_xlfn.IFNA(IF('Interactive Selection Sheet'!K109= "", VLOOKUP('Interactive Selection Sheet'!$L109, 'Master List Import'!$A$1:$P$519, 11, FALSE), ""), "")</f>
        <v>0</v>
      </c>
      <c r="N200" s="69">
        <f>_xlfn.IFNA(IF('Interactive Selection Sheet'!K109= "", VLOOKUP('Interactive Selection Sheet'!$L109, 'Master List Import'!$A$1:$P$519, 12, FALSE), ""), "")</f>
        <v>480</v>
      </c>
      <c r="O200" s="69">
        <f>_xlfn.IFNA(IF('Interactive Selection Sheet'!K109= "", VLOOKUP('Interactive Selection Sheet'!$L109, 'Master List Import'!$A$1:$P$519, 13, FALSE), ""), "")</f>
        <v>4920</v>
      </c>
      <c r="P200" s="69" t="str">
        <f>_xlfn.IFNA(IF('Interactive Selection Sheet'!K109= "", VLOOKUP('Interactive Selection Sheet'!$L109, 'Master List Import'!$A$1:$P$519, 14, FALSE), ""), "")</f>
        <v>Tampons (10ct)</v>
      </c>
      <c r="Q200" s="69">
        <f>_xlfn.IFNA(IF('Interactive Selection Sheet'!K109= "", VLOOKUP('Interactive Selection Sheet'!$L109, 'Master List Import'!$A$1:$P$519, 15, FALSE), ""), "")</f>
        <v>10</v>
      </c>
      <c r="R200" s="74">
        <f>_xlfn.IFNA(IF('Interactive Selection Sheet'!K109= "", VLOOKUP('Interactive Selection Sheet'!$L109, 'Master List Import'!$A$1:$P$519, 16, FALSE), ""), "")</f>
        <v>3.3</v>
      </c>
    </row>
    <row r="201" spans="1:18" ht="21.75" customHeight="1" x14ac:dyDescent="0.25">
      <c r="A201" s="69">
        <f>_xlfn.IFNA(IF('Interactive Selection Sheet'!A98 = "", VLOOKUP('Interactive Selection Sheet'!$B98, 'Master List Import'!$A$1:$P$519, 2, FALSE), ""), "")</f>
        <v>5000</v>
      </c>
      <c r="B201" s="69" t="str">
        <f>_xlfn.IFNA(IF('Interactive Selection Sheet'!A98 = "", VLOOKUP('Interactive Selection Sheet'!$B98, 'Master List Import'!$A$1:$P$519, 3, FALSE), ""), "")</f>
        <v>VO5 Extra Body Shampoo, 12.5oz bottle - 6/cs</v>
      </c>
      <c r="C201" s="76">
        <f>IF('Interactive Selection Sheet'!$T$2="", "", IF(B201="","",'Interactive Selection Sheet'!$T$2))</f>
        <v>3.5000000000000003E-2</v>
      </c>
      <c r="D201" s="70">
        <f>IF(B201 = "", "", 'Interactive Selection Sheet'!$Q$2)</f>
        <v>4.4999999999999998E-2</v>
      </c>
      <c r="E201" s="70">
        <f>IF(B201="","", 'Interactive Selection Sheet'!$R$2)</f>
        <v>0.02</v>
      </c>
      <c r="F201" s="69" t="str">
        <f>_xlfn.IFNA(IF('Interactive Selection Sheet'!A98 = "", VLOOKUP('Interactive Selection Sheet'!$B98, 'Master List Import'!$A$1:$P$519, 4, FALSE), ""), "")</f>
        <v>Hygiene</v>
      </c>
      <c r="G201" s="69" t="str">
        <f>_xlfn.IFNA(IF('Interactive Selection Sheet'!A98 = "", VLOOKUP('Interactive Selection Sheet'!$B98, 'Master List Import'!$A$1:$P$519, 5, FALSE), ""), "")</f>
        <v>Hygiene</v>
      </c>
      <c r="H201" s="69" t="str">
        <f>_xlfn.IFNA(IF('Interactive Selection Sheet'!A98 = "", VLOOKUP('Interactive Selection Sheet'!$B98, 'Master List Import'!$A$1:$P$519, 6, FALSE), ""), "")</f>
        <v>Both</v>
      </c>
      <c r="I201" s="72">
        <f>_xlfn.IFNA(IF('Interactive Selection Sheet'!A98 = "", VLOOKUP('Interactive Selection Sheet'!$B98, 'Master List Import'!$A$1:$P$519, 7, FALSE), ""), "")</f>
        <v>1.1599999999999999</v>
      </c>
      <c r="J201" s="69" t="str">
        <f>_xlfn.IFNA(IF('Interactive Selection Sheet'!A98 = "", VLOOKUP('Interactive Selection Sheet'!$B98, 'Master List Import'!$A$1:$P$519, 8, FALSE), ""), "")</f>
        <v>REI</v>
      </c>
      <c r="K201" s="69" t="str">
        <f>_xlfn.IFNA(IF('Interactive Selection Sheet'!A98 = "", VLOOKUP('Interactive Selection Sheet'!$B98, 'Master List Import'!$A$1:$P$519, 9, FALSE), ""), "")</f>
        <v>393645</v>
      </c>
      <c r="L201" s="69">
        <f>_xlfn.IFNA(IF('Interactive Selection Sheet'!A98 = "", VLOOKUP('Interactive Selection Sheet'!$B98, 'Master List Import'!$A$1:$P$519, 10, FALSE), ""), "")</f>
        <v>0</v>
      </c>
      <c r="M201" s="69">
        <f>_xlfn.IFNA(IF('Interactive Selection Sheet'!A98 = "", VLOOKUP('Interactive Selection Sheet'!$B98, 'Master List Import'!$A$1:$P$519, 11, FALSE), ""), "")</f>
        <v>0</v>
      </c>
      <c r="N201" s="69">
        <f>_xlfn.IFNA(IF('Interactive Selection Sheet'!A98 = "", VLOOKUP('Interactive Selection Sheet'!$B98, 'Master List Import'!$A$1:$P$519, 12, FALSE), ""), "")</f>
        <v>6</v>
      </c>
      <c r="O201" s="69">
        <f>_xlfn.IFNA(IF('Interactive Selection Sheet'!A98 = "", VLOOKUP('Interactive Selection Sheet'!$B98, 'Master List Import'!$A$1:$P$519, 13, FALSE), ""), "")</f>
        <v>5000</v>
      </c>
      <c r="P201" s="69" t="str">
        <f>_xlfn.IFNA(IF('Interactive Selection Sheet'!A98 = "", VLOOKUP('Interactive Selection Sheet'!$B98, 'Master List Import'!$A$1:$P$519, 14, FALSE), ""), "")</f>
        <v>VO5 Extra Body Shampoo</v>
      </c>
      <c r="Q201" s="69">
        <f>_xlfn.IFNA(IF('Interactive Selection Sheet'!A98 = "", VLOOKUP('Interactive Selection Sheet'!$B98, 'Master List Import'!$A$1:$P$519, 15, FALSE), ""), "")</f>
        <v>1</v>
      </c>
      <c r="R201" s="74">
        <f>_xlfn.IFNA(IF('Interactive Selection Sheet'!A98 = "", VLOOKUP('Interactive Selection Sheet'!$B98, 'Master List Import'!$A$1:$P$519, 16, FALSE), ""), "")</f>
        <v>3.5</v>
      </c>
    </row>
    <row r="202" spans="1:18" ht="21.75" customHeight="1" x14ac:dyDescent="0.25">
      <c r="A202" s="69">
        <f>_xlfn.IFNA(IF('Interactive Selection Sheet'!A99 = "", VLOOKUP('Interactive Selection Sheet'!$B99, 'Master List Import'!$A$1:$P$519, 2, FALSE), ""), "")</f>
        <v>5001</v>
      </c>
      <c r="B202" s="69" t="str">
        <f>_xlfn.IFNA(IF('Interactive Selection Sheet'!A99 = "", VLOOKUP('Interactive Selection Sheet'!$B99, 'Master List Import'!$A$1:$P$519, 3, FALSE), ""), "")</f>
        <v>Herbal Shampoo, Vanilla &amp; Vitamin E, 12oz bottle - 12/cs</v>
      </c>
      <c r="C202" s="76">
        <f>IF('Interactive Selection Sheet'!$T$2="", "", IF(B202="","",'Interactive Selection Sheet'!$T$2))</f>
        <v>3.5000000000000003E-2</v>
      </c>
      <c r="D202" s="70">
        <f>IF(B202 = "", "", 'Interactive Selection Sheet'!$Q$2)</f>
        <v>4.4999999999999998E-2</v>
      </c>
      <c r="E202" s="70">
        <f>IF(B202="","", 'Interactive Selection Sheet'!$R$2)</f>
        <v>0.02</v>
      </c>
      <c r="F202" s="69" t="str">
        <f>_xlfn.IFNA(IF('Interactive Selection Sheet'!A99 = "", VLOOKUP('Interactive Selection Sheet'!$B99, 'Master List Import'!$A$1:$P$519, 4, FALSE), ""), "")</f>
        <v>Hygiene</v>
      </c>
      <c r="G202" s="69" t="str">
        <f>_xlfn.IFNA(IF('Interactive Selection Sheet'!A99 = "", VLOOKUP('Interactive Selection Sheet'!$B99, 'Master List Import'!$A$1:$P$519, 5, FALSE), ""), "")</f>
        <v>Hygiene</v>
      </c>
      <c r="H202" s="69" t="str">
        <f>_xlfn.IFNA(IF('Interactive Selection Sheet'!A99 = "", VLOOKUP('Interactive Selection Sheet'!$B99, 'Master List Import'!$A$1:$P$519, 6, FALSE), ""), "")</f>
        <v>Both</v>
      </c>
      <c r="I202" s="72">
        <f>_xlfn.IFNA(IF('Interactive Selection Sheet'!A99 = "", VLOOKUP('Interactive Selection Sheet'!$B99, 'Master List Import'!$A$1:$P$519, 7, FALSE), ""), "")</f>
        <v>0.97909999999999997</v>
      </c>
      <c r="J202" s="69" t="str">
        <f>_xlfn.IFNA(IF('Interactive Selection Sheet'!A99 = "", VLOOKUP('Interactive Selection Sheet'!$B99, 'Master List Import'!$A$1:$P$519, 8, FALSE), ""), "")</f>
        <v>REI</v>
      </c>
      <c r="K202" s="69" t="str">
        <f>_xlfn.IFNA(IF('Interactive Selection Sheet'!A99 = "", VLOOKUP('Interactive Selection Sheet'!$B99, 'Master List Import'!$A$1:$P$519, 9, FALSE), ""), "")</f>
        <v>393426</v>
      </c>
      <c r="L202" s="69">
        <f>_xlfn.IFNA(IF('Interactive Selection Sheet'!A99 = "", VLOOKUP('Interactive Selection Sheet'!$B99, 'Master List Import'!$A$1:$P$519, 10, FALSE), ""), "")</f>
        <v>0</v>
      </c>
      <c r="M202" s="69">
        <f>_xlfn.IFNA(IF('Interactive Selection Sheet'!A99 = "", VLOOKUP('Interactive Selection Sheet'!$B99, 'Master List Import'!$A$1:$P$519, 11, FALSE), ""), "")</f>
        <v>0</v>
      </c>
      <c r="N202" s="69">
        <f>_xlfn.IFNA(IF('Interactive Selection Sheet'!A99 = "", VLOOKUP('Interactive Selection Sheet'!$B99, 'Master List Import'!$A$1:$P$519, 12, FALSE), ""), "")</f>
        <v>12</v>
      </c>
      <c r="O202" s="69">
        <f>_xlfn.IFNA(IF('Interactive Selection Sheet'!A99 = "", VLOOKUP('Interactive Selection Sheet'!$B99, 'Master List Import'!$A$1:$P$519, 13, FALSE), ""), "")</f>
        <v>5001</v>
      </c>
      <c r="P202" s="69" t="str">
        <f>_xlfn.IFNA(IF('Interactive Selection Sheet'!A99 = "", VLOOKUP('Interactive Selection Sheet'!$B99, 'Master List Import'!$A$1:$P$519, 14, FALSE), ""), "")</f>
        <v>Herbal Shampoo (Vanilla/Vitamin E)</v>
      </c>
      <c r="Q202" s="69">
        <f>_xlfn.IFNA(IF('Interactive Selection Sheet'!A99 = "", VLOOKUP('Interactive Selection Sheet'!$B99, 'Master List Import'!$A$1:$P$519, 15, FALSE), ""), "")</f>
        <v>1</v>
      </c>
      <c r="R202" s="74">
        <f>_xlfn.IFNA(IF('Interactive Selection Sheet'!A99 = "", VLOOKUP('Interactive Selection Sheet'!$B99, 'Master List Import'!$A$1:$P$519, 16, FALSE), ""), "")</f>
        <v>3</v>
      </c>
    </row>
    <row r="203" spans="1:18" ht="21.75" customHeight="1" x14ac:dyDescent="0.25">
      <c r="A203" s="69">
        <f>_xlfn.IFNA(IF('Interactive Selection Sheet'!A100 = "", VLOOKUP('Interactive Selection Sheet'!$B100, 'Master List Import'!$A$1:$P$519, 2, FALSE), ""), "")</f>
        <v>5002</v>
      </c>
      <c r="B203" s="69" t="str">
        <f>_xlfn.IFNA(IF('Interactive Selection Sheet'!A100 = "", VLOOKUP('Interactive Selection Sheet'!$B100, 'Master List Import'!$A$1:$P$519, 3, FALSE), ""), "")</f>
        <v>VO5 Strawberries &amp; Cream Shampoo 12.5oz 6/cs</v>
      </c>
      <c r="C203" s="76">
        <f>IF('Interactive Selection Sheet'!$T$2="", "", IF(B203="","",'Interactive Selection Sheet'!$T$2))</f>
        <v>3.5000000000000003E-2</v>
      </c>
      <c r="D203" s="70">
        <f>IF(B203 = "", "", 'Interactive Selection Sheet'!$Q$2)</f>
        <v>4.4999999999999998E-2</v>
      </c>
      <c r="E203" s="70">
        <f>IF(B203="","", 'Interactive Selection Sheet'!$R$2)</f>
        <v>0.02</v>
      </c>
      <c r="F203" s="69" t="str">
        <f>_xlfn.IFNA(IF('Interactive Selection Sheet'!A100 = "", VLOOKUP('Interactive Selection Sheet'!$B100, 'Master List Import'!$A$1:$P$519, 4, FALSE), ""), "")</f>
        <v>Hygiene</v>
      </c>
      <c r="G203" s="69" t="str">
        <f>_xlfn.IFNA(IF('Interactive Selection Sheet'!A100 = "", VLOOKUP('Interactive Selection Sheet'!$B100, 'Master List Import'!$A$1:$P$519, 5, FALSE), ""), "")</f>
        <v>Hygiene</v>
      </c>
      <c r="H203" s="69" t="str">
        <f>_xlfn.IFNA(IF('Interactive Selection Sheet'!A100 = "", VLOOKUP('Interactive Selection Sheet'!$B100, 'Master List Import'!$A$1:$P$519, 6, FALSE), ""), "")</f>
        <v>Both</v>
      </c>
      <c r="I203" s="72">
        <f>_xlfn.IFNA(IF('Interactive Selection Sheet'!A100 = "", VLOOKUP('Interactive Selection Sheet'!$B100, 'Master List Import'!$A$1:$P$519, 7, FALSE), ""), "")</f>
        <v>1.1599999999999999</v>
      </c>
      <c r="J203" s="69" t="str">
        <f>_xlfn.IFNA(IF('Interactive Selection Sheet'!A100 = "", VLOOKUP('Interactive Selection Sheet'!$B100, 'Master List Import'!$A$1:$P$519, 8, FALSE), ""), "")</f>
        <v>REI</v>
      </c>
      <c r="K203" s="69" t="str">
        <f>_xlfn.IFNA(IF('Interactive Selection Sheet'!A100 = "", VLOOKUP('Interactive Selection Sheet'!$B100, 'Master List Import'!$A$1:$P$519, 9, FALSE), ""), "")</f>
        <v>393652</v>
      </c>
      <c r="L203" s="69">
        <f>_xlfn.IFNA(IF('Interactive Selection Sheet'!A100 = "", VLOOKUP('Interactive Selection Sheet'!$B100, 'Master List Import'!$A$1:$P$519, 10, FALSE), ""), "")</f>
        <v>0</v>
      </c>
      <c r="M203" s="69">
        <f>_xlfn.IFNA(IF('Interactive Selection Sheet'!A100 = "", VLOOKUP('Interactive Selection Sheet'!$B100, 'Master List Import'!$A$1:$P$519, 11, FALSE), ""), "")</f>
        <v>0</v>
      </c>
      <c r="N203" s="69">
        <f>_xlfn.IFNA(IF('Interactive Selection Sheet'!A100 = "", VLOOKUP('Interactive Selection Sheet'!$B100, 'Master List Import'!$A$1:$P$519, 12, FALSE), ""), "")</f>
        <v>6</v>
      </c>
      <c r="O203" s="69">
        <f>_xlfn.IFNA(IF('Interactive Selection Sheet'!A100 = "", VLOOKUP('Interactive Selection Sheet'!$B100, 'Master List Import'!$A$1:$P$519, 13, FALSE), ""), "")</f>
        <v>5002</v>
      </c>
      <c r="P203" s="69" t="str">
        <f>_xlfn.IFNA(IF('Interactive Selection Sheet'!A100 = "", VLOOKUP('Interactive Selection Sheet'!$B100, 'Master List Import'!$A$1:$P$519, 14, FALSE), ""), "")</f>
        <v>VO5 Strwb/Crm Shampoo</v>
      </c>
      <c r="Q203" s="69">
        <f>_xlfn.IFNA(IF('Interactive Selection Sheet'!A100 = "", VLOOKUP('Interactive Selection Sheet'!$B100, 'Master List Import'!$A$1:$P$519, 15, FALSE), ""), "")</f>
        <v>1</v>
      </c>
      <c r="R203" s="74">
        <f>_xlfn.IFNA(IF('Interactive Selection Sheet'!A100 = "", VLOOKUP('Interactive Selection Sheet'!$B100, 'Master List Import'!$A$1:$P$519, 16, FALSE), ""), "")</f>
        <v>3.5</v>
      </c>
    </row>
    <row r="204" spans="1:18" ht="21.75" customHeight="1" x14ac:dyDescent="0.25">
      <c r="A204" s="69">
        <f>_xlfn.IFNA(IF('Interactive Selection Sheet'!A101 = "", VLOOKUP('Interactive Selection Sheet'!$B101, 'Master List Import'!$A$1:$P$519, 2, FALSE), ""), "")</f>
        <v>5040</v>
      </c>
      <c r="B204" s="69" t="str">
        <f>_xlfn.IFNA(IF('Interactive Selection Sheet'!A101 = "", VLOOKUP('Interactive Selection Sheet'!$B101, 'Master List Import'!$A$1:$P$519, 3, FALSE), ""), "")</f>
        <v>Dandruff Shampoo, 1% Pyrithione Zinc, 13.5oz bottle - 12/cs</v>
      </c>
      <c r="C204" s="76">
        <f>IF('Interactive Selection Sheet'!$T$2="", "", IF(B204="","",'Interactive Selection Sheet'!$T$2))</f>
        <v>3.5000000000000003E-2</v>
      </c>
      <c r="D204" s="70">
        <f>IF(B204 = "", "", 'Interactive Selection Sheet'!$Q$2)</f>
        <v>4.4999999999999998E-2</v>
      </c>
      <c r="E204" s="70">
        <f>IF(B204="","", 'Interactive Selection Sheet'!$R$2)</f>
        <v>0.02</v>
      </c>
      <c r="F204" s="69" t="str">
        <f>_xlfn.IFNA(IF('Interactive Selection Sheet'!A101 = "", VLOOKUP('Interactive Selection Sheet'!$B101, 'Master List Import'!$A$1:$P$519, 4, FALSE), ""), "")</f>
        <v>Hygiene</v>
      </c>
      <c r="G204" s="69" t="str">
        <f>_xlfn.IFNA(IF('Interactive Selection Sheet'!A101 = "", VLOOKUP('Interactive Selection Sheet'!$B101, 'Master List Import'!$A$1:$P$519, 5, FALSE), ""), "")</f>
        <v>Hygiene</v>
      </c>
      <c r="H204" s="69" t="str">
        <f>_xlfn.IFNA(IF('Interactive Selection Sheet'!A101 = "", VLOOKUP('Interactive Selection Sheet'!$B101, 'Master List Import'!$A$1:$P$519, 6, FALSE), ""), "")</f>
        <v>Both</v>
      </c>
      <c r="I204" s="72">
        <f>_xlfn.IFNA(IF('Interactive Selection Sheet'!A101 = "", VLOOKUP('Interactive Selection Sheet'!$B101, 'Master List Import'!$A$1:$P$519, 7, FALSE), ""), "")</f>
        <v>0.99</v>
      </c>
      <c r="J204" s="69" t="str">
        <f>_xlfn.IFNA(IF('Interactive Selection Sheet'!A101 = "", VLOOKUP('Interactive Selection Sheet'!$B101, 'Master List Import'!$A$1:$P$519, 8, FALSE), ""), "")</f>
        <v>REI</v>
      </c>
      <c r="K204" s="69" t="str">
        <f>_xlfn.IFNA(IF('Interactive Selection Sheet'!A101 = "", VLOOKUP('Interactive Selection Sheet'!$B101, 'Master List Import'!$A$1:$P$519, 9, FALSE), ""), "")</f>
        <v>393422</v>
      </c>
      <c r="L204" s="69">
        <f>_xlfn.IFNA(IF('Interactive Selection Sheet'!A101 = "", VLOOKUP('Interactive Selection Sheet'!$B101, 'Master List Import'!$A$1:$P$519, 10, FALSE), ""), "")</f>
        <v>0</v>
      </c>
      <c r="M204" s="69">
        <f>_xlfn.IFNA(IF('Interactive Selection Sheet'!A101 = "", VLOOKUP('Interactive Selection Sheet'!$B101, 'Master List Import'!$A$1:$P$519, 11, FALSE), ""), "")</f>
        <v>0</v>
      </c>
      <c r="N204" s="69">
        <f>_xlfn.IFNA(IF('Interactive Selection Sheet'!A101 = "", VLOOKUP('Interactive Selection Sheet'!$B101, 'Master List Import'!$A$1:$P$519, 12, FALSE), ""), "")</f>
        <v>12</v>
      </c>
      <c r="O204" s="69">
        <f>_xlfn.IFNA(IF('Interactive Selection Sheet'!A101 = "", VLOOKUP('Interactive Selection Sheet'!$B101, 'Master List Import'!$A$1:$P$519, 13, FALSE), ""), "")</f>
        <v>5040</v>
      </c>
      <c r="P204" s="69" t="str">
        <f>_xlfn.IFNA(IF('Interactive Selection Sheet'!A101 = "", VLOOKUP('Interactive Selection Sheet'!$B101, 'Master List Import'!$A$1:$P$519, 14, FALSE), ""), "")</f>
        <v>Dandruff Shampoo</v>
      </c>
      <c r="Q204" s="69">
        <f>_xlfn.IFNA(IF('Interactive Selection Sheet'!A101 = "", VLOOKUP('Interactive Selection Sheet'!$B101, 'Master List Import'!$A$1:$P$519, 15, FALSE), ""), "")</f>
        <v>1</v>
      </c>
      <c r="R204" s="74">
        <f>_xlfn.IFNA(IF('Interactive Selection Sheet'!A101 = "", VLOOKUP('Interactive Selection Sheet'!$B101, 'Master List Import'!$A$1:$P$519, 16, FALSE), ""), "")</f>
        <v>3</v>
      </c>
    </row>
    <row r="205" spans="1:18" ht="21.75" customHeight="1" x14ac:dyDescent="0.25">
      <c r="A205" s="69">
        <f>_xlfn.IFNA(IF('Interactive Selection Sheet'!A102 = "", VLOOKUP('Interactive Selection Sheet'!$B102, 'Master List Import'!$A$1:$P$519, 2, FALSE), ""), "")</f>
        <v>5041</v>
      </c>
      <c r="B205" s="69" t="str">
        <f>_xlfn.IFNA(IF('Interactive Selection Sheet'!A102 = "", VLOOKUP('Interactive Selection Sheet'!$B102, 'Master List Import'!$A$1:$P$519, 3, FALSE), ""), "")</f>
        <v>Sulfur 8 Shampoo, 7.5oz - 12/cs</v>
      </c>
      <c r="C205" s="76">
        <f>IF('Interactive Selection Sheet'!$T$2="", "", IF(B205="","",'Interactive Selection Sheet'!$T$2))</f>
        <v>3.5000000000000003E-2</v>
      </c>
      <c r="D205" s="70">
        <f>IF(B205 = "", "", 'Interactive Selection Sheet'!$Q$2)</f>
        <v>4.4999999999999998E-2</v>
      </c>
      <c r="E205" s="70">
        <f>IF(B205="","", 'Interactive Selection Sheet'!$R$2)</f>
        <v>0.02</v>
      </c>
      <c r="F205" s="69" t="str">
        <f>_xlfn.IFNA(IF('Interactive Selection Sheet'!A102 = "", VLOOKUP('Interactive Selection Sheet'!$B102, 'Master List Import'!$A$1:$P$519, 4, FALSE), ""), "")</f>
        <v>Hygiene</v>
      </c>
      <c r="G205" s="69" t="str">
        <f>_xlfn.IFNA(IF('Interactive Selection Sheet'!A102 = "", VLOOKUP('Interactive Selection Sheet'!$B102, 'Master List Import'!$A$1:$P$519, 5, FALSE), ""), "")</f>
        <v>Hygiene</v>
      </c>
      <c r="H205" s="69" t="str">
        <f>_xlfn.IFNA(IF('Interactive Selection Sheet'!A102 = "", VLOOKUP('Interactive Selection Sheet'!$B102, 'Master List Import'!$A$1:$P$519, 6, FALSE), ""), "")</f>
        <v>Both</v>
      </c>
      <c r="I205" s="72">
        <f>_xlfn.IFNA(IF('Interactive Selection Sheet'!A102 = "", VLOOKUP('Interactive Selection Sheet'!$B102, 'Master List Import'!$A$1:$P$519, 7, FALSE), ""), "")</f>
        <v>4.18</v>
      </c>
      <c r="J205" s="69" t="str">
        <f>_xlfn.IFNA(IF('Interactive Selection Sheet'!A102 = "", VLOOKUP('Interactive Selection Sheet'!$B102, 'Master List Import'!$A$1:$P$519, 8, FALSE), ""), "")</f>
        <v>REI</v>
      </c>
      <c r="K205" s="69" t="str">
        <f>_xlfn.IFNA(IF('Interactive Selection Sheet'!A102 = "", VLOOKUP('Interactive Selection Sheet'!$B102, 'Master List Import'!$A$1:$P$519, 9, FALSE), ""), "")</f>
        <v>393500</v>
      </c>
      <c r="L205" s="69">
        <f>_xlfn.IFNA(IF('Interactive Selection Sheet'!A102 = "", VLOOKUP('Interactive Selection Sheet'!$B102, 'Master List Import'!$A$1:$P$519, 10, FALSE), ""), "")</f>
        <v>0</v>
      </c>
      <c r="M205" s="69">
        <f>_xlfn.IFNA(IF('Interactive Selection Sheet'!A102 = "", VLOOKUP('Interactive Selection Sheet'!$B102, 'Master List Import'!$A$1:$P$519, 11, FALSE), ""), "")</f>
        <v>0</v>
      </c>
      <c r="N205" s="69">
        <f>_xlfn.IFNA(IF('Interactive Selection Sheet'!A102 = "", VLOOKUP('Interactive Selection Sheet'!$B102, 'Master List Import'!$A$1:$P$519, 12, FALSE), ""), "")</f>
        <v>12</v>
      </c>
      <c r="O205" s="69">
        <f>_xlfn.IFNA(IF('Interactive Selection Sheet'!A102 = "", VLOOKUP('Interactive Selection Sheet'!$B102, 'Master List Import'!$A$1:$P$519, 13, FALSE), ""), "")</f>
        <v>5041</v>
      </c>
      <c r="P205" s="69" t="str">
        <f>_xlfn.IFNA(IF('Interactive Selection Sheet'!A102 = "", VLOOKUP('Interactive Selection Sheet'!$B102, 'Master List Import'!$A$1:$P$519, 14, FALSE), ""), "")</f>
        <v>Sulfur 8 Shampoo</v>
      </c>
      <c r="Q205" s="69">
        <f>_xlfn.IFNA(IF('Interactive Selection Sheet'!A102 = "", VLOOKUP('Interactive Selection Sheet'!$B102, 'Master List Import'!$A$1:$P$519, 15, FALSE), ""), "")</f>
        <v>1</v>
      </c>
      <c r="R205" s="74">
        <f>_xlfn.IFNA(IF('Interactive Selection Sheet'!A102 = "", VLOOKUP('Interactive Selection Sheet'!$B102, 'Master List Import'!$A$1:$P$519, 16, FALSE), ""), "")</f>
        <v>8.4</v>
      </c>
    </row>
    <row r="206" spans="1:18" ht="21.75" customHeight="1" x14ac:dyDescent="0.25">
      <c r="A206" s="69">
        <f>_xlfn.IFNA(IF('Interactive Selection Sheet'!A103 = "", VLOOKUP('Interactive Selection Sheet'!$B103, 'Master List Import'!$A$1:$P$519, 2, FALSE), ""), "")</f>
        <v>5042</v>
      </c>
      <c r="B206" s="69" t="str">
        <f>_xlfn.IFNA(IF('Interactive Selection Sheet'!A103 = "", VLOOKUP('Interactive Selection Sheet'!$B103, 'Master List Import'!$A$1:$P$519, 3, FALSE), ""), "")</f>
        <v>Sulfur 8 Medicated Conditioner - 12/cs</v>
      </c>
      <c r="C206" s="76">
        <f>IF('Interactive Selection Sheet'!$T$2="", "", IF(B206="","",'Interactive Selection Sheet'!$T$2))</f>
        <v>3.5000000000000003E-2</v>
      </c>
      <c r="D206" s="70">
        <f>IF(B206 = "", "", 'Interactive Selection Sheet'!$Q$2)</f>
        <v>4.4999999999999998E-2</v>
      </c>
      <c r="E206" s="70">
        <f>IF(B206="","", 'Interactive Selection Sheet'!$R$2)</f>
        <v>0.02</v>
      </c>
      <c r="F206" s="69" t="str">
        <f>_xlfn.IFNA(IF('Interactive Selection Sheet'!A103 = "", VLOOKUP('Interactive Selection Sheet'!$B103, 'Master List Import'!$A$1:$P$519, 4, FALSE), ""), "")</f>
        <v>Hygiene</v>
      </c>
      <c r="G206" s="69" t="str">
        <f>_xlfn.IFNA(IF('Interactive Selection Sheet'!A103 = "", VLOOKUP('Interactive Selection Sheet'!$B103, 'Master List Import'!$A$1:$P$519, 5, FALSE), ""), "")</f>
        <v>Hygiene</v>
      </c>
      <c r="H206" s="69" t="str">
        <f>_xlfn.IFNA(IF('Interactive Selection Sheet'!A103 = "", VLOOKUP('Interactive Selection Sheet'!$B103, 'Master List Import'!$A$1:$P$519, 6, FALSE), ""), "")</f>
        <v>Both</v>
      </c>
      <c r="I206" s="72">
        <f>_xlfn.IFNA(IF('Interactive Selection Sheet'!A103 = "", VLOOKUP('Interactive Selection Sheet'!$B103, 'Master List Import'!$A$1:$P$519, 7, FALSE), ""), "")</f>
        <v>2.8</v>
      </c>
      <c r="J206" s="69" t="str">
        <f>_xlfn.IFNA(IF('Interactive Selection Sheet'!A103 = "", VLOOKUP('Interactive Selection Sheet'!$B103, 'Master List Import'!$A$1:$P$519, 8, FALSE), ""), "")</f>
        <v>REI</v>
      </c>
      <c r="K206" s="69" t="str">
        <f>_xlfn.IFNA(IF('Interactive Selection Sheet'!A103 = "", VLOOKUP('Interactive Selection Sheet'!$B103, 'Master List Import'!$A$1:$P$519, 9, FALSE), ""), "")</f>
        <v>393942</v>
      </c>
      <c r="L206" s="69">
        <f>_xlfn.IFNA(IF('Interactive Selection Sheet'!A103 = "", VLOOKUP('Interactive Selection Sheet'!$B103, 'Master List Import'!$A$1:$P$519, 10, FALSE), ""), "")</f>
        <v>0</v>
      </c>
      <c r="M206" s="69">
        <f>_xlfn.IFNA(IF('Interactive Selection Sheet'!A103 = "", VLOOKUP('Interactive Selection Sheet'!$B103, 'Master List Import'!$A$1:$P$519, 11, FALSE), ""), "")</f>
        <v>0</v>
      </c>
      <c r="N206" s="69">
        <f>_xlfn.IFNA(IF('Interactive Selection Sheet'!A103 = "", VLOOKUP('Interactive Selection Sheet'!$B103, 'Master List Import'!$A$1:$P$519, 12, FALSE), ""), "")</f>
        <v>12</v>
      </c>
      <c r="O206" s="69">
        <f>_xlfn.IFNA(IF('Interactive Selection Sheet'!A103 = "", VLOOKUP('Interactive Selection Sheet'!$B103, 'Master List Import'!$A$1:$P$519, 13, FALSE), ""), "")</f>
        <v>5042</v>
      </c>
      <c r="P206" s="69" t="str">
        <f>_xlfn.IFNA(IF('Interactive Selection Sheet'!A103 = "", VLOOKUP('Interactive Selection Sheet'!$B103, 'Master List Import'!$A$1:$P$519, 14, FALSE), ""), "")</f>
        <v>Sulfur 8 Medicated Conditioner</v>
      </c>
      <c r="Q206" s="69">
        <f>_xlfn.IFNA(IF('Interactive Selection Sheet'!A103 = "", VLOOKUP('Interactive Selection Sheet'!$B103, 'Master List Import'!$A$1:$P$519, 15, FALSE), ""), "")</f>
        <v>1</v>
      </c>
      <c r="R206" s="74">
        <f>_xlfn.IFNA(IF('Interactive Selection Sheet'!A103 = "", VLOOKUP('Interactive Selection Sheet'!$B103, 'Master List Import'!$A$1:$P$519, 16, FALSE), ""), "")</f>
        <v>9</v>
      </c>
    </row>
    <row r="207" spans="1:18" ht="21.75" customHeight="1" x14ac:dyDescent="0.25">
      <c r="A207" s="69">
        <f>_xlfn.IFNA(IF('Interactive Selection Sheet'!A104 = "", VLOOKUP('Interactive Selection Sheet'!$B104, 'Master List Import'!$A$1:$P$519, 2, FALSE), ""), "")</f>
        <v>5050</v>
      </c>
      <c r="B207" s="69" t="str">
        <f>_xlfn.IFNA(IF('Interactive Selection Sheet'!A104 = "", VLOOKUP('Interactive Selection Sheet'!$B104, 'Master List Import'!$A$1:$P$519, 3, FALSE), ""), "")</f>
        <v>VO5 Extra Body Conditioner, 12.5oz bottle - 6/cs</v>
      </c>
      <c r="C207" s="76">
        <f>IF('Interactive Selection Sheet'!$T$2="", "", IF(B207="","",'Interactive Selection Sheet'!$T$2))</f>
        <v>3.5000000000000003E-2</v>
      </c>
      <c r="D207" s="70">
        <f>IF(B207 = "", "", 'Interactive Selection Sheet'!$Q$2)</f>
        <v>4.4999999999999998E-2</v>
      </c>
      <c r="E207" s="70">
        <f>IF(B207="","", 'Interactive Selection Sheet'!$R$2)</f>
        <v>0.02</v>
      </c>
      <c r="F207" s="69" t="str">
        <f>_xlfn.IFNA(IF('Interactive Selection Sheet'!A104 = "", VLOOKUP('Interactive Selection Sheet'!$B104, 'Master List Import'!$A$1:$P$519, 4, FALSE), ""), "")</f>
        <v>Hygiene</v>
      </c>
      <c r="G207" s="69" t="str">
        <f>_xlfn.IFNA(IF('Interactive Selection Sheet'!A104 = "", VLOOKUP('Interactive Selection Sheet'!$B104, 'Master List Import'!$A$1:$P$519, 5, FALSE), ""), "")</f>
        <v>Hygiene</v>
      </c>
      <c r="H207" s="69" t="str">
        <f>_xlfn.IFNA(IF('Interactive Selection Sheet'!A104 = "", VLOOKUP('Interactive Selection Sheet'!$B104, 'Master List Import'!$A$1:$P$519, 6, FALSE), ""), "")</f>
        <v>Both</v>
      </c>
      <c r="I207" s="72">
        <f>_xlfn.IFNA(IF('Interactive Selection Sheet'!A104 = "", VLOOKUP('Interactive Selection Sheet'!$B104, 'Master List Import'!$A$1:$P$519, 7, FALSE), ""), "")</f>
        <v>1.1599999999999999</v>
      </c>
      <c r="J207" s="69" t="str">
        <f>_xlfn.IFNA(IF('Interactive Selection Sheet'!A104 = "", VLOOKUP('Interactive Selection Sheet'!$B104, 'Master List Import'!$A$1:$P$519, 8, FALSE), ""), "")</f>
        <v>REI</v>
      </c>
      <c r="K207" s="69" t="str">
        <f>_xlfn.IFNA(IF('Interactive Selection Sheet'!A104 = "", VLOOKUP('Interactive Selection Sheet'!$B104, 'Master List Import'!$A$1:$P$519, 9, FALSE), ""), "")</f>
        <v>393950</v>
      </c>
      <c r="L207" s="69">
        <f>_xlfn.IFNA(IF('Interactive Selection Sheet'!A104 = "", VLOOKUP('Interactive Selection Sheet'!$B104, 'Master List Import'!$A$1:$P$519, 10, FALSE), ""), "")</f>
        <v>0</v>
      </c>
      <c r="M207" s="69">
        <f>_xlfn.IFNA(IF('Interactive Selection Sheet'!A104 = "", VLOOKUP('Interactive Selection Sheet'!$B104, 'Master List Import'!$A$1:$P$519, 11, FALSE), ""), "")</f>
        <v>0</v>
      </c>
      <c r="N207" s="69">
        <f>_xlfn.IFNA(IF('Interactive Selection Sheet'!A104 = "", VLOOKUP('Interactive Selection Sheet'!$B104, 'Master List Import'!$A$1:$P$519, 12, FALSE), ""), "")</f>
        <v>6</v>
      </c>
      <c r="O207" s="69">
        <f>_xlfn.IFNA(IF('Interactive Selection Sheet'!A104 = "", VLOOKUP('Interactive Selection Sheet'!$B104, 'Master List Import'!$A$1:$P$519, 13, FALSE), ""), "")</f>
        <v>5050</v>
      </c>
      <c r="P207" s="69" t="str">
        <f>_xlfn.IFNA(IF('Interactive Selection Sheet'!A104 = "", VLOOKUP('Interactive Selection Sheet'!$B104, 'Master List Import'!$A$1:$P$519, 14, FALSE), ""), "")</f>
        <v>VO5 Extra Body Conditioner</v>
      </c>
      <c r="Q207" s="69">
        <f>_xlfn.IFNA(IF('Interactive Selection Sheet'!A104 = "", VLOOKUP('Interactive Selection Sheet'!$B104, 'Master List Import'!$A$1:$P$519, 15, FALSE), ""), "")</f>
        <v>1</v>
      </c>
      <c r="R207" s="74">
        <f>_xlfn.IFNA(IF('Interactive Selection Sheet'!A104 = "", VLOOKUP('Interactive Selection Sheet'!$B104, 'Master List Import'!$A$1:$P$519, 16, FALSE), ""), "")</f>
        <v>3.5</v>
      </c>
    </row>
    <row r="208" spans="1:18" ht="21.75" customHeight="1" x14ac:dyDescent="0.25">
      <c r="A208" s="69">
        <f>_xlfn.IFNA(IF('Interactive Selection Sheet'!A105 = "", VLOOKUP('Interactive Selection Sheet'!$B105, 'Master List Import'!$A$1:$P$519, 2, FALSE), ""), "")</f>
        <v>5051</v>
      </c>
      <c r="B208" s="69" t="str">
        <f>_xlfn.IFNA(IF('Interactive Selection Sheet'!A105 = "", VLOOKUP('Interactive Selection Sheet'!$B105, 'Master List Import'!$A$1:$P$519, 3, FALSE), ""), "")</f>
        <v>Herbal Conditioner, Vanilla, 12oz bottle - 12/cs</v>
      </c>
      <c r="C208" s="76">
        <f>IF('Interactive Selection Sheet'!$T$2="", "", IF(B208="","",'Interactive Selection Sheet'!$T$2))</f>
        <v>3.5000000000000003E-2</v>
      </c>
      <c r="D208" s="70">
        <f>IF(B208 = "", "", 'Interactive Selection Sheet'!$Q$2)</f>
        <v>4.4999999999999998E-2</v>
      </c>
      <c r="E208" s="70">
        <f>IF(B208="","", 'Interactive Selection Sheet'!$R$2)</f>
        <v>0.02</v>
      </c>
      <c r="F208" s="69" t="str">
        <f>_xlfn.IFNA(IF('Interactive Selection Sheet'!A105 = "", VLOOKUP('Interactive Selection Sheet'!$B105, 'Master List Import'!$A$1:$P$519, 4, FALSE), ""), "")</f>
        <v>Hygiene</v>
      </c>
      <c r="G208" s="69" t="str">
        <f>_xlfn.IFNA(IF('Interactive Selection Sheet'!A105 = "", VLOOKUP('Interactive Selection Sheet'!$B105, 'Master List Import'!$A$1:$P$519, 5, FALSE), ""), "")</f>
        <v>Hygiene</v>
      </c>
      <c r="H208" s="69" t="str">
        <f>_xlfn.IFNA(IF('Interactive Selection Sheet'!A105 = "", VLOOKUP('Interactive Selection Sheet'!$B105, 'Master List Import'!$A$1:$P$519, 6, FALSE), ""), "")</f>
        <v>Both</v>
      </c>
      <c r="I208" s="72">
        <f>_xlfn.IFNA(IF('Interactive Selection Sheet'!A105 = "", VLOOKUP('Interactive Selection Sheet'!$B105, 'Master List Import'!$A$1:$P$519, 7, FALSE), ""), "")</f>
        <v>0.97909999999999997</v>
      </c>
      <c r="J208" s="69" t="str">
        <f>_xlfn.IFNA(IF('Interactive Selection Sheet'!A105 = "", VLOOKUP('Interactive Selection Sheet'!$B105, 'Master List Import'!$A$1:$P$519, 8, FALSE), ""), "")</f>
        <v>REI</v>
      </c>
      <c r="K208" s="69" t="str">
        <f>_xlfn.IFNA(IF('Interactive Selection Sheet'!A105 = "", VLOOKUP('Interactive Selection Sheet'!$B105, 'Master List Import'!$A$1:$P$519, 9, FALSE), ""), "")</f>
        <v>393746</v>
      </c>
      <c r="L208" s="69">
        <f>_xlfn.IFNA(IF('Interactive Selection Sheet'!A105 = "", VLOOKUP('Interactive Selection Sheet'!$B105, 'Master List Import'!$A$1:$P$519, 10, FALSE), ""), "")</f>
        <v>0</v>
      </c>
      <c r="M208" s="69">
        <f>_xlfn.IFNA(IF('Interactive Selection Sheet'!A105 = "", VLOOKUP('Interactive Selection Sheet'!$B105, 'Master List Import'!$A$1:$P$519, 11, FALSE), ""), "")</f>
        <v>0</v>
      </c>
      <c r="N208" s="69">
        <f>_xlfn.IFNA(IF('Interactive Selection Sheet'!A105 = "", VLOOKUP('Interactive Selection Sheet'!$B105, 'Master List Import'!$A$1:$P$519, 12, FALSE), ""), "")</f>
        <v>12</v>
      </c>
      <c r="O208" s="69">
        <f>_xlfn.IFNA(IF('Interactive Selection Sheet'!A105 = "", VLOOKUP('Interactive Selection Sheet'!$B105, 'Master List Import'!$A$1:$P$519, 13, FALSE), ""), "")</f>
        <v>5051</v>
      </c>
      <c r="P208" s="69" t="str">
        <f>_xlfn.IFNA(IF('Interactive Selection Sheet'!A105 = "", VLOOKUP('Interactive Selection Sheet'!$B105, 'Master List Import'!$A$1:$P$519, 14, FALSE), ""), "")</f>
        <v>Herbal Conditioner (Vanilla/Vitamin E)</v>
      </c>
      <c r="Q208" s="69">
        <f>_xlfn.IFNA(IF('Interactive Selection Sheet'!A105 = "", VLOOKUP('Interactive Selection Sheet'!$B105, 'Master List Import'!$A$1:$P$519, 15, FALSE), ""), "")</f>
        <v>1</v>
      </c>
      <c r="R208" s="74">
        <f>_xlfn.IFNA(IF('Interactive Selection Sheet'!A105 = "", VLOOKUP('Interactive Selection Sheet'!$B105, 'Master List Import'!$A$1:$P$519, 16, FALSE), ""), "")</f>
        <v>3</v>
      </c>
    </row>
    <row r="209" spans="1:18" ht="21.75" customHeight="1" x14ac:dyDescent="0.25">
      <c r="A209" s="69">
        <f>_xlfn.IFNA(IF('Interactive Selection Sheet'!A106 = "", VLOOKUP('Interactive Selection Sheet'!$B106, 'Master List Import'!$A$1:$P$519, 2, FALSE), ""), "")</f>
        <v>5052</v>
      </c>
      <c r="B209" s="69" t="str">
        <f>_xlfn.IFNA(IF('Interactive Selection Sheet'!A106 = "", VLOOKUP('Interactive Selection Sheet'!$B106, 'Master List Import'!$A$1:$P$519, 3, FALSE), ""), "")</f>
        <v>VO5 Strawberries &amp; Cream Conditioner 12.5oz 6/cs</v>
      </c>
      <c r="C209" s="76">
        <f>IF('Interactive Selection Sheet'!$T$2="", "", IF(B209="","",'Interactive Selection Sheet'!$T$2))</f>
        <v>3.5000000000000003E-2</v>
      </c>
      <c r="D209" s="70">
        <f>IF(B209 = "", "", 'Interactive Selection Sheet'!$Q$2)</f>
        <v>4.4999999999999998E-2</v>
      </c>
      <c r="E209" s="70">
        <f>IF(B209="","", 'Interactive Selection Sheet'!$R$2)</f>
        <v>0.02</v>
      </c>
      <c r="F209" s="69" t="str">
        <f>_xlfn.IFNA(IF('Interactive Selection Sheet'!A106 = "", VLOOKUP('Interactive Selection Sheet'!$B106, 'Master List Import'!$A$1:$P$519, 4, FALSE), ""), "")</f>
        <v>Hygiene</v>
      </c>
      <c r="G209" s="69" t="str">
        <f>_xlfn.IFNA(IF('Interactive Selection Sheet'!A106 = "", VLOOKUP('Interactive Selection Sheet'!$B106, 'Master List Import'!$A$1:$P$519, 5, FALSE), ""), "")</f>
        <v>Hygiene</v>
      </c>
      <c r="H209" s="69" t="str">
        <f>_xlfn.IFNA(IF('Interactive Selection Sheet'!A106 = "", VLOOKUP('Interactive Selection Sheet'!$B106, 'Master List Import'!$A$1:$P$519, 6, FALSE), ""), "")</f>
        <v>Both</v>
      </c>
      <c r="I209" s="72">
        <f>_xlfn.IFNA(IF('Interactive Selection Sheet'!A106 = "", VLOOKUP('Interactive Selection Sheet'!$B106, 'Master List Import'!$A$1:$P$519, 7, FALSE), ""), "")</f>
        <v>1.1599999999999999</v>
      </c>
      <c r="J209" s="69" t="str">
        <f>_xlfn.IFNA(IF('Interactive Selection Sheet'!A106 = "", VLOOKUP('Interactive Selection Sheet'!$B106, 'Master List Import'!$A$1:$P$519, 8, FALSE), ""), "")</f>
        <v>REI</v>
      </c>
      <c r="K209" s="69" t="str">
        <f>_xlfn.IFNA(IF('Interactive Selection Sheet'!A106 = "", VLOOKUP('Interactive Selection Sheet'!$B106, 'Master List Import'!$A$1:$P$519, 9, FALSE), ""), "")</f>
        <v>393959</v>
      </c>
      <c r="L209" s="69">
        <f>_xlfn.IFNA(IF('Interactive Selection Sheet'!A106 = "", VLOOKUP('Interactive Selection Sheet'!$B106, 'Master List Import'!$A$1:$P$519, 10, FALSE), ""), "")</f>
        <v>0</v>
      </c>
      <c r="M209" s="69">
        <f>_xlfn.IFNA(IF('Interactive Selection Sheet'!A106 = "", VLOOKUP('Interactive Selection Sheet'!$B106, 'Master List Import'!$A$1:$P$519, 11, FALSE), ""), "")</f>
        <v>0</v>
      </c>
      <c r="N209" s="69">
        <f>_xlfn.IFNA(IF('Interactive Selection Sheet'!A106 = "", VLOOKUP('Interactive Selection Sheet'!$B106, 'Master List Import'!$A$1:$P$519, 12, FALSE), ""), "")</f>
        <v>6</v>
      </c>
      <c r="O209" s="69">
        <f>_xlfn.IFNA(IF('Interactive Selection Sheet'!A106 = "", VLOOKUP('Interactive Selection Sheet'!$B106, 'Master List Import'!$A$1:$P$519, 13, FALSE), ""), "")</f>
        <v>5052</v>
      </c>
      <c r="P209" s="69" t="str">
        <f>_xlfn.IFNA(IF('Interactive Selection Sheet'!A106 = "", VLOOKUP('Interactive Selection Sheet'!$B106, 'Master List Import'!$A$1:$P$519, 14, FALSE), ""), "")</f>
        <v>VO5 Strwb/Crm Conditioner</v>
      </c>
      <c r="Q209" s="69">
        <f>_xlfn.IFNA(IF('Interactive Selection Sheet'!A106 = "", VLOOKUP('Interactive Selection Sheet'!$B106, 'Master List Import'!$A$1:$P$519, 15, FALSE), ""), "")</f>
        <v>1</v>
      </c>
      <c r="R209" s="74">
        <f>_xlfn.IFNA(IF('Interactive Selection Sheet'!A106 = "", VLOOKUP('Interactive Selection Sheet'!$B106, 'Master List Import'!$A$1:$P$519, 16, FALSE), ""), "")</f>
        <v>3.5</v>
      </c>
    </row>
    <row r="210" spans="1:18" ht="21.75" customHeight="1" x14ac:dyDescent="0.25">
      <c r="A210" s="69">
        <f>_xlfn.IFNA(IF('Interactive Selection Sheet'!A107 = "", VLOOKUP('Interactive Selection Sheet'!$B107, 'Master List Import'!$A$1:$P$519, 2, FALSE), ""), "")</f>
        <v>5060</v>
      </c>
      <c r="B210" s="69" t="str">
        <f>_xlfn.IFNA(IF('Interactive Selection Sheet'!A107 = "", VLOOKUP('Interactive Selection Sheet'!$B107, 'Master List Import'!$A$1:$P$519, 3, FALSE), ""), "")</f>
        <v>Freshscent Shampoo &amp; Bodywash, 4oz</v>
      </c>
      <c r="C210" s="76">
        <f>IF('Interactive Selection Sheet'!$T$2="", "", IF(B210="","",'Interactive Selection Sheet'!$T$2))</f>
        <v>3.5000000000000003E-2</v>
      </c>
      <c r="D210" s="70">
        <f>IF(B210 = "", "", 'Interactive Selection Sheet'!$Q$2)</f>
        <v>4.4999999999999998E-2</v>
      </c>
      <c r="E210" s="70">
        <f>IF(B210="","", 'Interactive Selection Sheet'!$R$2)</f>
        <v>0.02</v>
      </c>
      <c r="F210" s="69" t="str">
        <f>_xlfn.IFNA(IF('Interactive Selection Sheet'!A107 = "", VLOOKUP('Interactive Selection Sheet'!$B107, 'Master List Import'!$A$1:$P$519, 4, FALSE), ""), "")</f>
        <v>Hygiene</v>
      </c>
      <c r="G210" s="69" t="str">
        <f>_xlfn.IFNA(IF('Interactive Selection Sheet'!A107 = "", VLOOKUP('Interactive Selection Sheet'!$B107, 'Master List Import'!$A$1:$P$519, 5, FALSE), ""), "")</f>
        <v>Hygiene</v>
      </c>
      <c r="H210" s="69" t="str">
        <f>_xlfn.IFNA(IF('Interactive Selection Sheet'!A107 = "", VLOOKUP('Interactive Selection Sheet'!$B107, 'Master List Import'!$A$1:$P$519, 6, FALSE), ""), "")</f>
        <v>Both</v>
      </c>
      <c r="I210" s="72">
        <f>_xlfn.IFNA(IF('Interactive Selection Sheet'!A107 = "", VLOOKUP('Interactive Selection Sheet'!$B107, 'Master List Import'!$A$1:$P$519, 7, FALSE), ""), "")</f>
        <v>0.32</v>
      </c>
      <c r="J210" s="69" t="str">
        <f>_xlfn.IFNA(IF('Interactive Selection Sheet'!A107 = "", VLOOKUP('Interactive Selection Sheet'!$B107, 'Master List Import'!$A$1:$P$519, 8, FALSE), ""), "")</f>
        <v>REI</v>
      </c>
      <c r="K210" s="69" t="str">
        <f>_xlfn.IFNA(IF('Interactive Selection Sheet'!A107 = "", VLOOKUP('Interactive Selection Sheet'!$B107, 'Master List Import'!$A$1:$P$519, 9, FALSE), ""), "")</f>
        <v>400923</v>
      </c>
      <c r="L210" s="69">
        <f>_xlfn.IFNA(IF('Interactive Selection Sheet'!A107 = "", VLOOKUP('Interactive Selection Sheet'!$B107, 'Master List Import'!$A$1:$P$519, 10, FALSE), ""), "")</f>
        <v>0</v>
      </c>
      <c r="M210" s="69">
        <f>_xlfn.IFNA(IF('Interactive Selection Sheet'!A107 = "", VLOOKUP('Interactive Selection Sheet'!$B107, 'Master List Import'!$A$1:$P$519, 11, FALSE), ""), "")</f>
        <v>0</v>
      </c>
      <c r="N210" s="69">
        <f>_xlfn.IFNA(IF('Interactive Selection Sheet'!A107 = "", VLOOKUP('Interactive Selection Sheet'!$B107, 'Master List Import'!$A$1:$P$519, 12, FALSE), ""), "")</f>
        <v>60</v>
      </c>
      <c r="O210" s="69">
        <f>_xlfn.IFNA(IF('Interactive Selection Sheet'!A107 = "", VLOOKUP('Interactive Selection Sheet'!$B107, 'Master List Import'!$A$1:$P$519, 13, FALSE), ""), "")</f>
        <v>5060</v>
      </c>
      <c r="P210" s="69" t="str">
        <f>_xlfn.IFNA(IF('Interactive Selection Sheet'!A107 = "", VLOOKUP('Interactive Selection Sheet'!$B107, 'Master List Import'!$A$1:$P$519, 14, FALSE), ""), "")</f>
        <v>Freshscent Shampoo &amp; Bodywash</v>
      </c>
      <c r="Q210" s="69">
        <f>_xlfn.IFNA(IF('Interactive Selection Sheet'!A107 = "", VLOOKUP('Interactive Selection Sheet'!$B107, 'Master List Import'!$A$1:$P$519, 15, FALSE), ""), "")</f>
        <v>1</v>
      </c>
      <c r="R210" s="74">
        <f>_xlfn.IFNA(IF('Interactive Selection Sheet'!A107 = "", VLOOKUP('Interactive Selection Sheet'!$B107, 'Master List Import'!$A$1:$P$519, 16, FALSE), ""), "")</f>
        <v>1.5</v>
      </c>
    </row>
    <row r="211" spans="1:18" ht="21.75" customHeight="1" x14ac:dyDescent="0.25">
      <c r="A211" s="69">
        <f>_xlfn.IFNA(IF('Interactive Selection Sheet'!A108 = "", VLOOKUP('Interactive Selection Sheet'!$B108, 'Master List Import'!$A$1:$P$519, 2, FALSE), ""), "")</f>
        <v>5070</v>
      </c>
      <c r="B211" s="69" t="str">
        <f>_xlfn.IFNA(IF('Interactive Selection Sheet'!A108 = "", VLOOKUP('Interactive Selection Sheet'!$B108, 'Master List Import'!$A$1:$P$519, 3, FALSE), ""), "")</f>
        <v>White Rain Mens 3-In-1 Sh+Cnd+BW, 6/15oz</v>
      </c>
      <c r="C211" s="76">
        <f>IF('Interactive Selection Sheet'!$T$2="", "", IF(B211="","",'Interactive Selection Sheet'!$T$2))</f>
        <v>3.5000000000000003E-2</v>
      </c>
      <c r="D211" s="70">
        <f>IF(B211 = "", "", 'Interactive Selection Sheet'!$Q$2)</f>
        <v>4.4999999999999998E-2</v>
      </c>
      <c r="E211" s="70">
        <f>IF(B211="","", 'Interactive Selection Sheet'!$R$2)</f>
        <v>0.02</v>
      </c>
      <c r="F211" s="69" t="str">
        <f>_xlfn.IFNA(IF('Interactive Selection Sheet'!A108 = "", VLOOKUP('Interactive Selection Sheet'!$B108, 'Master List Import'!$A$1:$P$519, 4, FALSE), ""), "")</f>
        <v>Hygiene</v>
      </c>
      <c r="G211" s="69" t="str">
        <f>_xlfn.IFNA(IF('Interactive Selection Sheet'!A108 = "", VLOOKUP('Interactive Selection Sheet'!$B108, 'Master List Import'!$A$1:$P$519, 5, FALSE), ""), "")</f>
        <v>Hygiene</v>
      </c>
      <c r="H211" s="69" t="str">
        <f>_xlfn.IFNA(IF('Interactive Selection Sheet'!A108 = "", VLOOKUP('Interactive Selection Sheet'!$B108, 'Master List Import'!$A$1:$P$519, 6, FALSE), ""), "")</f>
        <v>Both</v>
      </c>
      <c r="I211" s="72">
        <f>_xlfn.IFNA(IF('Interactive Selection Sheet'!A108 = "", VLOOKUP('Interactive Selection Sheet'!$B108, 'Master List Import'!$A$1:$P$519, 7, FALSE), ""), "")</f>
        <v>1.1599999999999999</v>
      </c>
      <c r="J211" s="69" t="str">
        <f>_xlfn.IFNA(IF('Interactive Selection Sheet'!A108 = "", VLOOKUP('Interactive Selection Sheet'!$B108, 'Master List Import'!$A$1:$P$519, 8, FALSE), ""), "")</f>
        <v>REI</v>
      </c>
      <c r="K211" s="69" t="str">
        <f>_xlfn.IFNA(IF('Interactive Selection Sheet'!A108 = "", VLOOKUP('Interactive Selection Sheet'!$B108, 'Master List Import'!$A$1:$P$519, 9, FALSE), ""), "")</f>
        <v>394033</v>
      </c>
      <c r="L211" s="69">
        <f>_xlfn.IFNA(IF('Interactive Selection Sheet'!A108 = "", VLOOKUP('Interactive Selection Sheet'!$B108, 'Master List Import'!$A$1:$P$519, 10, FALSE), ""), "")</f>
        <v>0</v>
      </c>
      <c r="M211" s="69">
        <f>_xlfn.IFNA(IF('Interactive Selection Sheet'!A108 = "", VLOOKUP('Interactive Selection Sheet'!$B108, 'Master List Import'!$A$1:$P$519, 11, FALSE), ""), "")</f>
        <v>0</v>
      </c>
      <c r="N211" s="69">
        <f>_xlfn.IFNA(IF('Interactive Selection Sheet'!A108 = "", VLOOKUP('Interactive Selection Sheet'!$B108, 'Master List Import'!$A$1:$P$519, 12, FALSE), ""), "")</f>
        <v>6</v>
      </c>
      <c r="O211" s="69">
        <f>_xlfn.IFNA(IF('Interactive Selection Sheet'!A108 = "", VLOOKUP('Interactive Selection Sheet'!$B108, 'Master List Import'!$A$1:$P$519, 13, FALSE), ""), "")</f>
        <v>5070</v>
      </c>
      <c r="P211" s="69" t="str">
        <f>_xlfn.IFNA(IF('Interactive Selection Sheet'!A108 = "", VLOOKUP('Interactive Selection Sheet'!$B108, 'Master List Import'!$A$1:$P$519, 14, FALSE), ""), "")</f>
        <v>White Rain Mens 3-In-1</v>
      </c>
      <c r="Q211" s="69">
        <f>_xlfn.IFNA(IF('Interactive Selection Sheet'!A108 = "", VLOOKUP('Interactive Selection Sheet'!$B108, 'Master List Import'!$A$1:$P$519, 15, FALSE), ""), "")</f>
        <v>1</v>
      </c>
      <c r="R211" s="74">
        <f>_xlfn.IFNA(IF('Interactive Selection Sheet'!A108 = "", VLOOKUP('Interactive Selection Sheet'!$B108, 'Master List Import'!$A$1:$P$519, 16, FALSE), ""), "")</f>
        <v>4</v>
      </c>
    </row>
    <row r="212" spans="1:18" ht="21.75" customHeight="1" x14ac:dyDescent="0.25">
      <c r="A212" s="69">
        <f>_xlfn.IFNA(IF('Interactive Selection Sheet'!A109 = "", VLOOKUP('Interactive Selection Sheet'!$B109, 'Master List Import'!$A$1:$P$519, 2, FALSE), ""), "")</f>
        <v>5082</v>
      </c>
      <c r="B212" s="69" t="str">
        <f>_xlfn.IFNA(IF('Interactive Selection Sheet'!A109 = "", VLOOKUP('Interactive Selection Sheet'!$B109, 'Master List Import'!$A$1:$P$519, 3, FALSE), ""), "")</f>
        <v>Suave Ocean Breeze Body Wash, 15oz -6/cs</v>
      </c>
      <c r="C212" s="76">
        <f>IF('Interactive Selection Sheet'!$T$2="", "", IF(B212="","",'Interactive Selection Sheet'!$T$2))</f>
        <v>3.5000000000000003E-2</v>
      </c>
      <c r="D212" s="70">
        <f>IF(B212 = "", "", 'Interactive Selection Sheet'!$Q$2)</f>
        <v>4.4999999999999998E-2</v>
      </c>
      <c r="E212" s="70">
        <f>IF(B212="","", 'Interactive Selection Sheet'!$R$2)</f>
        <v>0.02</v>
      </c>
      <c r="F212" s="69" t="str">
        <f>_xlfn.IFNA(IF('Interactive Selection Sheet'!A109 = "", VLOOKUP('Interactive Selection Sheet'!$B109, 'Master List Import'!$A$1:$P$519, 4, FALSE), ""), "")</f>
        <v>Hygiene</v>
      </c>
      <c r="G212" s="69" t="str">
        <f>_xlfn.IFNA(IF('Interactive Selection Sheet'!A109 = "", VLOOKUP('Interactive Selection Sheet'!$B109, 'Master List Import'!$A$1:$P$519, 5, FALSE), ""), "")</f>
        <v>Hygiene</v>
      </c>
      <c r="H212" s="69" t="str">
        <f>_xlfn.IFNA(IF('Interactive Selection Sheet'!A109 = "", VLOOKUP('Interactive Selection Sheet'!$B109, 'Master List Import'!$A$1:$P$519, 6, FALSE), ""), "")</f>
        <v>Both</v>
      </c>
      <c r="I212" s="72">
        <f>_xlfn.IFNA(IF('Interactive Selection Sheet'!A109 = "", VLOOKUP('Interactive Selection Sheet'!$B109, 'Master List Import'!$A$1:$P$519, 7, FALSE), ""), "")</f>
        <v>2.2000000000000002</v>
      </c>
      <c r="J212" s="69" t="str">
        <f>_xlfn.IFNA(IF('Interactive Selection Sheet'!A109 = "", VLOOKUP('Interactive Selection Sheet'!$B109, 'Master List Import'!$A$1:$P$519, 8, FALSE), ""), "")</f>
        <v>REI</v>
      </c>
      <c r="K212" s="69" t="str">
        <f>_xlfn.IFNA(IF('Interactive Selection Sheet'!A109 = "", VLOOKUP('Interactive Selection Sheet'!$B109, 'Master List Import'!$A$1:$P$519, 9, FALSE), ""), "")</f>
        <v>603200</v>
      </c>
      <c r="L212" s="69">
        <f>_xlfn.IFNA(IF('Interactive Selection Sheet'!A109 = "", VLOOKUP('Interactive Selection Sheet'!$B109, 'Master List Import'!$A$1:$P$519, 10, FALSE), ""), "")</f>
        <v>0</v>
      </c>
      <c r="M212" s="69">
        <f>_xlfn.IFNA(IF('Interactive Selection Sheet'!A109 = "", VLOOKUP('Interactive Selection Sheet'!$B109, 'Master List Import'!$A$1:$P$519, 11, FALSE), ""), "")</f>
        <v>0</v>
      </c>
      <c r="N212" s="69">
        <f>_xlfn.IFNA(IF('Interactive Selection Sheet'!A109 = "", VLOOKUP('Interactive Selection Sheet'!$B109, 'Master List Import'!$A$1:$P$519, 12, FALSE), ""), "")</f>
        <v>6</v>
      </c>
      <c r="O212" s="69">
        <f>_xlfn.IFNA(IF('Interactive Selection Sheet'!A109 = "", VLOOKUP('Interactive Selection Sheet'!$B109, 'Master List Import'!$A$1:$P$519, 13, FALSE), ""), "")</f>
        <v>5082</v>
      </c>
      <c r="P212" s="69" t="str">
        <f>_xlfn.IFNA(IF('Interactive Selection Sheet'!A109 = "", VLOOKUP('Interactive Selection Sheet'!$B109, 'Master List Import'!$A$1:$P$519, 14, FALSE), ""), "")</f>
        <v>Suave Ocean Breeze Body Wash</v>
      </c>
      <c r="Q212" s="69">
        <f>_xlfn.IFNA(IF('Interactive Selection Sheet'!A109 = "", VLOOKUP('Interactive Selection Sheet'!$B109, 'Master List Import'!$A$1:$P$519, 15, FALSE), ""), "")</f>
        <v>1</v>
      </c>
      <c r="R212" s="74">
        <f>_xlfn.IFNA(IF('Interactive Selection Sheet'!A109 = "", VLOOKUP('Interactive Selection Sheet'!$B109, 'Master List Import'!$A$1:$P$519, 16, FALSE), ""), "")</f>
        <v>7.7</v>
      </c>
    </row>
    <row r="213" spans="1:18" ht="21.75" customHeight="1" x14ac:dyDescent="0.25">
      <c r="A213" s="69">
        <f>_xlfn.IFNA(IF('Interactive Selection Sheet'!F81= "", VLOOKUP('Interactive Selection Sheet'!$G81, 'Master List Import'!$A$1:$P$519, 2, FALSE), ""), "")</f>
        <v>5100</v>
      </c>
      <c r="B213" s="69" t="str">
        <f>_xlfn.IFNA(IF('Interactive Selection Sheet'!F81= "", VLOOKUP('Interactive Selection Sheet'!$G81, 'Master List Import'!$A$1:$P$519, 3, FALSE), ""), "")</f>
        <v>Pocket Comb, 5"</v>
      </c>
      <c r="C213" s="76">
        <f>IF('Interactive Selection Sheet'!$T$2="", "", IF(B213="","",'Interactive Selection Sheet'!$T$2))</f>
        <v>3.5000000000000003E-2</v>
      </c>
      <c r="D213" s="70">
        <f>IF(B213 = "", "", 'Interactive Selection Sheet'!$Q$2)</f>
        <v>4.4999999999999998E-2</v>
      </c>
      <c r="E213" s="70">
        <f>IF(B213="","", 'Interactive Selection Sheet'!$R$2)</f>
        <v>0.02</v>
      </c>
      <c r="F213" s="69" t="str">
        <f>_xlfn.IFNA(IF('Interactive Selection Sheet'!F81= "", VLOOKUP('Interactive Selection Sheet'!$G81, 'Master List Import'!$A$1:$P$519, 4, FALSE), ""), "")</f>
        <v>Hygiene - Hair Styling</v>
      </c>
      <c r="G213" s="69" t="str">
        <f>_xlfn.IFNA(IF('Interactive Selection Sheet'!F81= "", VLOOKUP('Interactive Selection Sheet'!$G81, 'Master List Import'!$A$1:$P$519, 5, FALSE), ""), "")</f>
        <v>Hygiene - Hair Styling</v>
      </c>
      <c r="H213" s="69" t="str">
        <f>_xlfn.IFNA(IF('Interactive Selection Sheet'!F81= "", VLOOKUP('Interactive Selection Sheet'!$G81, 'Master List Import'!$A$1:$P$519, 6, FALSE), ""), "")</f>
        <v>Both</v>
      </c>
      <c r="I213" s="72">
        <f>_xlfn.IFNA(IF('Interactive Selection Sheet'!F81= "", VLOOKUP('Interactive Selection Sheet'!$G81, 'Master List Import'!$A$1:$P$519, 7, FALSE), ""), "")</f>
        <v>3.2899999999999999E-2</v>
      </c>
      <c r="J213" s="69" t="str">
        <f>_xlfn.IFNA(IF('Interactive Selection Sheet'!F81= "", VLOOKUP('Interactive Selection Sheet'!$G81, 'Master List Import'!$A$1:$P$519, 8, FALSE), ""), "")</f>
        <v>REI</v>
      </c>
      <c r="K213" s="69" t="str">
        <f>_xlfn.IFNA(IF('Interactive Selection Sheet'!F81= "", VLOOKUP('Interactive Selection Sheet'!$G81, 'Master List Import'!$A$1:$P$519, 9, FALSE), ""), "")</f>
        <v>395921</v>
      </c>
      <c r="L213" s="69">
        <f>_xlfn.IFNA(IF('Interactive Selection Sheet'!F81= "", VLOOKUP('Interactive Selection Sheet'!$G81, 'Master List Import'!$A$1:$P$519, 10, FALSE), ""), "")</f>
        <v>0</v>
      </c>
      <c r="M213" s="69">
        <f>_xlfn.IFNA(IF('Interactive Selection Sheet'!F81= "", VLOOKUP('Interactive Selection Sheet'!$G81, 'Master List Import'!$A$1:$P$519, 11, FALSE), ""), "")</f>
        <v>0</v>
      </c>
      <c r="N213" s="69">
        <f>_xlfn.IFNA(IF('Interactive Selection Sheet'!F81= "", VLOOKUP('Interactive Selection Sheet'!$G81, 'Master List Import'!$A$1:$P$519, 12, FALSE), ""), "")</f>
        <v>144</v>
      </c>
      <c r="O213" s="69">
        <f>_xlfn.IFNA(IF('Interactive Selection Sheet'!F81= "", VLOOKUP('Interactive Selection Sheet'!$G81, 'Master List Import'!$A$1:$P$519, 13, FALSE), ""), "")</f>
        <v>5100</v>
      </c>
      <c r="P213" s="69" t="str">
        <f>_xlfn.IFNA(IF('Interactive Selection Sheet'!F81= "", VLOOKUP('Interactive Selection Sheet'!$G81, 'Master List Import'!$A$1:$P$519, 14, FALSE), ""), "")</f>
        <v>Pocket Comb (5")</v>
      </c>
      <c r="Q213" s="69">
        <f>_xlfn.IFNA(IF('Interactive Selection Sheet'!F81= "", VLOOKUP('Interactive Selection Sheet'!$G81, 'Master List Import'!$A$1:$P$519, 15, FALSE), ""), "")</f>
        <v>1</v>
      </c>
      <c r="R213" s="74">
        <f>_xlfn.IFNA(IF('Interactive Selection Sheet'!F81= "", VLOOKUP('Interactive Selection Sheet'!$G81, 'Master List Import'!$A$1:$P$519, 16, FALSE), ""), "")</f>
        <v>0.25</v>
      </c>
    </row>
    <row r="214" spans="1:18" ht="21.75" customHeight="1" x14ac:dyDescent="0.25">
      <c r="A214" s="69">
        <f>_xlfn.IFNA(IF('Interactive Selection Sheet'!F82= "", VLOOKUP('Interactive Selection Sheet'!$G82, 'Master List Import'!$A$1:$P$519, 2, FALSE), ""), "")</f>
        <v>5101</v>
      </c>
      <c r="B214" s="69" t="str">
        <f>_xlfn.IFNA(IF('Interactive Selection Sheet'!F82= "", VLOOKUP('Interactive Selection Sheet'!$G82, 'Master List Import'!$A$1:$P$519, 3, FALSE), ""), "")</f>
        <v>Dresser Comb, 8" - 12/cs</v>
      </c>
      <c r="C214" s="76">
        <f>IF('Interactive Selection Sheet'!$T$2="", "", IF(B214="","",'Interactive Selection Sheet'!$T$2))</f>
        <v>3.5000000000000003E-2</v>
      </c>
      <c r="D214" s="70">
        <f>IF(B214 = "", "", 'Interactive Selection Sheet'!$Q$2)</f>
        <v>4.4999999999999998E-2</v>
      </c>
      <c r="E214" s="70">
        <f>IF(B214="","", 'Interactive Selection Sheet'!$R$2)</f>
        <v>0.02</v>
      </c>
      <c r="F214" s="69" t="str">
        <f>_xlfn.IFNA(IF('Interactive Selection Sheet'!F82= "", VLOOKUP('Interactive Selection Sheet'!$G82, 'Master List Import'!$A$1:$P$519, 4, FALSE), ""), "")</f>
        <v>Hygiene - Hair Styling</v>
      </c>
      <c r="G214" s="69" t="str">
        <f>_xlfn.IFNA(IF('Interactive Selection Sheet'!F82= "", VLOOKUP('Interactive Selection Sheet'!$G82, 'Master List Import'!$A$1:$P$519, 5, FALSE), ""), "")</f>
        <v>Hygiene - Hair Styling</v>
      </c>
      <c r="H214" s="69" t="str">
        <f>_xlfn.IFNA(IF('Interactive Selection Sheet'!F82= "", VLOOKUP('Interactive Selection Sheet'!$G82, 'Master List Import'!$A$1:$P$519, 6, FALSE), ""), "")</f>
        <v>Both</v>
      </c>
      <c r="I214" s="72">
        <f>_xlfn.IFNA(IF('Interactive Selection Sheet'!F82= "", VLOOKUP('Interactive Selection Sheet'!$G82, 'Master List Import'!$A$1:$P$519, 7, FALSE), ""), "")</f>
        <v>0.17</v>
      </c>
      <c r="J214" s="69" t="str">
        <f>_xlfn.IFNA(IF('Interactive Selection Sheet'!F82= "", VLOOKUP('Interactive Selection Sheet'!$G82, 'Master List Import'!$A$1:$P$519, 8, FALSE), ""), "")</f>
        <v>REI</v>
      </c>
      <c r="K214" s="69" t="str">
        <f>_xlfn.IFNA(IF('Interactive Selection Sheet'!F82= "", VLOOKUP('Interactive Selection Sheet'!$G82, 'Master List Import'!$A$1:$P$519, 9, FALSE), ""), "")</f>
        <v>395510</v>
      </c>
      <c r="L214" s="69">
        <f>_xlfn.IFNA(IF('Interactive Selection Sheet'!F82= "", VLOOKUP('Interactive Selection Sheet'!$G82, 'Master List Import'!$A$1:$P$519, 10, FALSE), ""), "")</f>
        <v>0</v>
      </c>
      <c r="M214" s="69">
        <f>_xlfn.IFNA(IF('Interactive Selection Sheet'!F82= "", VLOOKUP('Interactive Selection Sheet'!$G82, 'Master List Import'!$A$1:$P$519, 11, FALSE), ""), "")</f>
        <v>0</v>
      </c>
      <c r="N214" s="69">
        <f>_xlfn.IFNA(IF('Interactive Selection Sheet'!F82= "", VLOOKUP('Interactive Selection Sheet'!$G82, 'Master List Import'!$A$1:$P$519, 12, FALSE), ""), "")</f>
        <v>12</v>
      </c>
      <c r="O214" s="69">
        <f>_xlfn.IFNA(IF('Interactive Selection Sheet'!F82= "", VLOOKUP('Interactive Selection Sheet'!$G82, 'Master List Import'!$A$1:$P$519, 13, FALSE), ""), "")</f>
        <v>5101</v>
      </c>
      <c r="P214" s="69" t="str">
        <f>_xlfn.IFNA(IF('Interactive Selection Sheet'!F82= "", VLOOKUP('Interactive Selection Sheet'!$G82, 'Master List Import'!$A$1:$P$519, 14, FALSE), ""), "")</f>
        <v>Large Comb (8")</v>
      </c>
      <c r="Q214" s="69">
        <f>_xlfn.IFNA(IF('Interactive Selection Sheet'!F82= "", VLOOKUP('Interactive Selection Sheet'!$G82, 'Master List Import'!$A$1:$P$519, 15, FALSE), ""), "")</f>
        <v>1</v>
      </c>
      <c r="R214" s="74">
        <f>_xlfn.IFNA(IF('Interactive Selection Sheet'!F82= "", VLOOKUP('Interactive Selection Sheet'!$G82, 'Master List Import'!$A$1:$P$519, 16, FALSE), ""), "")</f>
        <v>0.5</v>
      </c>
    </row>
    <row r="215" spans="1:18" ht="21.75" customHeight="1" x14ac:dyDescent="0.25">
      <c r="A215" s="69">
        <f>_xlfn.IFNA(IF('Interactive Selection Sheet'!F83= "", VLOOKUP('Interactive Selection Sheet'!$G83, 'Master List Import'!$A$1:$P$519, 2, FALSE), ""), "")</f>
        <v>5110</v>
      </c>
      <c r="B215" s="69" t="str">
        <f>_xlfn.IFNA(IF('Interactive Selection Sheet'!F83= "", VLOOKUP('Interactive Selection Sheet'!$G83, 'Master List Import'!$A$1:$P$519, 3, FALSE), ""), "")</f>
        <v>Palm Brush w/Nylon Bristles, No Handle - 12/cs</v>
      </c>
      <c r="C215" s="76">
        <f>IF('Interactive Selection Sheet'!$T$2="", "", IF(B215="","",'Interactive Selection Sheet'!$T$2))</f>
        <v>3.5000000000000003E-2</v>
      </c>
      <c r="D215" s="70">
        <f>IF(B215 = "", "", 'Interactive Selection Sheet'!$Q$2)</f>
        <v>4.4999999999999998E-2</v>
      </c>
      <c r="E215" s="70">
        <f>IF(B215="","", 'Interactive Selection Sheet'!$R$2)</f>
        <v>0.02</v>
      </c>
      <c r="F215" s="69" t="str">
        <f>_xlfn.IFNA(IF('Interactive Selection Sheet'!F83= "", VLOOKUP('Interactive Selection Sheet'!$G83, 'Master List Import'!$A$1:$P$519, 4, FALSE), ""), "")</f>
        <v>Hygiene - Hair Styling</v>
      </c>
      <c r="G215" s="69" t="str">
        <f>_xlfn.IFNA(IF('Interactive Selection Sheet'!F83= "", VLOOKUP('Interactive Selection Sheet'!$G83, 'Master List Import'!$A$1:$P$519, 5, FALSE), ""), "")</f>
        <v>Hygiene - Hair Styling</v>
      </c>
      <c r="H215" s="69" t="str">
        <f>_xlfn.IFNA(IF('Interactive Selection Sheet'!F83= "", VLOOKUP('Interactive Selection Sheet'!$G83, 'Master List Import'!$A$1:$P$519, 6, FALSE), ""), "")</f>
        <v>Both</v>
      </c>
      <c r="I215" s="72">
        <f>_xlfn.IFNA(IF('Interactive Selection Sheet'!F83= "", VLOOKUP('Interactive Selection Sheet'!$G83, 'Master List Import'!$A$1:$P$519, 7, FALSE), ""), "")</f>
        <v>0.67410000000000003</v>
      </c>
      <c r="J215" s="69" t="str">
        <f>_xlfn.IFNA(IF('Interactive Selection Sheet'!F83= "", VLOOKUP('Interactive Selection Sheet'!$G83, 'Master List Import'!$A$1:$P$519, 8, FALSE), ""), "")</f>
        <v>REI</v>
      </c>
      <c r="K215" s="69" t="str">
        <f>_xlfn.IFNA(IF('Interactive Selection Sheet'!F83= "", VLOOKUP('Interactive Selection Sheet'!$G83, 'Master List Import'!$A$1:$P$519, 9, FALSE), ""), "")</f>
        <v>395570</v>
      </c>
      <c r="L215" s="69">
        <f>_xlfn.IFNA(IF('Interactive Selection Sheet'!F83= "", VLOOKUP('Interactive Selection Sheet'!$G83, 'Master List Import'!$A$1:$P$519, 10, FALSE), ""), "")</f>
        <v>0</v>
      </c>
      <c r="M215" s="69">
        <f>_xlfn.IFNA(IF('Interactive Selection Sheet'!F83= "", VLOOKUP('Interactive Selection Sheet'!$G83, 'Master List Import'!$A$1:$P$519, 11, FALSE), ""), "")</f>
        <v>0</v>
      </c>
      <c r="N215" s="69">
        <f>_xlfn.IFNA(IF('Interactive Selection Sheet'!F83= "", VLOOKUP('Interactive Selection Sheet'!$G83, 'Master List Import'!$A$1:$P$519, 12, FALSE), ""), "")</f>
        <v>12</v>
      </c>
      <c r="O215" s="69">
        <f>_xlfn.IFNA(IF('Interactive Selection Sheet'!F83= "", VLOOKUP('Interactive Selection Sheet'!$G83, 'Master List Import'!$A$1:$P$519, 13, FALSE), ""), "")</f>
        <v>5110</v>
      </c>
      <c r="P215" s="69" t="str">
        <f>_xlfn.IFNA(IF('Interactive Selection Sheet'!F83= "", VLOOKUP('Interactive Selection Sheet'!$G83, 'Master List Import'!$A$1:$P$519, 14, FALSE), ""), "")</f>
        <v>Palm Brush</v>
      </c>
      <c r="Q215" s="69">
        <f>_xlfn.IFNA(IF('Interactive Selection Sheet'!F83= "", VLOOKUP('Interactive Selection Sheet'!$G83, 'Master List Import'!$A$1:$P$519, 15, FALSE), ""), "")</f>
        <v>1</v>
      </c>
      <c r="R215" s="74">
        <f>_xlfn.IFNA(IF('Interactive Selection Sheet'!F83= "", VLOOKUP('Interactive Selection Sheet'!$G83, 'Master List Import'!$A$1:$P$519, 16, FALSE), ""), "")</f>
        <v>2.65</v>
      </c>
    </row>
    <row r="216" spans="1:18" ht="21.75" customHeight="1" x14ac:dyDescent="0.25">
      <c r="A216" s="69">
        <f>_xlfn.IFNA(IF('Interactive Selection Sheet'!F84= "", VLOOKUP('Interactive Selection Sheet'!$G84, 'Master List Import'!$A$1:$P$519, 2, FALSE), ""), "")</f>
        <v>5120</v>
      </c>
      <c r="B216" s="69" t="str">
        <f>_xlfn.IFNA(IF('Interactive Selection Sheet'!F84= "", VLOOKUP('Interactive Selection Sheet'!$G84, 'Master List Import'!$A$1:$P$519, 3, FALSE), ""), "")</f>
        <v>FreeStyle Ponytail Holders, Black, 18pk - 12/cs</v>
      </c>
      <c r="C216" s="76">
        <f>IF('Interactive Selection Sheet'!$T$2="", "", IF(B216="","",'Interactive Selection Sheet'!$T$2))</f>
        <v>3.5000000000000003E-2</v>
      </c>
      <c r="D216" s="70">
        <f>IF(B216 = "", "", 'Interactive Selection Sheet'!$Q$2)</f>
        <v>4.4999999999999998E-2</v>
      </c>
      <c r="E216" s="70">
        <f>IF(B216="","", 'Interactive Selection Sheet'!$R$2)</f>
        <v>0.02</v>
      </c>
      <c r="F216" s="69" t="str">
        <f>_xlfn.IFNA(IF('Interactive Selection Sheet'!F84= "", VLOOKUP('Interactive Selection Sheet'!$G84, 'Master List Import'!$A$1:$P$519, 4, FALSE), ""), "")</f>
        <v>Hygiene - Hair Styling</v>
      </c>
      <c r="G216" s="69" t="str">
        <f>_xlfn.IFNA(IF('Interactive Selection Sheet'!F84= "", VLOOKUP('Interactive Selection Sheet'!$G84, 'Master List Import'!$A$1:$P$519, 5, FALSE), ""), "")</f>
        <v>Hygiene - Hair Styling</v>
      </c>
      <c r="H216" s="69" t="str">
        <f>_xlfn.IFNA(IF('Interactive Selection Sheet'!F84= "", VLOOKUP('Interactive Selection Sheet'!$G84, 'Master List Import'!$A$1:$P$519, 6, FALSE), ""), "")</f>
        <v>Both</v>
      </c>
      <c r="I216" s="72">
        <f>_xlfn.IFNA(IF('Interactive Selection Sheet'!F84= "", VLOOKUP('Interactive Selection Sheet'!$G84, 'Master List Import'!$A$1:$P$519, 7, FALSE), ""), "")</f>
        <v>0.73</v>
      </c>
      <c r="J216" s="69" t="str">
        <f>_xlfn.IFNA(IF('Interactive Selection Sheet'!F84= "", VLOOKUP('Interactive Selection Sheet'!$G84, 'Master List Import'!$A$1:$P$519, 8, FALSE), ""), "")</f>
        <v>REI</v>
      </c>
      <c r="K216" s="69" t="str">
        <f>_xlfn.IFNA(IF('Interactive Selection Sheet'!F84= "", VLOOKUP('Interactive Selection Sheet'!$G84, 'Master List Import'!$A$1:$P$519, 9, FALSE), ""), "")</f>
        <v>396097</v>
      </c>
      <c r="L216" s="69">
        <f>_xlfn.IFNA(IF('Interactive Selection Sheet'!F84= "", VLOOKUP('Interactive Selection Sheet'!$G84, 'Master List Import'!$A$1:$P$519, 10, FALSE), ""), "")</f>
        <v>0</v>
      </c>
      <c r="M216" s="69">
        <f>_xlfn.IFNA(IF('Interactive Selection Sheet'!F84= "", VLOOKUP('Interactive Selection Sheet'!$G84, 'Master List Import'!$A$1:$P$519, 11, FALSE), ""), "")</f>
        <v>0</v>
      </c>
      <c r="N216" s="69">
        <f>_xlfn.IFNA(IF('Interactive Selection Sheet'!F84= "", VLOOKUP('Interactive Selection Sheet'!$G84, 'Master List Import'!$A$1:$P$519, 12, FALSE), ""), "")</f>
        <v>12</v>
      </c>
      <c r="O216" s="69">
        <f>_xlfn.IFNA(IF('Interactive Selection Sheet'!F84= "", VLOOKUP('Interactive Selection Sheet'!$G84, 'Master List Import'!$A$1:$P$519, 13, FALSE), ""), "")</f>
        <v>5120</v>
      </c>
      <c r="P216" s="69" t="str">
        <f>_xlfn.IFNA(IF('Interactive Selection Sheet'!F84= "", VLOOKUP('Interactive Selection Sheet'!$G84, 'Master List Import'!$A$1:$P$519, 14, FALSE), ""), "")</f>
        <v>Ponytail Holders (18pk)</v>
      </c>
      <c r="Q216" s="69">
        <f>_xlfn.IFNA(IF('Interactive Selection Sheet'!F84= "", VLOOKUP('Interactive Selection Sheet'!$G84, 'Master List Import'!$A$1:$P$519, 15, FALSE), ""), "")</f>
        <v>1</v>
      </c>
      <c r="R216" s="74">
        <f>_xlfn.IFNA(IF('Interactive Selection Sheet'!F84= "", VLOOKUP('Interactive Selection Sheet'!$G84, 'Master List Import'!$A$1:$P$519, 16, FALSE), ""), "")</f>
        <v>2.8</v>
      </c>
    </row>
    <row r="217" spans="1:18" ht="21.75" customHeight="1" x14ac:dyDescent="0.25">
      <c r="A217" s="69">
        <f>_xlfn.IFNA(IF('Interactive Selection Sheet'!F85= "", VLOOKUP('Interactive Selection Sheet'!$G85, 'Master List Import'!$A$1:$P$519, 2, FALSE), ""), "")</f>
        <v>5121</v>
      </c>
      <c r="B217" s="69" t="str">
        <f>_xlfn.IFNA(IF('Interactive Selection Sheet'!F85= "", VLOOKUP('Interactive Selection Sheet'!$G85, 'Master List Import'!$A$1:$P$519, 3, FALSE), ""), "")</f>
        <v>Hair Scrunchy - 24/cs</v>
      </c>
      <c r="C217" s="76">
        <f>IF('Interactive Selection Sheet'!$T$2="", "", IF(B217="","",'Interactive Selection Sheet'!$T$2))</f>
        <v>3.5000000000000003E-2</v>
      </c>
      <c r="D217" s="70">
        <f>IF(B217 = "", "", 'Interactive Selection Sheet'!$Q$2)</f>
        <v>4.4999999999999998E-2</v>
      </c>
      <c r="E217" s="70">
        <f>IF(B217="","", 'Interactive Selection Sheet'!$R$2)</f>
        <v>0.02</v>
      </c>
      <c r="F217" s="69" t="str">
        <f>_xlfn.IFNA(IF('Interactive Selection Sheet'!F85= "", VLOOKUP('Interactive Selection Sheet'!$G85, 'Master List Import'!$A$1:$P$519, 4, FALSE), ""), "")</f>
        <v>Hygiene - Hair Styling</v>
      </c>
      <c r="G217" s="69" t="str">
        <f>_xlfn.IFNA(IF('Interactive Selection Sheet'!F85= "", VLOOKUP('Interactive Selection Sheet'!$G85, 'Master List Import'!$A$1:$P$519, 5, FALSE), ""), "")</f>
        <v>Hygiene - Hair Styling</v>
      </c>
      <c r="H217" s="69" t="str">
        <f>_xlfn.IFNA(IF('Interactive Selection Sheet'!F85= "", VLOOKUP('Interactive Selection Sheet'!$G85, 'Master List Import'!$A$1:$P$519, 6, FALSE), ""), "")</f>
        <v>Both</v>
      </c>
      <c r="I217" s="72">
        <f>_xlfn.IFNA(IF('Interactive Selection Sheet'!F85= "", VLOOKUP('Interactive Selection Sheet'!$G85, 'Master List Import'!$A$1:$P$519, 7, FALSE), ""), "")</f>
        <v>0.75</v>
      </c>
      <c r="J217" s="69" t="str">
        <f>_xlfn.IFNA(IF('Interactive Selection Sheet'!F85= "", VLOOKUP('Interactive Selection Sheet'!$G85, 'Master List Import'!$A$1:$P$519, 8, FALSE), ""), "")</f>
        <v>REI</v>
      </c>
      <c r="K217" s="69" t="str">
        <f>_xlfn.IFNA(IF('Interactive Selection Sheet'!F85= "", VLOOKUP('Interactive Selection Sheet'!$G85, 'Master List Import'!$A$1:$P$519, 9, FALSE), ""), "")</f>
        <v>396106</v>
      </c>
      <c r="L217" s="69">
        <f>_xlfn.IFNA(IF('Interactive Selection Sheet'!F85= "", VLOOKUP('Interactive Selection Sheet'!$G85, 'Master List Import'!$A$1:$P$519, 10, FALSE), ""), "")</f>
        <v>0</v>
      </c>
      <c r="M217" s="69">
        <f>_xlfn.IFNA(IF('Interactive Selection Sheet'!F85= "", VLOOKUP('Interactive Selection Sheet'!$G85, 'Master List Import'!$A$1:$P$519, 11, FALSE), ""), "")</f>
        <v>0</v>
      </c>
      <c r="N217" s="69">
        <f>_xlfn.IFNA(IF('Interactive Selection Sheet'!F85= "", VLOOKUP('Interactive Selection Sheet'!$G85, 'Master List Import'!$A$1:$P$519, 12, FALSE), ""), "")</f>
        <v>24</v>
      </c>
      <c r="O217" s="69">
        <f>_xlfn.IFNA(IF('Interactive Selection Sheet'!F85= "", VLOOKUP('Interactive Selection Sheet'!$G85, 'Master List Import'!$A$1:$P$519, 13, FALSE), ""), "")</f>
        <v>5121</v>
      </c>
      <c r="P217" s="69" t="str">
        <f>_xlfn.IFNA(IF('Interactive Selection Sheet'!F85= "", VLOOKUP('Interactive Selection Sheet'!$G85, 'Master List Import'!$A$1:$P$519, 14, FALSE), ""), "")</f>
        <v>Hair Scrunchy</v>
      </c>
      <c r="Q217" s="69">
        <f>_xlfn.IFNA(IF('Interactive Selection Sheet'!F85= "", VLOOKUP('Interactive Selection Sheet'!$G85, 'Master List Import'!$A$1:$P$519, 15, FALSE), ""), "")</f>
        <v>1</v>
      </c>
      <c r="R217" s="74">
        <f>_xlfn.IFNA(IF('Interactive Selection Sheet'!F85= "", VLOOKUP('Interactive Selection Sheet'!$G85, 'Master List Import'!$A$1:$P$519, 16, FALSE), ""), "")</f>
        <v>2.25</v>
      </c>
    </row>
    <row r="218" spans="1:18" ht="21.75" customHeight="1" x14ac:dyDescent="0.25">
      <c r="A218" s="69">
        <f>_xlfn.IFNA(IF('Interactive Selection Sheet'!F86= "", VLOOKUP('Interactive Selection Sheet'!$G86, 'Master List Import'!$A$1:$P$519, 2, FALSE), ""), "")</f>
        <v>5130</v>
      </c>
      <c r="B218" s="69" t="str">
        <f>_xlfn.IFNA(IF('Interactive Selection Sheet'!F86= "", VLOOKUP('Interactive Selection Sheet'!$G86, 'Master List Import'!$A$1:$P$519, 3, FALSE), ""), "")</f>
        <v>Durag, Black - 6/cs</v>
      </c>
      <c r="C218" s="76">
        <f>IF('Interactive Selection Sheet'!$T$2="", "", IF(B218="","",'Interactive Selection Sheet'!$T$2))</f>
        <v>3.5000000000000003E-2</v>
      </c>
      <c r="D218" s="70">
        <f>IF(B218 = "", "", 'Interactive Selection Sheet'!$Q$2)</f>
        <v>4.4999999999999998E-2</v>
      </c>
      <c r="E218" s="70">
        <f>IF(B218="","", 'Interactive Selection Sheet'!$R$2)</f>
        <v>0.02</v>
      </c>
      <c r="F218" s="69" t="str">
        <f>_xlfn.IFNA(IF('Interactive Selection Sheet'!F86= "", VLOOKUP('Interactive Selection Sheet'!$G86, 'Master List Import'!$A$1:$P$519, 4, FALSE), ""), "")</f>
        <v>Hygiene - Hair Styling</v>
      </c>
      <c r="G218" s="69" t="str">
        <f>_xlfn.IFNA(IF('Interactive Selection Sheet'!F86= "", VLOOKUP('Interactive Selection Sheet'!$G86, 'Master List Import'!$A$1:$P$519, 5, FALSE), ""), "")</f>
        <v>Hygiene - Hair Styling</v>
      </c>
      <c r="H218" s="69" t="str">
        <f>_xlfn.IFNA(IF('Interactive Selection Sheet'!F86= "", VLOOKUP('Interactive Selection Sheet'!$G86, 'Master List Import'!$A$1:$P$519, 6, FALSE), ""), "")</f>
        <v>Both</v>
      </c>
      <c r="I218" s="72">
        <f>_xlfn.IFNA(IF('Interactive Selection Sheet'!F86= "", VLOOKUP('Interactive Selection Sheet'!$G86, 'Master List Import'!$A$1:$P$519, 7, FALSE), ""), "")</f>
        <v>1.1000000000000001</v>
      </c>
      <c r="J218" s="69" t="str">
        <f>_xlfn.IFNA(IF('Interactive Selection Sheet'!F86= "", VLOOKUP('Interactive Selection Sheet'!$G86, 'Master List Import'!$A$1:$P$519, 8, FALSE), ""), "")</f>
        <v>REI</v>
      </c>
      <c r="K218" s="69" t="str">
        <f>_xlfn.IFNA(IF('Interactive Selection Sheet'!F86= "", VLOOKUP('Interactive Selection Sheet'!$G86, 'Master List Import'!$A$1:$P$519, 9, FALSE), ""), "")</f>
        <v>396004</v>
      </c>
      <c r="L218" s="69">
        <f>_xlfn.IFNA(IF('Interactive Selection Sheet'!F86= "", VLOOKUP('Interactive Selection Sheet'!$G86, 'Master List Import'!$A$1:$P$519, 10, FALSE), ""), "")</f>
        <v>0</v>
      </c>
      <c r="M218" s="69">
        <f>_xlfn.IFNA(IF('Interactive Selection Sheet'!F86= "", VLOOKUP('Interactive Selection Sheet'!$G86, 'Master List Import'!$A$1:$P$519, 11, FALSE), ""), "")</f>
        <v>0</v>
      </c>
      <c r="N218" s="69">
        <f>_xlfn.IFNA(IF('Interactive Selection Sheet'!F86= "", VLOOKUP('Interactive Selection Sheet'!$G86, 'Master List Import'!$A$1:$P$519, 12, FALSE), ""), "")</f>
        <v>6</v>
      </c>
      <c r="O218" s="69">
        <f>_xlfn.IFNA(IF('Interactive Selection Sheet'!F86= "", VLOOKUP('Interactive Selection Sheet'!$G86, 'Master List Import'!$A$1:$P$519, 13, FALSE), ""), "")</f>
        <v>5130</v>
      </c>
      <c r="P218" s="69" t="str">
        <f>_xlfn.IFNA(IF('Interactive Selection Sheet'!F86= "", VLOOKUP('Interactive Selection Sheet'!$G86, 'Master List Import'!$A$1:$P$519, 14, FALSE), ""), "")</f>
        <v>Durag</v>
      </c>
      <c r="Q218" s="69">
        <f>_xlfn.IFNA(IF('Interactive Selection Sheet'!F86= "", VLOOKUP('Interactive Selection Sheet'!$G86, 'Master List Import'!$A$1:$P$519, 15, FALSE), ""), "")</f>
        <v>1</v>
      </c>
      <c r="R218" s="74">
        <f>_xlfn.IFNA(IF('Interactive Selection Sheet'!F86= "", VLOOKUP('Interactive Selection Sheet'!$G86, 'Master List Import'!$A$1:$P$519, 16, FALSE), ""), "")</f>
        <v>5</v>
      </c>
    </row>
    <row r="219" spans="1:18" ht="21.75" customHeight="1" x14ac:dyDescent="0.25">
      <c r="A219" s="69">
        <f>_xlfn.IFNA(IF('Interactive Selection Sheet'!F87= "", VLOOKUP('Interactive Selection Sheet'!$G87, 'Master List Import'!$A$1:$P$519, 2, FALSE), ""), "")</f>
        <v>5200</v>
      </c>
      <c r="B219" s="69" t="str">
        <f>_xlfn.IFNA(IF('Interactive Selection Sheet'!F87= "", VLOOKUP('Interactive Selection Sheet'!$G87, 'Master List Import'!$A$1:$P$519, 3, FALSE), ""), "")</f>
        <v>Murray's Hair Pomade, 3oz tub - 24/cs</v>
      </c>
      <c r="C219" s="76">
        <f>IF('Interactive Selection Sheet'!$T$2="", "", IF(B219="","",'Interactive Selection Sheet'!$T$2))</f>
        <v>3.5000000000000003E-2</v>
      </c>
      <c r="D219" s="70">
        <f>IF(B219 = "", "", 'Interactive Selection Sheet'!$Q$2)</f>
        <v>4.4999999999999998E-2</v>
      </c>
      <c r="E219" s="70">
        <f>IF(B219="","", 'Interactive Selection Sheet'!$R$2)</f>
        <v>0.02</v>
      </c>
      <c r="F219" s="69" t="str">
        <f>_xlfn.IFNA(IF('Interactive Selection Sheet'!F87= "", VLOOKUP('Interactive Selection Sheet'!$G87, 'Master List Import'!$A$1:$P$519, 4, FALSE), ""), "")</f>
        <v>Hygiene - Hair Styling</v>
      </c>
      <c r="G219" s="69" t="str">
        <f>_xlfn.IFNA(IF('Interactive Selection Sheet'!F87= "", VLOOKUP('Interactive Selection Sheet'!$G87, 'Master List Import'!$A$1:$P$519, 5, FALSE), ""), "")</f>
        <v>Hygiene - Hair Styling</v>
      </c>
      <c r="H219" s="69" t="str">
        <f>_xlfn.IFNA(IF('Interactive Selection Sheet'!F87= "", VLOOKUP('Interactive Selection Sheet'!$G87, 'Master List Import'!$A$1:$P$519, 6, FALSE), ""), "")</f>
        <v>Both</v>
      </c>
      <c r="I219" s="72">
        <f>_xlfn.IFNA(IF('Interactive Selection Sheet'!F87= "", VLOOKUP('Interactive Selection Sheet'!$G87, 'Master List Import'!$A$1:$P$519, 7, FALSE), ""), "")</f>
        <v>1.97</v>
      </c>
      <c r="J219" s="69" t="str">
        <f>_xlfn.IFNA(IF('Interactive Selection Sheet'!F87= "", VLOOKUP('Interactive Selection Sheet'!$G87, 'Master List Import'!$A$1:$P$519, 8, FALSE), ""), "")</f>
        <v>REI</v>
      </c>
      <c r="K219" s="69" t="str">
        <f>_xlfn.IFNA(IF('Interactive Selection Sheet'!F87= "", VLOOKUP('Interactive Selection Sheet'!$G87, 'Master List Import'!$A$1:$P$519, 9, FALSE), ""), "")</f>
        <v>394100</v>
      </c>
      <c r="L219" s="69">
        <f>_xlfn.IFNA(IF('Interactive Selection Sheet'!F87= "", VLOOKUP('Interactive Selection Sheet'!$G87, 'Master List Import'!$A$1:$P$519, 10, FALSE), ""), "")</f>
        <v>0</v>
      </c>
      <c r="M219" s="69">
        <f>_xlfn.IFNA(IF('Interactive Selection Sheet'!F87= "", VLOOKUP('Interactive Selection Sheet'!$G87, 'Master List Import'!$A$1:$P$519, 11, FALSE), ""), "")</f>
        <v>0</v>
      </c>
      <c r="N219" s="69">
        <f>_xlfn.IFNA(IF('Interactive Selection Sheet'!F87= "", VLOOKUP('Interactive Selection Sheet'!$G87, 'Master List Import'!$A$1:$P$519, 12, FALSE), ""), "")</f>
        <v>24</v>
      </c>
      <c r="O219" s="69">
        <f>_xlfn.IFNA(IF('Interactive Selection Sheet'!F87= "", VLOOKUP('Interactive Selection Sheet'!$G87, 'Master List Import'!$A$1:$P$519, 13, FALSE), ""), "")</f>
        <v>5200</v>
      </c>
      <c r="P219" s="69" t="str">
        <f>_xlfn.IFNA(IF('Interactive Selection Sheet'!F87= "", VLOOKUP('Interactive Selection Sheet'!$G87, 'Master List Import'!$A$1:$P$519, 14, FALSE), ""), "")</f>
        <v>Murray's Hair Pomade</v>
      </c>
      <c r="Q219" s="69">
        <f>_xlfn.IFNA(IF('Interactive Selection Sheet'!F87= "", VLOOKUP('Interactive Selection Sheet'!$G87, 'Master List Import'!$A$1:$P$519, 15, FALSE), ""), "")</f>
        <v>1</v>
      </c>
      <c r="R219" s="74">
        <f>_xlfn.IFNA(IF('Interactive Selection Sheet'!F87= "", VLOOKUP('Interactive Selection Sheet'!$G87, 'Master List Import'!$A$1:$P$519, 16, FALSE), ""), "")</f>
        <v>6</v>
      </c>
    </row>
    <row r="220" spans="1:18" ht="21.75" customHeight="1" x14ac:dyDescent="0.25">
      <c r="A220" s="69">
        <f>_xlfn.IFNA(IF('Interactive Selection Sheet'!F88= "", VLOOKUP('Interactive Selection Sheet'!$G88, 'Master List Import'!$A$1:$P$519, 2, FALSE), ""), "")</f>
        <v>5201</v>
      </c>
      <c r="B220" s="69" t="str">
        <f>_xlfn.IFNA(IF('Interactive Selection Sheet'!F88= "", VLOOKUP('Interactive Selection Sheet'!$G88, 'Master List Import'!$A$1:$P$519, 3, FALSE), ""), "")</f>
        <v>Royal Crown Hair Dressing, 4oz jar - 12/cs</v>
      </c>
      <c r="C220" s="76">
        <f>IF('Interactive Selection Sheet'!$T$2="", "", IF(B220="","",'Interactive Selection Sheet'!$T$2))</f>
        <v>3.5000000000000003E-2</v>
      </c>
      <c r="D220" s="70">
        <f>IF(B220 = "", "", 'Interactive Selection Sheet'!$Q$2)</f>
        <v>4.4999999999999998E-2</v>
      </c>
      <c r="E220" s="70">
        <f>IF(B220="","", 'Interactive Selection Sheet'!$R$2)</f>
        <v>0.02</v>
      </c>
      <c r="F220" s="69" t="str">
        <f>_xlfn.IFNA(IF('Interactive Selection Sheet'!F88= "", VLOOKUP('Interactive Selection Sheet'!$G88, 'Master List Import'!$A$1:$P$519, 4, FALSE), ""), "")</f>
        <v>Hygiene - Hair Styling</v>
      </c>
      <c r="G220" s="69" t="str">
        <f>_xlfn.IFNA(IF('Interactive Selection Sheet'!F88= "", VLOOKUP('Interactive Selection Sheet'!$G88, 'Master List Import'!$A$1:$P$519, 5, FALSE), ""), "")</f>
        <v>Hygiene - Hair Styling</v>
      </c>
      <c r="H220" s="69" t="str">
        <f>_xlfn.IFNA(IF('Interactive Selection Sheet'!F88= "", VLOOKUP('Interactive Selection Sheet'!$G88, 'Master List Import'!$A$1:$P$519, 6, FALSE), ""), "")</f>
        <v>Both</v>
      </c>
      <c r="I220" s="72">
        <f>_xlfn.IFNA(IF('Interactive Selection Sheet'!F88= "", VLOOKUP('Interactive Selection Sheet'!$G88, 'Master List Import'!$A$1:$P$519, 7, FALSE), ""), "")</f>
        <v>1.5</v>
      </c>
      <c r="J220" s="69" t="str">
        <f>_xlfn.IFNA(IF('Interactive Selection Sheet'!F88= "", VLOOKUP('Interactive Selection Sheet'!$G88, 'Master List Import'!$A$1:$P$519, 8, FALSE), ""), "")</f>
        <v>REI</v>
      </c>
      <c r="K220" s="69" t="str">
        <f>_xlfn.IFNA(IF('Interactive Selection Sheet'!F88= "", VLOOKUP('Interactive Selection Sheet'!$G88, 'Master List Import'!$A$1:$P$519, 9, FALSE), ""), "")</f>
        <v>395236</v>
      </c>
      <c r="L220" s="69">
        <f>_xlfn.IFNA(IF('Interactive Selection Sheet'!F88= "", VLOOKUP('Interactive Selection Sheet'!$G88, 'Master List Import'!$A$1:$P$519, 10, FALSE), ""), "")</f>
        <v>0</v>
      </c>
      <c r="M220" s="69">
        <f>_xlfn.IFNA(IF('Interactive Selection Sheet'!F88= "", VLOOKUP('Interactive Selection Sheet'!$G88, 'Master List Import'!$A$1:$P$519, 11, FALSE), ""), "")</f>
        <v>0</v>
      </c>
      <c r="N220" s="69">
        <f>_xlfn.IFNA(IF('Interactive Selection Sheet'!F88= "", VLOOKUP('Interactive Selection Sheet'!$G88, 'Master List Import'!$A$1:$P$519, 12, FALSE), ""), "")</f>
        <v>12</v>
      </c>
      <c r="O220" s="69">
        <f>_xlfn.IFNA(IF('Interactive Selection Sheet'!F88= "", VLOOKUP('Interactive Selection Sheet'!$G88, 'Master List Import'!$A$1:$P$519, 13, FALSE), ""), "")</f>
        <v>5201</v>
      </c>
      <c r="P220" s="69" t="str">
        <f>_xlfn.IFNA(IF('Interactive Selection Sheet'!F88= "", VLOOKUP('Interactive Selection Sheet'!$G88, 'Master List Import'!$A$1:$P$519, 14, FALSE), ""), "")</f>
        <v>Royal Crown Hair Dressing</v>
      </c>
      <c r="Q220" s="69">
        <f>_xlfn.IFNA(IF('Interactive Selection Sheet'!F88= "", VLOOKUP('Interactive Selection Sheet'!$G88, 'Master List Import'!$A$1:$P$519, 15, FALSE), ""), "")</f>
        <v>1</v>
      </c>
      <c r="R220" s="74">
        <f>_xlfn.IFNA(IF('Interactive Selection Sheet'!F88= "", VLOOKUP('Interactive Selection Sheet'!$G88, 'Master List Import'!$A$1:$P$519, 16, FALSE), ""), "")</f>
        <v>4.55</v>
      </c>
    </row>
    <row r="221" spans="1:18" ht="21.75" customHeight="1" x14ac:dyDescent="0.25">
      <c r="A221" s="69">
        <f>_xlfn.IFNA(IF('Interactive Selection Sheet'!F89= "", VLOOKUP('Interactive Selection Sheet'!$G89, 'Master List Import'!$A$1:$P$519, 2, FALSE), ""), "")</f>
        <v>5202</v>
      </c>
      <c r="B221" s="69" t="str">
        <f>_xlfn.IFNA(IF('Interactive Selection Sheet'!F89= "", VLOOKUP('Interactive Selection Sheet'!$G89, 'Master List Import'!$A$1:$P$519, 3, FALSE), ""), "")</f>
        <v>DEP Alcohol Free Styling Gel, 2oz - 36/cs</v>
      </c>
      <c r="C221" s="76">
        <f>IF('Interactive Selection Sheet'!$T$2="", "", IF(B221="","",'Interactive Selection Sheet'!$T$2))</f>
        <v>3.5000000000000003E-2</v>
      </c>
      <c r="D221" s="70">
        <f>IF(B221 = "", "", 'Interactive Selection Sheet'!$Q$2)</f>
        <v>4.4999999999999998E-2</v>
      </c>
      <c r="E221" s="70">
        <f>IF(B221="","", 'Interactive Selection Sheet'!$R$2)</f>
        <v>0.02</v>
      </c>
      <c r="F221" s="69" t="str">
        <f>_xlfn.IFNA(IF('Interactive Selection Sheet'!F89= "", VLOOKUP('Interactive Selection Sheet'!$G89, 'Master List Import'!$A$1:$P$519, 4, FALSE), ""), "")</f>
        <v>Hygiene - Hair Styling</v>
      </c>
      <c r="G221" s="69" t="str">
        <f>_xlfn.IFNA(IF('Interactive Selection Sheet'!F89= "", VLOOKUP('Interactive Selection Sheet'!$G89, 'Master List Import'!$A$1:$P$519, 5, FALSE), ""), "")</f>
        <v>Hygiene - Hair Styling</v>
      </c>
      <c r="H221" s="69" t="str">
        <f>_xlfn.IFNA(IF('Interactive Selection Sheet'!F89= "", VLOOKUP('Interactive Selection Sheet'!$G89, 'Master List Import'!$A$1:$P$519, 6, FALSE), ""), "")</f>
        <v>Both</v>
      </c>
      <c r="I221" s="72">
        <f>_xlfn.IFNA(IF('Interactive Selection Sheet'!F89= "", VLOOKUP('Interactive Selection Sheet'!$G89, 'Master List Import'!$A$1:$P$519, 7, FALSE), ""), "")</f>
        <v>0.7</v>
      </c>
      <c r="J221" s="69" t="str">
        <f>_xlfn.IFNA(IF('Interactive Selection Sheet'!F89= "", VLOOKUP('Interactive Selection Sheet'!$G89, 'Master List Import'!$A$1:$P$519, 8, FALSE), ""), "")</f>
        <v>REI</v>
      </c>
      <c r="K221" s="69" t="str">
        <f>_xlfn.IFNA(IF('Interactive Selection Sheet'!F89= "", VLOOKUP('Interactive Selection Sheet'!$G89, 'Master List Import'!$A$1:$P$519, 9, FALSE), ""), "")</f>
        <v>394056</v>
      </c>
      <c r="L221" s="69">
        <f>_xlfn.IFNA(IF('Interactive Selection Sheet'!F89= "", VLOOKUP('Interactive Selection Sheet'!$G89, 'Master List Import'!$A$1:$P$519, 10, FALSE), ""), "")</f>
        <v>0</v>
      </c>
      <c r="M221" s="69">
        <f>_xlfn.IFNA(IF('Interactive Selection Sheet'!F89= "", VLOOKUP('Interactive Selection Sheet'!$G89, 'Master List Import'!$A$1:$P$519, 11, FALSE), ""), "")</f>
        <v>0</v>
      </c>
      <c r="N221" s="69">
        <f>_xlfn.IFNA(IF('Interactive Selection Sheet'!F89= "", VLOOKUP('Interactive Selection Sheet'!$G89, 'Master List Import'!$A$1:$P$519, 12, FALSE), ""), "")</f>
        <v>36</v>
      </c>
      <c r="O221" s="69">
        <f>_xlfn.IFNA(IF('Interactive Selection Sheet'!F89= "", VLOOKUP('Interactive Selection Sheet'!$G89, 'Master List Import'!$A$1:$P$519, 13, FALSE), ""), "")</f>
        <v>5202</v>
      </c>
      <c r="P221" s="69" t="str">
        <f>_xlfn.IFNA(IF('Interactive Selection Sheet'!F89= "", VLOOKUP('Interactive Selection Sheet'!$G89, 'Master List Import'!$A$1:$P$519, 14, FALSE), ""), "")</f>
        <v>DEP Styling Gel</v>
      </c>
      <c r="Q221" s="69">
        <f>_xlfn.IFNA(IF('Interactive Selection Sheet'!F89= "", VLOOKUP('Interactive Selection Sheet'!$G89, 'Master List Import'!$A$1:$P$519, 15, FALSE), ""), "")</f>
        <v>1</v>
      </c>
      <c r="R221" s="74">
        <f>_xlfn.IFNA(IF('Interactive Selection Sheet'!F89= "", VLOOKUP('Interactive Selection Sheet'!$G89, 'Master List Import'!$A$1:$P$519, 16, FALSE), ""), "")</f>
        <v>2.5</v>
      </c>
    </row>
    <row r="222" spans="1:18" ht="21.75" customHeight="1" x14ac:dyDescent="0.25">
      <c r="A222" s="69">
        <f>_xlfn.IFNA(IF('Interactive Selection Sheet'!F90= "", VLOOKUP('Interactive Selection Sheet'!$G90, 'Master List Import'!$A$1:$P$519, 2, FALSE), ""), "")</f>
        <v>5210</v>
      </c>
      <c r="B222" s="69" t="str">
        <f>_xlfn.IFNA(IF('Interactive Selection Sheet'!F90= "", VLOOKUP('Interactive Selection Sheet'!$G90, 'Master List Import'!$A$1:$P$519, 3, FALSE), ""), "")</f>
        <v>Dark &amp; Lovely Super Relaxer - 6/cs</v>
      </c>
      <c r="C222" s="76">
        <f>IF('Interactive Selection Sheet'!$T$2="", "", IF(B222="","",'Interactive Selection Sheet'!$T$2))</f>
        <v>3.5000000000000003E-2</v>
      </c>
      <c r="D222" s="70">
        <f>IF(B222 = "", "", 'Interactive Selection Sheet'!$Q$2)</f>
        <v>4.4999999999999998E-2</v>
      </c>
      <c r="E222" s="70">
        <f>IF(B222="","", 'Interactive Selection Sheet'!$R$2)</f>
        <v>0.02</v>
      </c>
      <c r="F222" s="69" t="str">
        <f>_xlfn.IFNA(IF('Interactive Selection Sheet'!F90= "", VLOOKUP('Interactive Selection Sheet'!$G90, 'Master List Import'!$A$1:$P$519, 4, FALSE), ""), "")</f>
        <v>Hygiene - Hair Styling</v>
      </c>
      <c r="G222" s="69" t="str">
        <f>_xlfn.IFNA(IF('Interactive Selection Sheet'!F90= "", VLOOKUP('Interactive Selection Sheet'!$G90, 'Master List Import'!$A$1:$P$519, 5, FALSE), ""), "")</f>
        <v>Hygiene - Hair Styling</v>
      </c>
      <c r="H222" s="69" t="str">
        <f>_xlfn.IFNA(IF('Interactive Selection Sheet'!F90= "", VLOOKUP('Interactive Selection Sheet'!$G90, 'Master List Import'!$A$1:$P$519, 6, FALSE), ""), "")</f>
        <v>Both</v>
      </c>
      <c r="I222" s="72">
        <f>_xlfn.IFNA(IF('Interactive Selection Sheet'!F90= "", VLOOKUP('Interactive Selection Sheet'!$G90, 'Master List Import'!$A$1:$P$519, 7, FALSE), ""), "")</f>
        <v>6.3333000000000004</v>
      </c>
      <c r="J222" s="69" t="str">
        <f>_xlfn.IFNA(IF('Interactive Selection Sheet'!F90= "", VLOOKUP('Interactive Selection Sheet'!$G90, 'Master List Import'!$A$1:$P$519, 8, FALSE), ""), "")</f>
        <v>REI</v>
      </c>
      <c r="K222" s="69" t="str">
        <f>_xlfn.IFNA(IF('Interactive Selection Sheet'!F90= "", VLOOKUP('Interactive Selection Sheet'!$G90, 'Master List Import'!$A$1:$P$519, 9, FALSE), ""), "")</f>
        <v>395260</v>
      </c>
      <c r="L222" s="69">
        <f>_xlfn.IFNA(IF('Interactive Selection Sheet'!F90= "", VLOOKUP('Interactive Selection Sheet'!$G90, 'Master List Import'!$A$1:$P$519, 10, FALSE), ""), "")</f>
        <v>0</v>
      </c>
      <c r="M222" s="69">
        <f>_xlfn.IFNA(IF('Interactive Selection Sheet'!F90= "", VLOOKUP('Interactive Selection Sheet'!$G90, 'Master List Import'!$A$1:$P$519, 11, FALSE), ""), "")</f>
        <v>0</v>
      </c>
      <c r="N222" s="69">
        <f>_xlfn.IFNA(IF('Interactive Selection Sheet'!F90= "", VLOOKUP('Interactive Selection Sheet'!$G90, 'Master List Import'!$A$1:$P$519, 12, FALSE), ""), "")</f>
        <v>6</v>
      </c>
      <c r="O222" s="69">
        <f>_xlfn.IFNA(IF('Interactive Selection Sheet'!F90= "", VLOOKUP('Interactive Selection Sheet'!$G90, 'Master List Import'!$A$1:$P$519, 13, FALSE), ""), "")</f>
        <v>5210</v>
      </c>
      <c r="P222" s="69" t="str">
        <f>_xlfn.IFNA(IF('Interactive Selection Sheet'!F90= "", VLOOKUP('Interactive Selection Sheet'!$G90, 'Master List Import'!$A$1:$P$519, 14, FALSE), ""), "")</f>
        <v>Dark &amp; Lovely Relaxer</v>
      </c>
      <c r="Q222" s="69">
        <f>_xlfn.IFNA(IF('Interactive Selection Sheet'!F90= "", VLOOKUP('Interactive Selection Sheet'!$G90, 'Master List Import'!$A$1:$P$519, 15, FALSE), ""), "")</f>
        <v>1</v>
      </c>
      <c r="R222" s="74">
        <f>_xlfn.IFNA(IF('Interactive Selection Sheet'!F90= "", VLOOKUP('Interactive Selection Sheet'!$G90, 'Master List Import'!$A$1:$P$519, 16, FALSE), ""), "")</f>
        <v>19</v>
      </c>
    </row>
    <row r="223" spans="1:18" ht="21.75" customHeight="1" x14ac:dyDescent="0.25">
      <c r="A223" s="69">
        <f>_xlfn.IFNA(IF('Interactive Selection Sheet'!F91= "", VLOOKUP('Interactive Selection Sheet'!$G91, 'Master List Import'!$A$1:$P$519, 2, FALSE), ""), "")</f>
        <v>5211</v>
      </c>
      <c r="B223" s="69" t="str">
        <f>_xlfn.IFNA(IF('Interactive Selection Sheet'!F91= "", VLOOKUP('Interactive Selection Sheet'!$G91, 'Master List Import'!$A$1:$P$519, 3, FALSE), ""), "")</f>
        <v>Lusti Hair Food, 4oz tub - 24/cs</v>
      </c>
      <c r="C223" s="76">
        <f>IF('Interactive Selection Sheet'!$T$2="", "", IF(B223="","",'Interactive Selection Sheet'!$T$2))</f>
        <v>3.5000000000000003E-2</v>
      </c>
      <c r="D223" s="70">
        <f>IF(B223 = "", "", 'Interactive Selection Sheet'!$Q$2)</f>
        <v>4.4999999999999998E-2</v>
      </c>
      <c r="E223" s="70">
        <f>IF(B223="","", 'Interactive Selection Sheet'!$R$2)</f>
        <v>0.02</v>
      </c>
      <c r="F223" s="69" t="str">
        <f>_xlfn.IFNA(IF('Interactive Selection Sheet'!F91= "", VLOOKUP('Interactive Selection Sheet'!$G91, 'Master List Import'!$A$1:$P$519, 4, FALSE), ""), "")</f>
        <v>Hygiene - Hair Styling</v>
      </c>
      <c r="G223" s="69" t="str">
        <f>_xlfn.IFNA(IF('Interactive Selection Sheet'!F91= "", VLOOKUP('Interactive Selection Sheet'!$G91, 'Master List Import'!$A$1:$P$519, 5, FALSE), ""), "")</f>
        <v>Hygiene - Hair Styling</v>
      </c>
      <c r="H223" s="69" t="str">
        <f>_xlfn.IFNA(IF('Interactive Selection Sheet'!F91= "", VLOOKUP('Interactive Selection Sheet'!$G91, 'Master List Import'!$A$1:$P$519, 6, FALSE), ""), "")</f>
        <v>Both</v>
      </c>
      <c r="I223" s="72">
        <f>_xlfn.IFNA(IF('Interactive Selection Sheet'!F91= "", VLOOKUP('Interactive Selection Sheet'!$G91, 'Master List Import'!$A$1:$P$519, 7, FALSE), ""), "")</f>
        <v>0.84</v>
      </c>
      <c r="J223" s="69" t="str">
        <f>_xlfn.IFNA(IF('Interactive Selection Sheet'!F91= "", VLOOKUP('Interactive Selection Sheet'!$G91, 'Master List Import'!$A$1:$P$519, 8, FALSE), ""), "")</f>
        <v>REI</v>
      </c>
      <c r="K223" s="69" t="str">
        <f>_xlfn.IFNA(IF('Interactive Selection Sheet'!F91= "", VLOOKUP('Interactive Selection Sheet'!$G91, 'Master List Import'!$A$1:$P$519, 9, FALSE), ""), "")</f>
        <v>395066</v>
      </c>
      <c r="L223" s="69">
        <f>_xlfn.IFNA(IF('Interactive Selection Sheet'!F91= "", VLOOKUP('Interactive Selection Sheet'!$G91, 'Master List Import'!$A$1:$P$519, 10, FALSE), ""), "")</f>
        <v>0</v>
      </c>
      <c r="M223" s="69">
        <f>_xlfn.IFNA(IF('Interactive Selection Sheet'!F91= "", VLOOKUP('Interactive Selection Sheet'!$G91, 'Master List Import'!$A$1:$P$519, 11, FALSE), ""), "")</f>
        <v>0</v>
      </c>
      <c r="N223" s="69">
        <f>_xlfn.IFNA(IF('Interactive Selection Sheet'!F91= "", VLOOKUP('Interactive Selection Sheet'!$G91, 'Master List Import'!$A$1:$P$519, 12, FALSE), ""), "")</f>
        <v>24</v>
      </c>
      <c r="O223" s="69">
        <f>_xlfn.IFNA(IF('Interactive Selection Sheet'!F91= "", VLOOKUP('Interactive Selection Sheet'!$G91, 'Master List Import'!$A$1:$P$519, 13, FALSE), ""), "")</f>
        <v>5211</v>
      </c>
      <c r="P223" s="69" t="str">
        <f>_xlfn.IFNA(IF('Interactive Selection Sheet'!F91= "", VLOOKUP('Interactive Selection Sheet'!$G91, 'Master List Import'!$A$1:$P$519, 14, FALSE), ""), "")</f>
        <v>Lusti Hair Food</v>
      </c>
      <c r="Q223" s="69">
        <f>_xlfn.IFNA(IF('Interactive Selection Sheet'!F91= "", VLOOKUP('Interactive Selection Sheet'!$G91, 'Master List Import'!$A$1:$P$519, 15, FALSE), ""), "")</f>
        <v>1</v>
      </c>
      <c r="R223" s="74">
        <f>_xlfn.IFNA(IF('Interactive Selection Sheet'!F91= "", VLOOKUP('Interactive Selection Sheet'!$G91, 'Master List Import'!$A$1:$P$519, 16, FALSE), ""), "")</f>
        <v>2.5</v>
      </c>
    </row>
    <row r="224" spans="1:18" ht="21.75" customHeight="1" x14ac:dyDescent="0.25">
      <c r="A224" s="69">
        <f>_xlfn.IFNA(IF('Interactive Selection Sheet'!F92= "", VLOOKUP('Interactive Selection Sheet'!$G92, 'Master List Import'!$A$1:$P$519, 2, FALSE), ""), "")</f>
        <v>5212</v>
      </c>
      <c r="B224" s="69" t="str">
        <f>_xlfn.IFNA(IF('Interactive Selection Sheet'!F92= "", VLOOKUP('Interactive Selection Sheet'!$G92, 'Master List Import'!$A$1:$P$519, 3, FALSE), ""), "")</f>
        <v>Luster's Pink Oil, 8oz - 12/cs</v>
      </c>
      <c r="C224" s="76">
        <f>IF('Interactive Selection Sheet'!$T$2="", "", IF(B224="","",'Interactive Selection Sheet'!$T$2))</f>
        <v>3.5000000000000003E-2</v>
      </c>
      <c r="D224" s="70">
        <f>IF(B224 = "", "", 'Interactive Selection Sheet'!$Q$2)</f>
        <v>4.4999999999999998E-2</v>
      </c>
      <c r="E224" s="70">
        <f>IF(B224="","", 'Interactive Selection Sheet'!$R$2)</f>
        <v>0.02</v>
      </c>
      <c r="F224" s="69" t="str">
        <f>_xlfn.IFNA(IF('Interactive Selection Sheet'!F92= "", VLOOKUP('Interactive Selection Sheet'!$G92, 'Master List Import'!$A$1:$P$519, 4, FALSE), ""), "")</f>
        <v>Hygiene - Hair Styling</v>
      </c>
      <c r="G224" s="69" t="str">
        <f>_xlfn.IFNA(IF('Interactive Selection Sheet'!F92= "", VLOOKUP('Interactive Selection Sheet'!$G92, 'Master List Import'!$A$1:$P$519, 5, FALSE), ""), "")</f>
        <v>Hygiene - Hair Styling</v>
      </c>
      <c r="H224" s="69" t="str">
        <f>_xlfn.IFNA(IF('Interactive Selection Sheet'!F92= "", VLOOKUP('Interactive Selection Sheet'!$G92, 'Master List Import'!$A$1:$P$519, 6, FALSE), ""), "")</f>
        <v>Both</v>
      </c>
      <c r="I224" s="72">
        <f>_xlfn.IFNA(IF('Interactive Selection Sheet'!F92= "", VLOOKUP('Interactive Selection Sheet'!$G92, 'Master List Import'!$A$1:$P$519, 7, FALSE), ""), "")</f>
        <v>4.5999999999999996</v>
      </c>
      <c r="J224" s="69" t="str">
        <f>_xlfn.IFNA(IF('Interactive Selection Sheet'!F92= "", VLOOKUP('Interactive Selection Sheet'!$G92, 'Master List Import'!$A$1:$P$519, 8, FALSE), ""), "")</f>
        <v>REI</v>
      </c>
      <c r="K224" s="69" t="str">
        <f>_xlfn.IFNA(IF('Interactive Selection Sheet'!F92= "", VLOOKUP('Interactive Selection Sheet'!$G92, 'Master List Import'!$A$1:$P$519, 9, FALSE), ""), "")</f>
        <v>394702</v>
      </c>
      <c r="L224" s="69">
        <f>_xlfn.IFNA(IF('Interactive Selection Sheet'!F92= "", VLOOKUP('Interactive Selection Sheet'!$G92, 'Master List Import'!$A$1:$P$519, 10, FALSE), ""), "")</f>
        <v>0</v>
      </c>
      <c r="M224" s="69">
        <f>_xlfn.IFNA(IF('Interactive Selection Sheet'!F92= "", VLOOKUP('Interactive Selection Sheet'!$G92, 'Master List Import'!$A$1:$P$519, 11, FALSE), ""), "")</f>
        <v>0</v>
      </c>
      <c r="N224" s="69">
        <f>_xlfn.IFNA(IF('Interactive Selection Sheet'!F92= "", VLOOKUP('Interactive Selection Sheet'!$G92, 'Master List Import'!$A$1:$P$519, 12, FALSE), ""), "")</f>
        <v>12</v>
      </c>
      <c r="O224" s="69">
        <f>_xlfn.IFNA(IF('Interactive Selection Sheet'!F92= "", VLOOKUP('Interactive Selection Sheet'!$G92, 'Master List Import'!$A$1:$P$519, 13, FALSE), ""), "")</f>
        <v>5212</v>
      </c>
      <c r="P224" s="69" t="str">
        <f>_xlfn.IFNA(IF('Interactive Selection Sheet'!F92= "", VLOOKUP('Interactive Selection Sheet'!$G92, 'Master List Import'!$A$1:$P$519, 14, FALSE), ""), "")</f>
        <v>Luster's Pink Oil Hair Moisturizer</v>
      </c>
      <c r="Q224" s="69">
        <f>_xlfn.IFNA(IF('Interactive Selection Sheet'!F92= "", VLOOKUP('Interactive Selection Sheet'!$G92, 'Master List Import'!$A$1:$P$519, 15, FALSE), ""), "")</f>
        <v>1</v>
      </c>
      <c r="R224" s="74">
        <f>_xlfn.IFNA(IF('Interactive Selection Sheet'!F92= "", VLOOKUP('Interactive Selection Sheet'!$G92, 'Master List Import'!$A$1:$P$519, 16, FALSE), ""), "")</f>
        <v>12</v>
      </c>
    </row>
    <row r="225" spans="1:18" ht="21.75" customHeight="1" x14ac:dyDescent="0.25">
      <c r="A225" s="69">
        <f>_xlfn.IFNA(IF('Interactive Selection Sheet'!$K85= "", VLOOKUP('Interactive Selection Sheet'!$L85, 'Master List Import'!$A$1:$P$519, 2, FALSE), ""), "")</f>
        <v>5400</v>
      </c>
      <c r="B225" s="69" t="str">
        <f>_xlfn.IFNA(IF('Interactive Selection Sheet'!$K85= "", VLOOKUP('Interactive Selection Sheet'!$L85, 'Master List Import'!$A$1:$P$519, 3, FALSE), ""), "")</f>
        <v>CareAll Petroleum Jelly, 4oz jar - 12/cs</v>
      </c>
      <c r="C225" s="76">
        <f>IF('Interactive Selection Sheet'!$T$2="", "", IF(B225="","",'Interactive Selection Sheet'!$T$2))</f>
        <v>3.5000000000000003E-2</v>
      </c>
      <c r="D225" s="70">
        <f>IF(B225 = "", "", 'Interactive Selection Sheet'!$Q$2)</f>
        <v>4.4999999999999998E-2</v>
      </c>
      <c r="E225" s="70">
        <f>IF(B225="","", 'Interactive Selection Sheet'!$R$2)</f>
        <v>0.02</v>
      </c>
      <c r="F225" s="69" t="str">
        <f>_xlfn.IFNA(IF('Interactive Selection Sheet'!K85= "", VLOOKUP('Interactive Selection Sheet'!$L85, 'Master List Import'!$A$1:$P$519, 4, FALSE), ""), "")</f>
        <v>Hygiene - Skin Care</v>
      </c>
      <c r="G225" s="69" t="str">
        <f>_xlfn.IFNA(IF('Interactive Selection Sheet'!K85= "", VLOOKUP('Interactive Selection Sheet'!$L85, 'Master List Import'!$A$1:$P$519, 5, FALSE), ""), "")</f>
        <v>Hygiene - Skin Care</v>
      </c>
      <c r="H225" s="69" t="str">
        <f>_xlfn.IFNA(IF('Interactive Selection Sheet'!K85= "", VLOOKUP('Interactive Selection Sheet'!$L85, 'Master List Import'!$A$1:$P$519, 6, FALSE), ""), "")</f>
        <v>Both</v>
      </c>
      <c r="I225" s="72">
        <f>_xlfn.IFNA(IF('Interactive Selection Sheet'!K85= "", VLOOKUP('Interactive Selection Sheet'!$L85, 'Master List Import'!$A$1:$P$519, 7, FALSE), ""), "")</f>
        <v>0.68</v>
      </c>
      <c r="J225" s="69" t="str">
        <f>_xlfn.IFNA(IF('Interactive Selection Sheet'!K85= "", VLOOKUP('Interactive Selection Sheet'!$L85, 'Master List Import'!$A$1:$P$519, 8, FALSE), ""), "")</f>
        <v>REI</v>
      </c>
      <c r="K225" s="69" t="str">
        <f>_xlfn.IFNA(IF('Interactive Selection Sheet'!K85= "", VLOOKUP('Interactive Selection Sheet'!$L85, 'Master List Import'!$A$1:$P$519, 9, FALSE), ""), "")</f>
        <v>400893</v>
      </c>
      <c r="L225" s="69">
        <f>_xlfn.IFNA(IF('Interactive Selection Sheet'!K85= "", VLOOKUP('Interactive Selection Sheet'!$L85, 'Master List Import'!$A$1:$P$519, 10, FALSE), ""), "")</f>
        <v>0</v>
      </c>
      <c r="M225" s="69">
        <f>_xlfn.IFNA(IF('Interactive Selection Sheet'!K85= "", VLOOKUP('Interactive Selection Sheet'!$L85, 'Master List Import'!$A$1:$P$519, 11, FALSE), ""), "")</f>
        <v>0</v>
      </c>
      <c r="N225" s="69">
        <f>_xlfn.IFNA(IF('Interactive Selection Sheet'!K85= "", VLOOKUP('Interactive Selection Sheet'!$L85, 'Master List Import'!$A$1:$P$519, 12, FALSE), ""), "")</f>
        <v>12</v>
      </c>
      <c r="O225" s="69">
        <f>_xlfn.IFNA(IF('Interactive Selection Sheet'!K85= "", VLOOKUP('Interactive Selection Sheet'!$L85, 'Master List Import'!$A$1:$P$519, 13, FALSE), ""), "")</f>
        <v>5400</v>
      </c>
      <c r="P225" s="69" t="str">
        <f>_xlfn.IFNA(IF('Interactive Selection Sheet'!K85= "", VLOOKUP('Interactive Selection Sheet'!$L85, 'Master List Import'!$A$1:$P$519, 14, FALSE), ""), "")</f>
        <v>Petroleum Jelly</v>
      </c>
      <c r="Q225" s="69">
        <f>_xlfn.IFNA(IF('Interactive Selection Sheet'!K85= "", VLOOKUP('Interactive Selection Sheet'!$L85, 'Master List Import'!$A$1:$P$519, 15, FALSE), ""), "")</f>
        <v>1</v>
      </c>
      <c r="R225" s="74">
        <f>_xlfn.IFNA(IF('Interactive Selection Sheet'!K85= "", VLOOKUP('Interactive Selection Sheet'!$L85, 'Master List Import'!$A$1:$P$519, 16, FALSE), ""), "")</f>
        <v>2.1</v>
      </c>
    </row>
    <row r="226" spans="1:18" ht="21.75" customHeight="1" x14ac:dyDescent="0.25">
      <c r="A226" s="69">
        <f>_xlfn.IFNA(IF('Interactive Selection Sheet'!$K87= "", VLOOKUP('Interactive Selection Sheet'!$L87, 'Master List Import'!$A$1:$P$519, 2, FALSE), ""), "")</f>
        <v>5420</v>
      </c>
      <c r="B226" s="69" t="str">
        <f>_xlfn.IFNA(IF('Interactive Selection Sheet'!$K87= "", VLOOKUP('Interactive Selection Sheet'!$L87, 'Master List Import'!$A$1:$P$519, 3, FALSE), ""), "")</f>
        <v>Cocoa Butter Skin Lotion, 20oz bottle - 12/cs</v>
      </c>
      <c r="C226" s="76">
        <f>IF('Interactive Selection Sheet'!$T$2="", "", IF(B226="","",'Interactive Selection Sheet'!$T$2))</f>
        <v>3.5000000000000003E-2</v>
      </c>
      <c r="D226" s="70">
        <f>IF(B226 = "", "", 'Interactive Selection Sheet'!$Q$2)</f>
        <v>4.4999999999999998E-2</v>
      </c>
      <c r="E226" s="70">
        <f>IF(B226="","", 'Interactive Selection Sheet'!$R$2)</f>
        <v>0.02</v>
      </c>
      <c r="F226" s="69" t="str">
        <f>_xlfn.IFNA(IF('Interactive Selection Sheet'!K87= "", VLOOKUP('Interactive Selection Sheet'!$L87, 'Master List Import'!$A$1:$P$519, 4, FALSE), ""), "")</f>
        <v>Hygiene - Skin Care</v>
      </c>
      <c r="G226" s="69" t="str">
        <f>_xlfn.IFNA(IF('Interactive Selection Sheet'!K87= "", VLOOKUP('Interactive Selection Sheet'!$L87, 'Master List Import'!$A$1:$P$519, 5, FALSE), ""), "")</f>
        <v>Hygiene - Skin Care</v>
      </c>
      <c r="H226" s="69" t="str">
        <f>_xlfn.IFNA(IF('Interactive Selection Sheet'!K87= "", VLOOKUP('Interactive Selection Sheet'!$L87, 'Master List Import'!$A$1:$P$519, 6, FALSE), ""), "")</f>
        <v>Both</v>
      </c>
      <c r="I226" s="72">
        <f>_xlfn.IFNA(IF('Interactive Selection Sheet'!K87= "", VLOOKUP('Interactive Selection Sheet'!$L87, 'Master List Import'!$A$1:$P$519, 7, FALSE), ""), "")</f>
        <v>0.99</v>
      </c>
      <c r="J226" s="69" t="str">
        <f>_xlfn.IFNA(IF('Interactive Selection Sheet'!K87= "", VLOOKUP('Interactive Selection Sheet'!$L87, 'Master List Import'!$A$1:$P$519, 8, FALSE), ""), "")</f>
        <v>REI</v>
      </c>
      <c r="K226" s="69" t="str">
        <f>_xlfn.IFNA(IF('Interactive Selection Sheet'!K87= "", VLOOKUP('Interactive Selection Sheet'!$L87, 'Master List Import'!$A$1:$P$519, 9, FALSE), ""), "")</f>
        <v>393200</v>
      </c>
      <c r="L226" s="69">
        <f>_xlfn.IFNA(IF('Interactive Selection Sheet'!K87= "", VLOOKUP('Interactive Selection Sheet'!$L87, 'Master List Import'!$A$1:$P$519, 10, FALSE), ""), "")</f>
        <v>0</v>
      </c>
      <c r="M226" s="69">
        <f>_xlfn.IFNA(IF('Interactive Selection Sheet'!K87= "", VLOOKUP('Interactive Selection Sheet'!$L87, 'Master List Import'!$A$1:$P$519, 11, FALSE), ""), "")</f>
        <v>0</v>
      </c>
      <c r="N226" s="69">
        <f>_xlfn.IFNA(IF('Interactive Selection Sheet'!K87= "", VLOOKUP('Interactive Selection Sheet'!$L87, 'Master List Import'!$A$1:$P$519, 12, FALSE), ""), "")</f>
        <v>12</v>
      </c>
      <c r="O226" s="69">
        <f>_xlfn.IFNA(IF('Interactive Selection Sheet'!K87= "", VLOOKUP('Interactive Selection Sheet'!$L87, 'Master List Import'!$A$1:$P$519, 13, FALSE), ""), "")</f>
        <v>5420</v>
      </c>
      <c r="P226" s="69" t="str">
        <f>_xlfn.IFNA(IF('Interactive Selection Sheet'!K87= "", VLOOKUP('Interactive Selection Sheet'!$L87, 'Master List Import'!$A$1:$P$519, 14, FALSE), ""), "")</f>
        <v>Cocoa Butter Skin Lotion</v>
      </c>
      <c r="Q226" s="69">
        <f>_xlfn.IFNA(IF('Interactive Selection Sheet'!K87= "", VLOOKUP('Interactive Selection Sheet'!$L87, 'Master List Import'!$A$1:$P$519, 15, FALSE), ""), "")</f>
        <v>1</v>
      </c>
      <c r="R226" s="74">
        <f>_xlfn.IFNA(IF('Interactive Selection Sheet'!K87= "", VLOOKUP('Interactive Selection Sheet'!$L87, 'Master List Import'!$A$1:$P$519, 16, FALSE), ""), "")</f>
        <v>3.05</v>
      </c>
    </row>
    <row r="227" spans="1:18" ht="21.75" customHeight="1" x14ac:dyDescent="0.25">
      <c r="A227" s="69">
        <f>_xlfn.IFNA(IF('Interactive Selection Sheet'!$K88= "", VLOOKUP('Interactive Selection Sheet'!$L88, 'Master List Import'!$A$1:$P$519, 2, FALSE), ""), "")</f>
        <v>5421</v>
      </c>
      <c r="B227" s="69" t="str">
        <f>_xlfn.IFNA(IF('Interactive Selection Sheet'!$K88= "", VLOOKUP('Interactive Selection Sheet'!$L88, 'Master List Import'!$A$1:$P$519, 3, FALSE), ""), "")</f>
        <v>Personal Care Vitamin E. Lotion, 20oz - 12/cs</v>
      </c>
      <c r="C227" s="76">
        <f>IF('Interactive Selection Sheet'!$T$2="", "", IF(B227="","",'Interactive Selection Sheet'!$T$2))</f>
        <v>3.5000000000000003E-2</v>
      </c>
      <c r="D227" s="70">
        <f>IF(B227 = "", "", 'Interactive Selection Sheet'!$Q$2)</f>
        <v>4.4999999999999998E-2</v>
      </c>
      <c r="E227" s="70">
        <f>IF(B227="","", 'Interactive Selection Sheet'!$R$2)</f>
        <v>0.02</v>
      </c>
      <c r="F227" s="69" t="str">
        <f>_xlfn.IFNA(IF('Interactive Selection Sheet'!K88= "", VLOOKUP('Interactive Selection Sheet'!$L88, 'Master List Import'!$A$1:$P$519, 4, FALSE), ""), "")</f>
        <v>Hygiene</v>
      </c>
      <c r="G227" s="69" t="str">
        <f>_xlfn.IFNA(IF('Interactive Selection Sheet'!K88= "", VLOOKUP('Interactive Selection Sheet'!$L88, 'Master List Import'!$A$1:$P$519, 5, FALSE), ""), "")</f>
        <v>Hygiene</v>
      </c>
      <c r="H227" s="69" t="str">
        <f>_xlfn.IFNA(IF('Interactive Selection Sheet'!K88= "", VLOOKUP('Interactive Selection Sheet'!$L88, 'Master List Import'!$A$1:$P$519, 6, FALSE), ""), "")</f>
        <v>Both</v>
      </c>
      <c r="I227" s="72">
        <f>_xlfn.IFNA(IF('Interactive Selection Sheet'!K88= "", VLOOKUP('Interactive Selection Sheet'!$L88, 'Master List Import'!$A$1:$P$519, 7, FALSE), ""), "")</f>
        <v>1</v>
      </c>
      <c r="J227" s="69" t="str">
        <f>_xlfn.IFNA(IF('Interactive Selection Sheet'!K88= "", VLOOKUP('Interactive Selection Sheet'!$L88, 'Master List Import'!$A$1:$P$519, 8, FALSE), ""), "")</f>
        <v>REI</v>
      </c>
      <c r="K227" s="69" t="str">
        <f>_xlfn.IFNA(IF('Interactive Selection Sheet'!K88= "", VLOOKUP('Interactive Selection Sheet'!$L88, 'Master List Import'!$A$1:$P$519, 9, FALSE), ""), "")</f>
        <v>393235</v>
      </c>
      <c r="L227" s="69">
        <f>_xlfn.IFNA(IF('Interactive Selection Sheet'!K88= "", VLOOKUP('Interactive Selection Sheet'!$L88, 'Master List Import'!$A$1:$P$519, 10, FALSE), ""), "")</f>
        <v>0</v>
      </c>
      <c r="M227" s="69">
        <f>_xlfn.IFNA(IF('Interactive Selection Sheet'!K88= "", VLOOKUP('Interactive Selection Sheet'!$L88, 'Master List Import'!$A$1:$P$519, 11, FALSE), ""), "")</f>
        <v>0</v>
      </c>
      <c r="N227" s="69">
        <f>_xlfn.IFNA(IF('Interactive Selection Sheet'!K88= "", VLOOKUP('Interactive Selection Sheet'!$L88, 'Master List Import'!$A$1:$P$519, 12, FALSE), ""), "")</f>
        <v>12</v>
      </c>
      <c r="O227" s="69">
        <f>_xlfn.IFNA(IF('Interactive Selection Sheet'!K88= "", VLOOKUP('Interactive Selection Sheet'!$L88, 'Master List Import'!$A$1:$P$519, 13, FALSE), ""), "")</f>
        <v>5421</v>
      </c>
      <c r="P227" s="69" t="str">
        <f>_xlfn.IFNA(IF('Interactive Selection Sheet'!K88= "", VLOOKUP('Interactive Selection Sheet'!$L88, 'Master List Import'!$A$1:$P$519, 14, FALSE), ""), "")</f>
        <v>Vitamin E Skin Lotion</v>
      </c>
      <c r="Q227" s="69">
        <f>_xlfn.IFNA(IF('Interactive Selection Sheet'!K88= "", VLOOKUP('Interactive Selection Sheet'!$L88, 'Master List Import'!$A$1:$P$519, 15, FALSE), ""), "")</f>
        <v>1</v>
      </c>
      <c r="R227" s="74">
        <f>_xlfn.IFNA(IF('Interactive Selection Sheet'!K88= "", VLOOKUP('Interactive Selection Sheet'!$L88, 'Master List Import'!$A$1:$P$519, 16, FALSE), ""), "")</f>
        <v>3.05</v>
      </c>
    </row>
    <row r="228" spans="1:18" ht="21.75" customHeight="1" x14ac:dyDescent="0.25">
      <c r="A228" s="69">
        <f>_xlfn.IFNA(IF('Interactive Selection Sheet'!$K89= "", VLOOKUP('Interactive Selection Sheet'!$L89, 'Master List Import'!$A$1:$P$519, 2, FALSE), ""), "")</f>
        <v>5422</v>
      </c>
      <c r="B228" s="69" t="str">
        <f>_xlfn.IFNA(IF('Interactive Selection Sheet'!$K89= "", VLOOKUP('Interactive Selection Sheet'!$L89, 'Master List Import'!$A$1:$P$519, 3, FALSE), ""), "")</f>
        <v>Personal Care Aloe Vera Lotion, 20oz - 12/cs</v>
      </c>
      <c r="C228" s="76">
        <f>IF('Interactive Selection Sheet'!$T$2="", "", IF(B228="","",'Interactive Selection Sheet'!$T$2))</f>
        <v>3.5000000000000003E-2</v>
      </c>
      <c r="D228" s="70">
        <f>IF(B228 = "", "", 'Interactive Selection Sheet'!$Q$2)</f>
        <v>4.4999999999999998E-2</v>
      </c>
      <c r="E228" s="70">
        <f>IF(B228="","", 'Interactive Selection Sheet'!$R$2)</f>
        <v>0.02</v>
      </c>
      <c r="F228" s="69" t="str">
        <f>_xlfn.IFNA(IF('Interactive Selection Sheet'!K89= "", VLOOKUP('Interactive Selection Sheet'!$L89, 'Master List Import'!$A$1:$P$519, 4, FALSE), ""), "")</f>
        <v>Hygiene</v>
      </c>
      <c r="G228" s="69" t="str">
        <f>_xlfn.IFNA(IF('Interactive Selection Sheet'!K89= "", VLOOKUP('Interactive Selection Sheet'!$L89, 'Master List Import'!$A$1:$P$519, 5, FALSE), ""), "")</f>
        <v>Hygiene</v>
      </c>
      <c r="H228" s="69" t="str">
        <f>_xlfn.IFNA(IF('Interactive Selection Sheet'!K89= "", VLOOKUP('Interactive Selection Sheet'!$L89, 'Master List Import'!$A$1:$P$519, 6, FALSE), ""), "")</f>
        <v>Both</v>
      </c>
      <c r="I228" s="72">
        <f>_xlfn.IFNA(IF('Interactive Selection Sheet'!K89= "", VLOOKUP('Interactive Selection Sheet'!$L89, 'Master List Import'!$A$1:$P$519, 7, FALSE), ""), "")</f>
        <v>1</v>
      </c>
      <c r="J228" s="69" t="str">
        <f>_xlfn.IFNA(IF('Interactive Selection Sheet'!K89= "", VLOOKUP('Interactive Selection Sheet'!$L89, 'Master List Import'!$A$1:$P$519, 8, FALSE), ""), "")</f>
        <v>REI</v>
      </c>
      <c r="K228" s="69" t="str">
        <f>_xlfn.IFNA(IF('Interactive Selection Sheet'!K89= "", VLOOKUP('Interactive Selection Sheet'!$L89, 'Master List Import'!$A$1:$P$519, 9, FALSE), ""), "")</f>
        <v>393190</v>
      </c>
      <c r="L228" s="69">
        <f>_xlfn.IFNA(IF('Interactive Selection Sheet'!K89= "", VLOOKUP('Interactive Selection Sheet'!$L89, 'Master List Import'!$A$1:$P$519, 10, FALSE), ""), "")</f>
        <v>0</v>
      </c>
      <c r="M228" s="69">
        <f>_xlfn.IFNA(IF('Interactive Selection Sheet'!K89= "", VLOOKUP('Interactive Selection Sheet'!$L89, 'Master List Import'!$A$1:$P$519, 11, FALSE), ""), "")</f>
        <v>0</v>
      </c>
      <c r="N228" s="69">
        <f>_xlfn.IFNA(IF('Interactive Selection Sheet'!K89= "", VLOOKUP('Interactive Selection Sheet'!$L89, 'Master List Import'!$A$1:$P$519, 12, FALSE), ""), "")</f>
        <v>12</v>
      </c>
      <c r="O228" s="69">
        <f>_xlfn.IFNA(IF('Interactive Selection Sheet'!K89= "", VLOOKUP('Interactive Selection Sheet'!$L89, 'Master List Import'!$A$1:$P$519, 13, FALSE), ""), "")</f>
        <v>5422</v>
      </c>
      <c r="P228" s="69" t="str">
        <f>_xlfn.IFNA(IF('Interactive Selection Sheet'!K89= "", VLOOKUP('Interactive Selection Sheet'!$L89, 'Master List Import'!$A$1:$P$519, 14, FALSE), ""), "")</f>
        <v>Aloe Vera Skin Lotion</v>
      </c>
      <c r="Q228" s="69">
        <f>_xlfn.IFNA(IF('Interactive Selection Sheet'!K89= "", VLOOKUP('Interactive Selection Sheet'!$L89, 'Master List Import'!$A$1:$P$519, 15, FALSE), ""), "")</f>
        <v>1</v>
      </c>
      <c r="R228" s="74">
        <f>_xlfn.IFNA(IF('Interactive Selection Sheet'!K89= "", VLOOKUP('Interactive Selection Sheet'!$L89, 'Master List Import'!$A$1:$P$519, 16, FALSE), ""), "")</f>
        <v>3.05</v>
      </c>
    </row>
    <row r="229" spans="1:18" ht="21.75" customHeight="1" x14ac:dyDescent="0.25">
      <c r="A229" s="69">
        <f>_xlfn.IFNA(IF('Interactive Selection Sheet'!$K91= "", VLOOKUP('Interactive Selection Sheet'!$L91, 'Master List Import'!$A$1:$P$519, 2, FALSE), ""), "")</f>
        <v>5424</v>
      </c>
      <c r="B229" s="69" t="str">
        <f>_xlfn.IFNA(IF('Interactive Selection Sheet'!$K91= "", VLOOKUP('Interactive Selection Sheet'!$L91, 'Master List Import'!$A$1:$P$519, 3, FALSE), ""), "")</f>
        <v>Lubriderm Lotion Fresh Scent, 6oz - 6/cs</v>
      </c>
      <c r="C229" s="76">
        <f>IF('Interactive Selection Sheet'!$T$2="", "", IF(B229="","",'Interactive Selection Sheet'!$T$2))</f>
        <v>3.5000000000000003E-2</v>
      </c>
      <c r="D229" s="70">
        <f>IF(B229 = "", "", 'Interactive Selection Sheet'!$Q$2)</f>
        <v>4.4999999999999998E-2</v>
      </c>
      <c r="E229" s="70">
        <f>IF(B229="","", 'Interactive Selection Sheet'!$R$2)</f>
        <v>0.02</v>
      </c>
      <c r="F229" s="69" t="str">
        <f>_xlfn.IFNA(IF('Interactive Selection Sheet'!K91= "", VLOOKUP('Interactive Selection Sheet'!$L91, 'Master List Import'!$A$1:$P$519, 4, FALSE), ""), "")</f>
        <v>Hygiene - Skin Care</v>
      </c>
      <c r="G229" s="69" t="str">
        <f>_xlfn.IFNA(IF('Interactive Selection Sheet'!K91= "", VLOOKUP('Interactive Selection Sheet'!$L91, 'Master List Import'!$A$1:$P$519, 5, FALSE), ""), "")</f>
        <v>Hygiene - Skin Care</v>
      </c>
      <c r="H229" s="69" t="str">
        <f>_xlfn.IFNA(IF('Interactive Selection Sheet'!K91= "", VLOOKUP('Interactive Selection Sheet'!$L91, 'Master List Import'!$A$1:$P$519, 6, FALSE), ""), "")</f>
        <v>Both</v>
      </c>
      <c r="I229" s="72">
        <f>_xlfn.IFNA(IF('Interactive Selection Sheet'!K91= "", VLOOKUP('Interactive Selection Sheet'!$L91, 'Master List Import'!$A$1:$P$519, 7, FALSE), ""), "")</f>
        <v>3.08</v>
      </c>
      <c r="J229" s="69" t="str">
        <f>_xlfn.IFNA(IF('Interactive Selection Sheet'!K91= "", VLOOKUP('Interactive Selection Sheet'!$L91, 'Master List Import'!$A$1:$P$519, 8, FALSE), ""), "")</f>
        <v>REI</v>
      </c>
      <c r="K229" s="69" t="str">
        <f>_xlfn.IFNA(IF('Interactive Selection Sheet'!K91= "", VLOOKUP('Interactive Selection Sheet'!$L91, 'Master List Import'!$A$1:$P$519, 9, FALSE), ""), "")</f>
        <v>000041</v>
      </c>
      <c r="L229" s="69">
        <f>_xlfn.IFNA(IF('Interactive Selection Sheet'!K91= "", VLOOKUP('Interactive Selection Sheet'!$L91, 'Master List Import'!$A$1:$P$519, 10, FALSE), ""), "")</f>
        <v>0</v>
      </c>
      <c r="M229" s="69">
        <f>_xlfn.IFNA(IF('Interactive Selection Sheet'!K91= "", VLOOKUP('Interactive Selection Sheet'!$L91, 'Master List Import'!$A$1:$P$519, 11, FALSE), ""), "")</f>
        <v>0</v>
      </c>
      <c r="N229" s="69">
        <f>_xlfn.IFNA(IF('Interactive Selection Sheet'!K91= "", VLOOKUP('Interactive Selection Sheet'!$L91, 'Master List Import'!$A$1:$P$519, 12, FALSE), ""), "")</f>
        <v>6</v>
      </c>
      <c r="O229" s="69">
        <f>_xlfn.IFNA(IF('Interactive Selection Sheet'!K91= "", VLOOKUP('Interactive Selection Sheet'!$L91, 'Master List Import'!$A$1:$P$519, 13, FALSE), ""), "")</f>
        <v>5424</v>
      </c>
      <c r="P229" s="69" t="str">
        <f>_xlfn.IFNA(IF('Interactive Selection Sheet'!K91= "", VLOOKUP('Interactive Selection Sheet'!$L91, 'Master List Import'!$A$1:$P$519, 14, FALSE), ""), "")</f>
        <v>Lubriderm Lotion</v>
      </c>
      <c r="Q229" s="69">
        <f>_xlfn.IFNA(IF('Interactive Selection Sheet'!K91= "", VLOOKUP('Interactive Selection Sheet'!$L91, 'Master List Import'!$A$1:$P$519, 15, FALSE), ""), "")</f>
        <v>1</v>
      </c>
      <c r="R229" s="74">
        <f>_xlfn.IFNA(IF('Interactive Selection Sheet'!K91= "", VLOOKUP('Interactive Selection Sheet'!$L91, 'Master List Import'!$A$1:$P$519, 16, FALSE), ""), "")</f>
        <v>11</v>
      </c>
    </row>
    <row r="230" spans="1:18" ht="21.75" customHeight="1" x14ac:dyDescent="0.25">
      <c r="A230" s="69">
        <f>_xlfn.IFNA(IF('Interactive Selection Sheet'!$K92= "", VLOOKUP('Interactive Selection Sheet'!$L92, 'Master List Import'!$A$1:$P$519, 2, FALSE), ""), "")</f>
        <v>5430</v>
      </c>
      <c r="B230" s="69" t="str">
        <f>_xlfn.IFNA(IF('Interactive Selection Sheet'!$K92= "", VLOOKUP('Interactive Selection Sheet'!$L92, 'Master List Import'!$A$1:$P$519, 3, FALSE), ""), "")</f>
        <v>Freshscent Baby Powder w/Corn Starch, 4oz container - 48/cs</v>
      </c>
      <c r="C230" s="76">
        <f>IF('Interactive Selection Sheet'!$T$2="", "", IF(B230="","",'Interactive Selection Sheet'!$T$2))</f>
        <v>3.5000000000000003E-2</v>
      </c>
      <c r="D230" s="70">
        <f>IF(B230 = "", "", 'Interactive Selection Sheet'!$Q$2)</f>
        <v>4.4999999999999998E-2</v>
      </c>
      <c r="E230" s="70">
        <f>IF(B230="","", 'Interactive Selection Sheet'!$R$2)</f>
        <v>0.02</v>
      </c>
      <c r="F230" s="69" t="str">
        <f>_xlfn.IFNA(IF('Interactive Selection Sheet'!K92= "", VLOOKUP('Interactive Selection Sheet'!$L92, 'Master List Import'!$A$1:$P$519, 4, FALSE), ""), "")</f>
        <v>Hygiene - Skin Care</v>
      </c>
      <c r="G230" s="69" t="str">
        <f>_xlfn.IFNA(IF('Interactive Selection Sheet'!K92= "", VLOOKUP('Interactive Selection Sheet'!$L92, 'Master List Import'!$A$1:$P$519, 5, FALSE), ""), "")</f>
        <v>Hygiene - Skin Care</v>
      </c>
      <c r="H230" s="69" t="str">
        <f>_xlfn.IFNA(IF('Interactive Selection Sheet'!K92= "", VLOOKUP('Interactive Selection Sheet'!$L92, 'Master List Import'!$A$1:$P$519, 6, FALSE), ""), "")</f>
        <v>Both</v>
      </c>
      <c r="I230" s="72">
        <f>_xlfn.IFNA(IF('Interactive Selection Sheet'!K92= "", VLOOKUP('Interactive Selection Sheet'!$L92, 'Master List Import'!$A$1:$P$519, 7, FALSE), ""), "")</f>
        <v>0.4975</v>
      </c>
      <c r="J230" s="69" t="str">
        <f>_xlfn.IFNA(IF('Interactive Selection Sheet'!K92= "", VLOOKUP('Interactive Selection Sheet'!$L92, 'Master List Import'!$A$1:$P$519, 8, FALSE), ""), "")</f>
        <v>REI</v>
      </c>
      <c r="K230" s="69" t="str">
        <f>_xlfn.IFNA(IF('Interactive Selection Sheet'!K92= "", VLOOKUP('Interactive Selection Sheet'!$L92, 'Master List Import'!$A$1:$P$519, 9, FALSE), ""), "")</f>
        <v>400803</v>
      </c>
      <c r="L230" s="69">
        <f>_xlfn.IFNA(IF('Interactive Selection Sheet'!K92= "", VLOOKUP('Interactive Selection Sheet'!$L92, 'Master List Import'!$A$1:$P$519, 10, FALSE), ""), "")</f>
        <v>0</v>
      </c>
      <c r="M230" s="69">
        <f>_xlfn.IFNA(IF('Interactive Selection Sheet'!K92= "", VLOOKUP('Interactive Selection Sheet'!$L92, 'Master List Import'!$A$1:$P$519, 11, FALSE), ""), "")</f>
        <v>0</v>
      </c>
      <c r="N230" s="69">
        <f>_xlfn.IFNA(IF('Interactive Selection Sheet'!K92= "", VLOOKUP('Interactive Selection Sheet'!$L92, 'Master List Import'!$A$1:$P$519, 12, FALSE), ""), "")</f>
        <v>48</v>
      </c>
      <c r="O230" s="69">
        <f>_xlfn.IFNA(IF('Interactive Selection Sheet'!K92= "", VLOOKUP('Interactive Selection Sheet'!$L92, 'Master List Import'!$A$1:$P$519, 13, FALSE), ""), "")</f>
        <v>5430</v>
      </c>
      <c r="P230" s="69" t="str">
        <f>_xlfn.IFNA(IF('Interactive Selection Sheet'!K92= "", VLOOKUP('Interactive Selection Sheet'!$L92, 'Master List Import'!$A$1:$P$519, 14, FALSE), ""), "")</f>
        <v>Baby Powder</v>
      </c>
      <c r="Q230" s="69">
        <f>_xlfn.IFNA(IF('Interactive Selection Sheet'!K92= "", VLOOKUP('Interactive Selection Sheet'!$L92, 'Master List Import'!$A$1:$P$519, 15, FALSE), ""), "")</f>
        <v>1</v>
      </c>
      <c r="R230" s="74">
        <f>_xlfn.IFNA(IF('Interactive Selection Sheet'!K92= "", VLOOKUP('Interactive Selection Sheet'!$L92, 'Master List Import'!$A$1:$P$519, 16, FALSE), ""), "")</f>
        <v>1.6</v>
      </c>
    </row>
    <row r="231" spans="1:18" ht="21.75" customHeight="1" x14ac:dyDescent="0.25">
      <c r="A231" s="69">
        <f>_xlfn.IFNA(IF('Interactive Selection Sheet'!$K93= "", VLOOKUP('Interactive Selection Sheet'!$L93, 'Master List Import'!$A$1:$P$519, 2, FALSE), ""), "")</f>
        <v>5440</v>
      </c>
      <c r="B231" s="69" t="str">
        <f>_xlfn.IFNA(IF('Interactive Selection Sheet'!$K93= "", VLOOKUP('Interactive Selection Sheet'!$L93, 'Master List Import'!$A$1:$P$519, 3, FALSE), ""), "")</f>
        <v>ChapIce Lip Balm Original, 0.15oz stick - 32/cs</v>
      </c>
      <c r="C231" s="76">
        <f>IF('Interactive Selection Sheet'!$T$2="", "", IF(B231="","",'Interactive Selection Sheet'!$T$2))</f>
        <v>3.5000000000000003E-2</v>
      </c>
      <c r="D231" s="70">
        <f>IF(B231 = "", "", 'Interactive Selection Sheet'!$Q$2)</f>
        <v>4.4999999999999998E-2</v>
      </c>
      <c r="E231" s="70">
        <f>IF(B231="","", 'Interactive Selection Sheet'!$R$2)</f>
        <v>0.02</v>
      </c>
      <c r="F231" s="69" t="str">
        <f>_xlfn.IFNA(IF('Interactive Selection Sheet'!K93= "", VLOOKUP('Interactive Selection Sheet'!$L93, 'Master List Import'!$A$1:$P$519, 4, FALSE), ""), "")</f>
        <v>Hygiene - Skin Care</v>
      </c>
      <c r="G231" s="69" t="str">
        <f>_xlfn.IFNA(IF('Interactive Selection Sheet'!K93= "", VLOOKUP('Interactive Selection Sheet'!$L93, 'Master List Import'!$A$1:$P$519, 5, FALSE), ""), "")</f>
        <v>Hygiene - Skin Care</v>
      </c>
      <c r="H231" s="69" t="str">
        <f>_xlfn.IFNA(IF('Interactive Selection Sheet'!K93= "", VLOOKUP('Interactive Selection Sheet'!$L93, 'Master List Import'!$A$1:$P$519, 6, FALSE), ""), "")</f>
        <v>Both</v>
      </c>
      <c r="I231" s="72">
        <f>_xlfn.IFNA(IF('Interactive Selection Sheet'!K93= "", VLOOKUP('Interactive Selection Sheet'!$L93, 'Master List Import'!$A$1:$P$519, 7, FALSE), ""), "")</f>
        <v>0.5081</v>
      </c>
      <c r="J231" s="69" t="str">
        <f>_xlfn.IFNA(IF('Interactive Selection Sheet'!K93= "", VLOOKUP('Interactive Selection Sheet'!$L93, 'Master List Import'!$A$1:$P$519, 8, FALSE), ""), "")</f>
        <v>REI</v>
      </c>
      <c r="K231" s="69" t="str">
        <f>_xlfn.IFNA(IF('Interactive Selection Sheet'!K93= "", VLOOKUP('Interactive Selection Sheet'!$L93, 'Master List Import'!$A$1:$P$519, 9, FALSE), ""), "")</f>
        <v>386384</v>
      </c>
      <c r="L231" s="69">
        <f>_xlfn.IFNA(IF('Interactive Selection Sheet'!K93= "", VLOOKUP('Interactive Selection Sheet'!$L93, 'Master List Import'!$A$1:$P$519, 10, FALSE), ""), "")</f>
        <v>0</v>
      </c>
      <c r="M231" s="69">
        <f>_xlfn.IFNA(IF('Interactive Selection Sheet'!K93= "", VLOOKUP('Interactive Selection Sheet'!$L93, 'Master List Import'!$A$1:$P$519, 11, FALSE), ""), "")</f>
        <v>0</v>
      </c>
      <c r="N231" s="69">
        <f>_xlfn.IFNA(IF('Interactive Selection Sheet'!K93= "", VLOOKUP('Interactive Selection Sheet'!$L93, 'Master List Import'!$A$1:$P$519, 12, FALSE), ""), "")</f>
        <v>32</v>
      </c>
      <c r="O231" s="69">
        <f>_xlfn.IFNA(IF('Interactive Selection Sheet'!K93= "", VLOOKUP('Interactive Selection Sheet'!$L93, 'Master List Import'!$A$1:$P$519, 13, FALSE), ""), "")</f>
        <v>5440</v>
      </c>
      <c r="P231" s="69" t="str">
        <f>_xlfn.IFNA(IF('Interactive Selection Sheet'!K93= "", VLOOKUP('Interactive Selection Sheet'!$L93, 'Master List Import'!$A$1:$P$519, 14, FALSE), ""), "")</f>
        <v>Lip Balm</v>
      </c>
      <c r="Q231" s="69">
        <f>_xlfn.IFNA(IF('Interactive Selection Sheet'!K93= "", VLOOKUP('Interactive Selection Sheet'!$L93, 'Master List Import'!$A$1:$P$519, 15, FALSE), ""), "")</f>
        <v>1</v>
      </c>
      <c r="R231" s="74">
        <f>_xlfn.IFNA(IF('Interactive Selection Sheet'!K93= "", VLOOKUP('Interactive Selection Sheet'!$L93, 'Master List Import'!$A$1:$P$519, 16, FALSE), ""), "")</f>
        <v>1.5</v>
      </c>
    </row>
    <row r="232" spans="1:18" ht="21.75" customHeight="1" x14ac:dyDescent="0.25">
      <c r="A232" s="69">
        <f>_xlfn.IFNA(IF('Interactive Selection Sheet'!$K94= "", VLOOKUP('Interactive Selection Sheet'!$L94, 'Master List Import'!$A$1:$P$519, 2, FALSE), ""), "")</f>
        <v>5500</v>
      </c>
      <c r="B232" s="69" t="str">
        <f>_xlfn.IFNA(IF('Interactive Selection Sheet'!$K94= "", VLOOKUP('Interactive Selection Sheet'!$L94, 'Master List Import'!$A$1:$P$519, 3, FALSE), ""), "")</f>
        <v>Dr. Sheffield's Tolnaftate Cream, 0.5oz tube - 24/cs</v>
      </c>
      <c r="C232" s="76">
        <f>IF('Interactive Selection Sheet'!$T$2="", "", IF(B232="","",'Interactive Selection Sheet'!$T$2))</f>
        <v>3.5000000000000003E-2</v>
      </c>
      <c r="D232" s="70">
        <f>IF(B232 = "", "", 'Interactive Selection Sheet'!$Q$2)</f>
        <v>4.4999999999999998E-2</v>
      </c>
      <c r="E232" s="70">
        <f>IF(B232="","", 'Interactive Selection Sheet'!$R$2)</f>
        <v>0.02</v>
      </c>
      <c r="F232" s="69" t="str">
        <f>_xlfn.IFNA(IF('Interactive Selection Sheet'!K94= "", VLOOKUP('Interactive Selection Sheet'!$L94, 'Master List Import'!$A$1:$P$519, 4, FALSE), ""), "")</f>
        <v>Hygiene - Skin Care</v>
      </c>
      <c r="G232" s="69" t="str">
        <f>_xlfn.IFNA(IF('Interactive Selection Sheet'!K94= "", VLOOKUP('Interactive Selection Sheet'!$L94, 'Master List Import'!$A$1:$P$519, 5, FALSE), ""), "")</f>
        <v>Hygiene - Skin Care</v>
      </c>
      <c r="H232" s="69" t="str">
        <f>_xlfn.IFNA(IF('Interactive Selection Sheet'!K94= "", VLOOKUP('Interactive Selection Sheet'!$L94, 'Master List Import'!$A$1:$P$519, 6, FALSE), ""), "")</f>
        <v>Both</v>
      </c>
      <c r="I232" s="72">
        <f>_xlfn.IFNA(IF('Interactive Selection Sheet'!K94= "", VLOOKUP('Interactive Selection Sheet'!$L94, 'Master List Import'!$A$1:$P$519, 7, FALSE), ""), "")</f>
        <v>1.35</v>
      </c>
      <c r="J232" s="69" t="str">
        <f>_xlfn.IFNA(IF('Interactive Selection Sheet'!K94= "", VLOOKUP('Interactive Selection Sheet'!$L94, 'Master List Import'!$A$1:$P$519, 8, FALSE), ""), "")</f>
        <v>REI</v>
      </c>
      <c r="K232" s="69" t="str">
        <f>_xlfn.IFNA(IF('Interactive Selection Sheet'!K94= "", VLOOKUP('Interactive Selection Sheet'!$L94, 'Master List Import'!$A$1:$P$519, 9, FALSE), ""), "")</f>
        <v>401031</v>
      </c>
      <c r="L232" s="69">
        <f>_xlfn.IFNA(IF('Interactive Selection Sheet'!K94= "", VLOOKUP('Interactive Selection Sheet'!$L94, 'Master List Import'!$A$1:$P$519, 10, FALSE), ""), "")</f>
        <v>0</v>
      </c>
      <c r="M232" s="69">
        <f>_xlfn.IFNA(IF('Interactive Selection Sheet'!K94= "", VLOOKUP('Interactive Selection Sheet'!$L94, 'Master List Import'!$A$1:$P$519, 11, FALSE), ""), "")</f>
        <v>0</v>
      </c>
      <c r="N232" s="69">
        <f>_xlfn.IFNA(IF('Interactive Selection Sheet'!K94= "", VLOOKUP('Interactive Selection Sheet'!$L94, 'Master List Import'!$A$1:$P$519, 12, FALSE), ""), "")</f>
        <v>24</v>
      </c>
      <c r="O232" s="69">
        <f>_xlfn.IFNA(IF('Interactive Selection Sheet'!K94= "", VLOOKUP('Interactive Selection Sheet'!$L94, 'Master List Import'!$A$1:$P$519, 13, FALSE), ""), "")</f>
        <v>5500</v>
      </c>
      <c r="P232" s="69" t="str">
        <f>_xlfn.IFNA(IF('Interactive Selection Sheet'!K94= "", VLOOKUP('Interactive Selection Sheet'!$L94, 'Master List Import'!$A$1:$P$519, 14, FALSE), ""), "")</f>
        <v>Antifungal Cream</v>
      </c>
      <c r="Q232" s="69">
        <f>_xlfn.IFNA(IF('Interactive Selection Sheet'!K94= "", VLOOKUP('Interactive Selection Sheet'!$L94, 'Master List Import'!$A$1:$P$519, 15, FALSE), ""), "")</f>
        <v>1</v>
      </c>
      <c r="R232" s="74">
        <f>_xlfn.IFNA(IF('Interactive Selection Sheet'!K94= "", VLOOKUP('Interactive Selection Sheet'!$L94, 'Master List Import'!$A$1:$P$519, 16, FALSE), ""), "")</f>
        <v>4.2</v>
      </c>
    </row>
    <row r="233" spans="1:18" ht="21.75" customHeight="1" x14ac:dyDescent="0.25">
      <c r="A233" s="69">
        <f>_xlfn.IFNA(IF('Interactive Selection Sheet'!$K95= "", VLOOKUP('Interactive Selection Sheet'!$L95, 'Master List Import'!$A$1:$P$519, 2, FALSE), ""), "")</f>
        <v>5510</v>
      </c>
      <c r="B233" s="69" t="str">
        <f>_xlfn.IFNA(IF('Interactive Selection Sheet'!$K95= "", VLOOKUP('Interactive Selection Sheet'!$L95, 'Master List Import'!$A$1:$P$519, 3, FALSE), ""), "")</f>
        <v>Moisture Absorbing Foot Powder, 6oz container - 12/cs</v>
      </c>
      <c r="C233" s="76">
        <f>IF('Interactive Selection Sheet'!$T$2="", "", IF(B233="","",'Interactive Selection Sheet'!$T$2))</f>
        <v>3.5000000000000003E-2</v>
      </c>
      <c r="D233" s="70">
        <f>IF(B233 = "", "", 'Interactive Selection Sheet'!$Q$2)</f>
        <v>4.4999999999999998E-2</v>
      </c>
      <c r="E233" s="70">
        <f>IF(B233="","", 'Interactive Selection Sheet'!$R$2)</f>
        <v>0.02</v>
      </c>
      <c r="F233" s="69" t="str">
        <f>_xlfn.IFNA(IF('Interactive Selection Sheet'!K95= "", VLOOKUP('Interactive Selection Sheet'!$L95, 'Master List Import'!$A$1:$P$519, 4, FALSE), ""), "")</f>
        <v>Hygiene - Skin Care</v>
      </c>
      <c r="G233" s="69" t="str">
        <f>_xlfn.IFNA(IF('Interactive Selection Sheet'!K95= "", VLOOKUP('Interactive Selection Sheet'!$L95, 'Master List Import'!$A$1:$P$519, 5, FALSE), ""), "")</f>
        <v>Hygiene - Skin Care</v>
      </c>
      <c r="H233" s="69" t="str">
        <f>_xlfn.IFNA(IF('Interactive Selection Sheet'!K95= "", VLOOKUP('Interactive Selection Sheet'!$L95, 'Master List Import'!$A$1:$P$519, 6, FALSE), ""), "")</f>
        <v>Both</v>
      </c>
      <c r="I233" s="72">
        <f>_xlfn.IFNA(IF('Interactive Selection Sheet'!K95= "", VLOOKUP('Interactive Selection Sheet'!$L95, 'Master List Import'!$A$1:$P$519, 7, FALSE), ""), "")</f>
        <v>0.94</v>
      </c>
      <c r="J233" s="69" t="str">
        <f>_xlfn.IFNA(IF('Interactive Selection Sheet'!K95= "", VLOOKUP('Interactive Selection Sheet'!$L95, 'Master List Import'!$A$1:$P$519, 8, FALSE), ""), "")</f>
        <v>REI</v>
      </c>
      <c r="K233" s="69" t="str">
        <f>_xlfn.IFNA(IF('Interactive Selection Sheet'!K95= "", VLOOKUP('Interactive Selection Sheet'!$L95, 'Master List Import'!$A$1:$P$519, 9, FALSE), ""), "")</f>
        <v>401079</v>
      </c>
      <c r="L233" s="69">
        <f>_xlfn.IFNA(IF('Interactive Selection Sheet'!K95= "", VLOOKUP('Interactive Selection Sheet'!$L95, 'Master List Import'!$A$1:$P$519, 10, FALSE), ""), "")</f>
        <v>0</v>
      </c>
      <c r="M233" s="69">
        <f>_xlfn.IFNA(IF('Interactive Selection Sheet'!K95= "", VLOOKUP('Interactive Selection Sheet'!$L95, 'Master List Import'!$A$1:$P$519, 11, FALSE), ""), "")</f>
        <v>0</v>
      </c>
      <c r="N233" s="69">
        <f>_xlfn.IFNA(IF('Interactive Selection Sheet'!K95= "", VLOOKUP('Interactive Selection Sheet'!$L95, 'Master List Import'!$A$1:$P$519, 12, FALSE), ""), "")</f>
        <v>12</v>
      </c>
      <c r="O233" s="69">
        <f>_xlfn.IFNA(IF('Interactive Selection Sheet'!K95= "", VLOOKUP('Interactive Selection Sheet'!$L95, 'Master List Import'!$A$1:$P$519, 13, FALSE), ""), "")</f>
        <v>5510</v>
      </c>
      <c r="P233" s="69" t="str">
        <f>_xlfn.IFNA(IF('Interactive Selection Sheet'!K95= "", VLOOKUP('Interactive Selection Sheet'!$L95, 'Master List Import'!$A$1:$P$519, 14, FALSE), ""), "")</f>
        <v>Foot Powder</v>
      </c>
      <c r="Q233" s="69">
        <f>_xlfn.IFNA(IF('Interactive Selection Sheet'!K95= "", VLOOKUP('Interactive Selection Sheet'!$L95, 'Master List Import'!$A$1:$P$519, 15, FALSE), ""), "")</f>
        <v>1</v>
      </c>
      <c r="R233" s="74">
        <f>_xlfn.IFNA(IF('Interactive Selection Sheet'!K95= "", VLOOKUP('Interactive Selection Sheet'!$L95, 'Master List Import'!$A$1:$P$519, 16, FALSE), ""), "")</f>
        <v>2.85</v>
      </c>
    </row>
    <row r="234" spans="1:18" ht="21.75" customHeight="1" x14ac:dyDescent="0.25">
      <c r="A234" s="69">
        <f>_xlfn.IFNA(IF('Interactive Selection Sheet'!$K96= "", VLOOKUP('Interactive Selection Sheet'!$L96, 'Master List Import'!$A$1:$P$519, 2, FALSE), ""), "")</f>
        <v>5520</v>
      </c>
      <c r="B234" s="69" t="str">
        <f>_xlfn.IFNA(IF('Interactive Selection Sheet'!$K96= "", VLOOKUP('Interactive Selection Sheet'!$L96, 'Master List Import'!$A$1:$P$519, 3, FALSE), ""), "")</f>
        <v>Dr. Sheffield's Zit Cream, 1oz tube - 24/cs</v>
      </c>
      <c r="C234" s="76">
        <f>IF('Interactive Selection Sheet'!$T$2="", "", IF(B234="","",'Interactive Selection Sheet'!$T$2))</f>
        <v>3.5000000000000003E-2</v>
      </c>
      <c r="D234" s="70">
        <f>IF(B234 = "", "", 'Interactive Selection Sheet'!$Q$2)</f>
        <v>4.4999999999999998E-2</v>
      </c>
      <c r="E234" s="70">
        <f>IF(B234="","", 'Interactive Selection Sheet'!$R$2)</f>
        <v>0.02</v>
      </c>
      <c r="F234" s="69" t="str">
        <f>_xlfn.IFNA(IF('Interactive Selection Sheet'!K96= "", VLOOKUP('Interactive Selection Sheet'!$L96, 'Master List Import'!$A$1:$P$519, 4, FALSE), ""), "")</f>
        <v>Hygiene - Skin Care</v>
      </c>
      <c r="G234" s="69" t="str">
        <f>_xlfn.IFNA(IF('Interactive Selection Sheet'!K96= "", VLOOKUP('Interactive Selection Sheet'!$L96, 'Master List Import'!$A$1:$P$519, 5, FALSE), ""), "")</f>
        <v>Hygiene - Skin Care</v>
      </c>
      <c r="H234" s="69" t="str">
        <f>_xlfn.IFNA(IF('Interactive Selection Sheet'!K96= "", VLOOKUP('Interactive Selection Sheet'!$L96, 'Master List Import'!$A$1:$P$519, 6, FALSE), ""), "")</f>
        <v>Both</v>
      </c>
      <c r="I234" s="72">
        <f>_xlfn.IFNA(IF('Interactive Selection Sheet'!K96= "", VLOOKUP('Interactive Selection Sheet'!$L96, 'Master List Import'!$A$1:$P$519, 7, FALSE), ""), "")</f>
        <v>1.0207999999999999</v>
      </c>
      <c r="J234" s="69" t="str">
        <f>_xlfn.IFNA(IF('Interactive Selection Sheet'!K96= "", VLOOKUP('Interactive Selection Sheet'!$L96, 'Master List Import'!$A$1:$P$519, 8, FALSE), ""), "")</f>
        <v>REI</v>
      </c>
      <c r="K234" s="69" t="str">
        <f>_xlfn.IFNA(IF('Interactive Selection Sheet'!K96= "", VLOOKUP('Interactive Selection Sheet'!$L96, 'Master List Import'!$A$1:$P$519, 9, FALSE), ""), "")</f>
        <v>392320</v>
      </c>
      <c r="L234" s="69">
        <f>_xlfn.IFNA(IF('Interactive Selection Sheet'!K96= "", VLOOKUP('Interactive Selection Sheet'!$L96, 'Master List Import'!$A$1:$P$519, 10, FALSE), ""), "")</f>
        <v>0</v>
      </c>
      <c r="M234" s="69">
        <f>_xlfn.IFNA(IF('Interactive Selection Sheet'!K96= "", VLOOKUP('Interactive Selection Sheet'!$L96, 'Master List Import'!$A$1:$P$519, 11, FALSE), ""), "")</f>
        <v>0</v>
      </c>
      <c r="N234" s="69">
        <f>_xlfn.IFNA(IF('Interactive Selection Sheet'!K96= "", VLOOKUP('Interactive Selection Sheet'!$L96, 'Master List Import'!$A$1:$P$519, 12, FALSE), ""), "")</f>
        <v>24</v>
      </c>
      <c r="O234" s="69">
        <f>_xlfn.IFNA(IF('Interactive Selection Sheet'!K96= "", VLOOKUP('Interactive Selection Sheet'!$L96, 'Master List Import'!$A$1:$P$519, 13, FALSE), ""), "")</f>
        <v>5520</v>
      </c>
      <c r="P234" s="69" t="str">
        <f>_xlfn.IFNA(IF('Interactive Selection Sheet'!K96= "", VLOOKUP('Interactive Selection Sheet'!$L96, 'Master List Import'!$A$1:$P$519, 14, FALSE), ""), "")</f>
        <v>Acne Cream</v>
      </c>
      <c r="Q234" s="69">
        <f>_xlfn.IFNA(IF('Interactive Selection Sheet'!K96= "", VLOOKUP('Interactive Selection Sheet'!$L96, 'Master List Import'!$A$1:$P$519, 15, FALSE), ""), "")</f>
        <v>1</v>
      </c>
      <c r="R234" s="74">
        <f>_xlfn.IFNA(IF('Interactive Selection Sheet'!K96= "", VLOOKUP('Interactive Selection Sheet'!$L96, 'Master List Import'!$A$1:$P$519, 16, FALSE), ""), "")</f>
        <v>3.95</v>
      </c>
    </row>
    <row r="235" spans="1:18" ht="21.75" customHeight="1" x14ac:dyDescent="0.25">
      <c r="A235" s="69">
        <f>_xlfn.IFNA(IF('Interactive Selection Sheet'!$K97= "", VLOOKUP('Interactive Selection Sheet'!$L97, 'Master List Import'!$A$1:$P$519, 2, FALSE), ""), "")</f>
        <v>5530</v>
      </c>
      <c r="B235" s="69" t="str">
        <f>_xlfn.IFNA(IF('Interactive Selection Sheet'!$K97= "", VLOOKUP('Interactive Selection Sheet'!$L97, 'Master List Import'!$A$1:$P$519, 3, FALSE), ""), "")</f>
        <v>Dr. Sheffield's Hydrocortisone Cream, 0.5oz tube - 24/cs</v>
      </c>
      <c r="C235" s="76">
        <f>IF('Interactive Selection Sheet'!$T$2="", "", IF(B235="","",'Interactive Selection Sheet'!$T$2))</f>
        <v>3.5000000000000003E-2</v>
      </c>
      <c r="D235" s="70">
        <f>IF(B235 = "", "", 'Interactive Selection Sheet'!$Q$2)</f>
        <v>4.4999999999999998E-2</v>
      </c>
      <c r="E235" s="70">
        <f>IF(B235="","", 'Interactive Selection Sheet'!$R$2)</f>
        <v>0.02</v>
      </c>
      <c r="F235" s="69" t="str">
        <f>_xlfn.IFNA(IF('Interactive Selection Sheet'!K97= "", VLOOKUP('Interactive Selection Sheet'!$L97, 'Master List Import'!$A$1:$P$519, 4, FALSE), ""), "")</f>
        <v>Hygiene - Skin Care</v>
      </c>
      <c r="G235" s="69" t="str">
        <f>_xlfn.IFNA(IF('Interactive Selection Sheet'!K97= "", VLOOKUP('Interactive Selection Sheet'!$L97, 'Master List Import'!$A$1:$P$519, 5, FALSE), ""), "")</f>
        <v>Hygiene - Skin Care</v>
      </c>
      <c r="H235" s="69" t="str">
        <f>_xlfn.IFNA(IF('Interactive Selection Sheet'!K97= "", VLOOKUP('Interactive Selection Sheet'!$L97, 'Master List Import'!$A$1:$P$519, 6, FALSE), ""), "")</f>
        <v>Both</v>
      </c>
      <c r="I235" s="72">
        <f>_xlfn.IFNA(IF('Interactive Selection Sheet'!K97= "", VLOOKUP('Interactive Selection Sheet'!$L97, 'Master List Import'!$A$1:$P$519, 7, FALSE), ""), "")</f>
        <v>0.88</v>
      </c>
      <c r="J235" s="69" t="str">
        <f>_xlfn.IFNA(IF('Interactive Selection Sheet'!K97= "", VLOOKUP('Interactive Selection Sheet'!$L97, 'Master List Import'!$A$1:$P$519, 8, FALSE), ""), "")</f>
        <v>REI</v>
      </c>
      <c r="K235" s="69" t="str">
        <f>_xlfn.IFNA(IF('Interactive Selection Sheet'!K97= "", VLOOKUP('Interactive Selection Sheet'!$L97, 'Master List Import'!$A$1:$P$519, 9, FALSE), ""), "")</f>
        <v>400959</v>
      </c>
      <c r="L235" s="69">
        <f>_xlfn.IFNA(IF('Interactive Selection Sheet'!K97= "", VLOOKUP('Interactive Selection Sheet'!$L97, 'Master List Import'!$A$1:$P$519, 10, FALSE), ""), "")</f>
        <v>0</v>
      </c>
      <c r="M235" s="69">
        <f>_xlfn.IFNA(IF('Interactive Selection Sheet'!K97= "", VLOOKUP('Interactive Selection Sheet'!$L97, 'Master List Import'!$A$1:$P$519, 11, FALSE), ""), "")</f>
        <v>0</v>
      </c>
      <c r="N235" s="69">
        <f>_xlfn.IFNA(IF('Interactive Selection Sheet'!K97= "", VLOOKUP('Interactive Selection Sheet'!$L97, 'Master List Import'!$A$1:$P$519, 12, FALSE), ""), "")</f>
        <v>24</v>
      </c>
      <c r="O235" s="69">
        <f>_xlfn.IFNA(IF('Interactive Selection Sheet'!K97= "", VLOOKUP('Interactive Selection Sheet'!$L97, 'Master List Import'!$A$1:$P$519, 13, FALSE), ""), "")</f>
        <v>5530</v>
      </c>
      <c r="P235" s="69" t="str">
        <f>_xlfn.IFNA(IF('Interactive Selection Sheet'!K97= "", VLOOKUP('Interactive Selection Sheet'!$L97, 'Master List Import'!$A$1:$P$519, 14, FALSE), ""), "")</f>
        <v>Hydrocortisone Cream</v>
      </c>
      <c r="Q235" s="69">
        <f>_xlfn.IFNA(IF('Interactive Selection Sheet'!K97= "", VLOOKUP('Interactive Selection Sheet'!$L97, 'Master List Import'!$A$1:$P$519, 15, FALSE), ""), "")</f>
        <v>1</v>
      </c>
      <c r="R235" s="74">
        <f>_xlfn.IFNA(IF('Interactive Selection Sheet'!K97= "", VLOOKUP('Interactive Selection Sheet'!$L97, 'Master List Import'!$A$1:$P$519, 16, FALSE), ""), "")</f>
        <v>3.05</v>
      </c>
    </row>
    <row r="236" spans="1:18" ht="21.75" customHeight="1" x14ac:dyDescent="0.25">
      <c r="A236" s="69">
        <f>_xlfn.IFNA(IF('Interactive Selection Sheet'!$K98= "", VLOOKUP('Interactive Selection Sheet'!$L98, 'Master List Import'!$A$1:$P$519, 2, FALSE), ""), "")</f>
        <v>5540</v>
      </c>
      <c r="B236" s="69" t="str">
        <f>_xlfn.IFNA(IF('Interactive Selection Sheet'!$K98= "", VLOOKUP('Interactive Selection Sheet'!$L98, 'Master List Import'!$A$1:$P$519, 3, FALSE), ""), "")</f>
        <v>Prescription Care Original Skin Cream, 4oz jar - 24/cs</v>
      </c>
      <c r="C236" s="76">
        <f>IF('Interactive Selection Sheet'!$T$2="", "", IF(B236="","",'Interactive Selection Sheet'!$T$2))</f>
        <v>3.5000000000000003E-2</v>
      </c>
      <c r="D236" s="70">
        <f>IF(B236 = "", "", 'Interactive Selection Sheet'!$Q$2)</f>
        <v>4.4999999999999998E-2</v>
      </c>
      <c r="E236" s="70">
        <f>IF(B236="","", 'Interactive Selection Sheet'!$R$2)</f>
        <v>0.02</v>
      </c>
      <c r="F236" s="69" t="str">
        <f>_xlfn.IFNA(IF('Interactive Selection Sheet'!K98= "", VLOOKUP('Interactive Selection Sheet'!$L98, 'Master List Import'!$A$1:$P$519, 4, FALSE), ""), "")</f>
        <v>Hygiene - Skin Care</v>
      </c>
      <c r="G236" s="69" t="str">
        <f>_xlfn.IFNA(IF('Interactive Selection Sheet'!K98= "", VLOOKUP('Interactive Selection Sheet'!$L98, 'Master List Import'!$A$1:$P$519, 5, FALSE), ""), "")</f>
        <v>Hygiene - Skin Care</v>
      </c>
      <c r="H236" s="69" t="str">
        <f>_xlfn.IFNA(IF('Interactive Selection Sheet'!K98= "", VLOOKUP('Interactive Selection Sheet'!$L98, 'Master List Import'!$A$1:$P$519, 6, FALSE), ""), "")</f>
        <v>Both</v>
      </c>
      <c r="I236" s="72">
        <f>_xlfn.IFNA(IF('Interactive Selection Sheet'!K98= "", VLOOKUP('Interactive Selection Sheet'!$L98, 'Master List Import'!$A$1:$P$519, 7, FALSE), ""), "")</f>
        <v>0.76</v>
      </c>
      <c r="J236" s="69" t="str">
        <f>_xlfn.IFNA(IF('Interactive Selection Sheet'!K98= "", VLOOKUP('Interactive Selection Sheet'!$L98, 'Master List Import'!$A$1:$P$519, 8, FALSE), ""), "")</f>
        <v>REI</v>
      </c>
      <c r="K236" s="69" t="str">
        <f>_xlfn.IFNA(IF('Interactive Selection Sheet'!K98= "", VLOOKUP('Interactive Selection Sheet'!$L98, 'Master List Import'!$A$1:$P$519, 9, FALSE), ""), "")</f>
        <v>392544</v>
      </c>
      <c r="L236" s="69">
        <f>_xlfn.IFNA(IF('Interactive Selection Sheet'!K98= "", VLOOKUP('Interactive Selection Sheet'!$L98, 'Master List Import'!$A$1:$P$519, 10, FALSE), ""), "")</f>
        <v>0</v>
      </c>
      <c r="M236" s="69">
        <f>_xlfn.IFNA(IF('Interactive Selection Sheet'!K98= "", VLOOKUP('Interactive Selection Sheet'!$L98, 'Master List Import'!$A$1:$P$519, 11, FALSE), ""), "")</f>
        <v>0</v>
      </c>
      <c r="N236" s="69">
        <f>_xlfn.IFNA(IF('Interactive Selection Sheet'!K98= "", VLOOKUP('Interactive Selection Sheet'!$L98, 'Master List Import'!$A$1:$P$519, 12, FALSE), ""), "")</f>
        <v>24</v>
      </c>
      <c r="O236" s="69">
        <f>_xlfn.IFNA(IF('Interactive Selection Sheet'!K98= "", VLOOKUP('Interactive Selection Sheet'!$L98, 'Master List Import'!$A$1:$P$519, 13, FALSE), ""), "")</f>
        <v>5540</v>
      </c>
      <c r="P236" s="69" t="str">
        <f>_xlfn.IFNA(IF('Interactive Selection Sheet'!K98= "", VLOOKUP('Interactive Selection Sheet'!$L98, 'Master List Import'!$A$1:$P$519, 14, FALSE), ""), "")</f>
        <v>Medicated Skin Cream</v>
      </c>
      <c r="Q236" s="69">
        <f>_xlfn.IFNA(IF('Interactive Selection Sheet'!K98= "", VLOOKUP('Interactive Selection Sheet'!$L98, 'Master List Import'!$A$1:$P$519, 15, FALSE), ""), "")</f>
        <v>1</v>
      </c>
      <c r="R236" s="74">
        <f>_xlfn.IFNA(IF('Interactive Selection Sheet'!K98= "", VLOOKUP('Interactive Selection Sheet'!$L98, 'Master List Import'!$A$1:$P$519, 16, FALSE), ""), "")</f>
        <v>2.2999999999999998</v>
      </c>
    </row>
    <row r="237" spans="1:18" ht="21.75" customHeight="1" x14ac:dyDescent="0.25">
      <c r="A237" s="69">
        <f>_xlfn.IFNA(IF('Interactive Selection Sheet'!$K99= "", VLOOKUP('Interactive Selection Sheet'!$L99, 'Master List Import'!$A$1:$P$519, 2, FALSE), ""), "")</f>
        <v>5541</v>
      </c>
      <c r="B237" s="69" t="str">
        <f>_xlfn.IFNA(IF('Interactive Selection Sheet'!$K99= "", VLOOKUP('Interactive Selection Sheet'!$L99, 'Master List Import'!$A$1:$P$519, 3, FALSE), ""), "")</f>
        <v>Dr Sheffield's Triple Antibiotic Ointment, 0.33oz - 24/cs</v>
      </c>
      <c r="C237" s="76">
        <f>IF('Interactive Selection Sheet'!$T$2="", "", IF(B237="","",'Interactive Selection Sheet'!$T$2))</f>
        <v>3.5000000000000003E-2</v>
      </c>
      <c r="D237" s="70">
        <f>IF(B237 = "", "", 'Interactive Selection Sheet'!$Q$2)</f>
        <v>4.4999999999999998E-2</v>
      </c>
      <c r="E237" s="70">
        <f>IF(B237="","", 'Interactive Selection Sheet'!$R$2)</f>
        <v>0.02</v>
      </c>
      <c r="F237" s="69" t="str">
        <f>_xlfn.IFNA(IF('Interactive Selection Sheet'!K99= "", VLOOKUP('Interactive Selection Sheet'!$L99, 'Master List Import'!$A$1:$P$519, 4, FALSE), ""), "")</f>
        <v>Medicine</v>
      </c>
      <c r="G237" s="69" t="str">
        <f>_xlfn.IFNA(IF('Interactive Selection Sheet'!K99= "", VLOOKUP('Interactive Selection Sheet'!$L99, 'Master List Import'!$A$1:$P$519, 5, FALSE), ""), "")</f>
        <v>Medicine</v>
      </c>
      <c r="H237" s="69" t="str">
        <f>_xlfn.IFNA(IF('Interactive Selection Sheet'!K99= "", VLOOKUP('Interactive Selection Sheet'!$L99, 'Master List Import'!$A$1:$P$519, 6, FALSE), ""), "")</f>
        <v>Both</v>
      </c>
      <c r="I237" s="72">
        <f>_xlfn.IFNA(IF('Interactive Selection Sheet'!K99= "", VLOOKUP('Interactive Selection Sheet'!$L99, 'Master List Import'!$A$1:$P$519, 7, FALSE), ""), "")</f>
        <v>2.25</v>
      </c>
      <c r="J237" s="69" t="str">
        <f>_xlfn.IFNA(IF('Interactive Selection Sheet'!K99= "", VLOOKUP('Interactive Selection Sheet'!$L99, 'Master List Import'!$A$1:$P$519, 8, FALSE), ""), "")</f>
        <v>REI</v>
      </c>
      <c r="K237" s="69" t="str">
        <f>_xlfn.IFNA(IF('Interactive Selection Sheet'!K99= "", VLOOKUP('Interactive Selection Sheet'!$L99, 'Master List Import'!$A$1:$P$519, 9, FALSE), ""), "")</f>
        <v>401032</v>
      </c>
      <c r="L237" s="69">
        <f>_xlfn.IFNA(IF('Interactive Selection Sheet'!K99= "", VLOOKUP('Interactive Selection Sheet'!$L99, 'Master List Import'!$A$1:$P$519, 10, FALSE), ""), "")</f>
        <v>0</v>
      </c>
      <c r="M237" s="69">
        <f>_xlfn.IFNA(IF('Interactive Selection Sheet'!K99= "", VLOOKUP('Interactive Selection Sheet'!$L99, 'Master List Import'!$A$1:$P$519, 11, FALSE), ""), "")</f>
        <v>0</v>
      </c>
      <c r="N237" s="69">
        <f>_xlfn.IFNA(IF('Interactive Selection Sheet'!K99= "", VLOOKUP('Interactive Selection Sheet'!$L99, 'Master List Import'!$A$1:$P$519, 12, FALSE), ""), "")</f>
        <v>24</v>
      </c>
      <c r="O237" s="69">
        <f>_xlfn.IFNA(IF('Interactive Selection Sheet'!K99= "", VLOOKUP('Interactive Selection Sheet'!$L99, 'Master List Import'!$A$1:$P$519, 13, FALSE), ""), "")</f>
        <v>5541</v>
      </c>
      <c r="P237" s="69" t="str">
        <f>_xlfn.IFNA(IF('Interactive Selection Sheet'!K99= "", VLOOKUP('Interactive Selection Sheet'!$L99, 'Master List Import'!$A$1:$P$519, 14, FALSE), ""), "")</f>
        <v>Triple Antibiotic Ointment</v>
      </c>
      <c r="Q237" s="69">
        <f>_xlfn.IFNA(IF('Interactive Selection Sheet'!K99= "", VLOOKUP('Interactive Selection Sheet'!$L99, 'Master List Import'!$A$1:$P$519, 15, FALSE), ""), "")</f>
        <v>1</v>
      </c>
      <c r="R237" s="74">
        <f>_xlfn.IFNA(IF('Interactive Selection Sheet'!K99= "", VLOOKUP('Interactive Selection Sheet'!$L99, 'Master List Import'!$A$1:$P$519, 16, FALSE), ""), "")</f>
        <v>3.5</v>
      </c>
    </row>
    <row r="238" spans="1:18" ht="21.75" customHeight="1" x14ac:dyDescent="0.25">
      <c r="A238" s="69">
        <f>_xlfn.IFNA(IF('Interactive Selection Sheet'!P8= "", VLOOKUP('Interactive Selection Sheet'!Q8, 'Master List Import'!$A$1:$P$519, 2, FALSE), ""), "")</f>
        <v>5542</v>
      </c>
      <c r="B238" s="69" t="str">
        <f>_xlfn.IFNA(IF('Interactive Selection Sheet'!P8= "", VLOOKUP('Interactive Selection Sheet'!Q8, 'Master List Import'!$A$1:$P$519, 3, FALSE), ""), "")</f>
        <v>Hemorrhoid Ointment</v>
      </c>
      <c r="C238" s="76">
        <f>IF('Interactive Selection Sheet'!$T$2="", "", IF(B238="","",'Interactive Selection Sheet'!$T$2))</f>
        <v>3.5000000000000003E-2</v>
      </c>
      <c r="D238" s="70">
        <f>IF(B238 = "", "", 'Interactive Selection Sheet'!$P$2)</f>
        <v>4.4999999999999998E-2</v>
      </c>
      <c r="E238" s="70">
        <f>IF(B238="","", 'Interactive Selection Sheet'!$R$2)</f>
        <v>0.02</v>
      </c>
      <c r="F238" s="69" t="str">
        <f>_xlfn.IFNA(IF('Interactive Selection Sheet'!F259= "", VLOOKUP('Interactive Selection Sheet'!Q8, 'Master List Import'!$A$1:$P$519, 4, FALSE), ""), "")</f>
        <v>Hygiene - Skin Care</v>
      </c>
      <c r="G238" s="69" t="str">
        <f>_xlfn.IFNA(IF('Interactive Selection Sheet'!F259= "", VLOOKUP('Interactive Selection Sheet'!Q8, 'Master List Import'!$A$1:$P$519, 5, FALSE), ""), "")</f>
        <v>Hygiene - Skin Care</v>
      </c>
      <c r="H238" s="69" t="str">
        <f>_xlfn.IFNA(IF('Interactive Selection Sheet'!F259= "", VLOOKUP('Interactive Selection Sheet'!Q8, 'Master List Import'!$A$1:$P$519, 6, FALSE), ""), "")</f>
        <v>Both</v>
      </c>
      <c r="I238" s="72">
        <f>_xlfn.IFNA(IF('Interactive Selection Sheet'!F259= "", VLOOKUP('Interactive Selection Sheet'!Q8, 'Master List Import'!$A$1:$P$519, 7, FALSE), ""), "")</f>
        <v>3.75</v>
      </c>
      <c r="J238" s="69" t="str">
        <f>_xlfn.IFNA(IF('Interactive Selection Sheet'!F259= "", VLOOKUP('Interactive Selection Sheet'!Q8, 'Master List Import'!$A$1:$P$519, 8, FALSE), ""), "")</f>
        <v>Buyback</v>
      </c>
      <c r="K238" s="69" t="str">
        <f>_xlfn.IFNA(IF('Interactive Selection Sheet'!F259= "", VLOOKUP('Interactive Selection Sheet'!Q8, 'Master List Import'!$A$1:$P$519, 9, FALSE), ""), "")</f>
        <v>10815</v>
      </c>
      <c r="L238" s="69">
        <f>_xlfn.IFNA(IF('Interactive Selection Sheet'!F259= "", VLOOKUP('Interactive Selection Sheet'!Q8, 'Master List Import'!$A$1:$P$519, 10, FALSE), ""), "")</f>
        <v>0</v>
      </c>
      <c r="M238" s="69">
        <f>_xlfn.IFNA(IF('Interactive Selection Sheet'!F259= "", VLOOKUP('Interactive Selection Sheet'!Q8, 'Master List Import'!$A$1:$P$519, 11, FALSE), ""), "")</f>
        <v>0</v>
      </c>
      <c r="N238" s="69">
        <f>_xlfn.IFNA(IF('Interactive Selection Sheet'!F259= "", VLOOKUP('Interactive Selection Sheet'!Q8, 'Master List Import'!$A$1:$P$519, 12, FALSE), ""), "")</f>
        <v>1</v>
      </c>
      <c r="O238" s="69">
        <f>_xlfn.IFNA(IF('Interactive Selection Sheet'!F259= "", VLOOKUP('Interactive Selection Sheet'!Q8, 'Master List Import'!$A$1:$P$519, 13, FALSE), ""), "")</f>
        <v>5542</v>
      </c>
      <c r="P238" s="69" t="str">
        <f>_xlfn.IFNA(IF('Interactive Selection Sheet'!F259= "", VLOOKUP('Interactive Selection Sheet'!Q8, 'Master List Import'!$A$1:$P$519, 14, FALSE), ""), "")</f>
        <v>Hemorrhoid Ointment</v>
      </c>
      <c r="Q238" s="69">
        <f>_xlfn.IFNA(IF('Interactive Selection Sheet'!F259= "", VLOOKUP('Interactive Selection Sheet'!Q8, 'Master List Import'!$A$1:$P$519, 15, FALSE), ""), "")</f>
        <v>1</v>
      </c>
      <c r="R238" s="74">
        <f>_xlfn.IFNA(IF('Interactive Selection Sheet'!F259= "", VLOOKUP('Interactive Selection Sheet'!Q8, 'Master List Import'!$A$1:$P$519, 16, FALSE), ""), "")</f>
        <v>7.5</v>
      </c>
    </row>
    <row r="239" spans="1:18" ht="21.75" customHeight="1" x14ac:dyDescent="0.25">
      <c r="A239" s="69">
        <f>_xlfn.IFNA(IF('Interactive Selection Sheet'!A58 = "", VLOOKUP('Interactive Selection Sheet'!$B58, 'Master List Import'!$A$1:$P$519, 2, FALSE), ""), "")</f>
        <v>5600</v>
      </c>
      <c r="B239" s="69" t="str">
        <f>_xlfn.IFNA(IF('Interactive Selection Sheet'!A58 = "", VLOOKUP('Interactive Selection Sheet'!$B58, 'Master List Import'!$A$1:$P$519, 3, FALSE), ""), "")</f>
        <v>WFPLUS Colorful Contact Lens Case, 30/cs</v>
      </c>
      <c r="C239" s="76">
        <f>IF('Interactive Selection Sheet'!$T$2="", "", IF(B239="","",'Interactive Selection Sheet'!$T$2))</f>
        <v>3.5000000000000003E-2</v>
      </c>
      <c r="D239" s="70">
        <f>IF(B239 = "", "", 'Interactive Selection Sheet'!$Q$2)</f>
        <v>4.4999999999999998E-2</v>
      </c>
      <c r="E239" s="70">
        <f>IF(B239="","", 'Interactive Selection Sheet'!$R$2)</f>
        <v>0.02</v>
      </c>
      <c r="F239" s="69" t="str">
        <f>_xlfn.IFNA(IF('Interactive Selection Sheet'!A58 = "", VLOOKUP('Interactive Selection Sheet'!$B58, 'Master List Import'!$A$1:$P$519, 4, FALSE), ""), "")</f>
        <v>Hygiene - Eye Care</v>
      </c>
      <c r="G239" s="69" t="str">
        <f>_xlfn.IFNA(IF('Interactive Selection Sheet'!A58 = "", VLOOKUP('Interactive Selection Sheet'!$B58, 'Master List Import'!$A$1:$P$519, 5, FALSE), ""), "")</f>
        <v>Hygiene - Eye Care</v>
      </c>
      <c r="H239" s="69" t="str">
        <f>_xlfn.IFNA(IF('Interactive Selection Sheet'!A58 = "", VLOOKUP('Interactive Selection Sheet'!$B58, 'Master List Import'!$A$1:$P$519, 6, FALSE), ""), "")</f>
        <v>Both</v>
      </c>
      <c r="I239" s="72">
        <f>_xlfn.IFNA(IF('Interactive Selection Sheet'!A58 = "", VLOOKUP('Interactive Selection Sheet'!$B58, 'Master List Import'!$A$1:$P$519, 7, FALSE), ""), "")</f>
        <v>0.65</v>
      </c>
      <c r="J239" s="69" t="str">
        <f>_xlfn.IFNA(IF('Interactive Selection Sheet'!A58 = "", VLOOKUP('Interactive Selection Sheet'!$B58, 'Master List Import'!$A$1:$P$519, 8, FALSE), ""), "")</f>
        <v>REI</v>
      </c>
      <c r="K239" s="69" t="str">
        <f>_xlfn.IFNA(IF('Interactive Selection Sheet'!A58 = "", VLOOKUP('Interactive Selection Sheet'!$B58, 'Master List Import'!$A$1:$P$519, 9, FALSE), ""), "")</f>
        <v>385962</v>
      </c>
      <c r="L239" s="69">
        <f>_xlfn.IFNA(IF('Interactive Selection Sheet'!A58 = "", VLOOKUP('Interactive Selection Sheet'!$B58, 'Master List Import'!$A$1:$P$519, 10, FALSE), ""), "")</f>
        <v>0</v>
      </c>
      <c r="M239" s="69">
        <f>_xlfn.IFNA(IF('Interactive Selection Sheet'!A58 = "", VLOOKUP('Interactive Selection Sheet'!$B58, 'Master List Import'!$A$1:$P$519, 11, FALSE), ""), "")</f>
        <v>0</v>
      </c>
      <c r="N239" s="69">
        <f>_xlfn.IFNA(IF('Interactive Selection Sheet'!A58 = "", VLOOKUP('Interactive Selection Sheet'!$B58, 'Master List Import'!$A$1:$P$519, 12, FALSE), ""), "")</f>
        <v>30</v>
      </c>
      <c r="O239" s="69">
        <f>_xlfn.IFNA(IF('Interactive Selection Sheet'!A58 = "", VLOOKUP('Interactive Selection Sheet'!$B58, 'Master List Import'!$A$1:$P$519, 13, FALSE), ""), "")</f>
        <v>5600</v>
      </c>
      <c r="P239" s="69" t="str">
        <f>_xlfn.IFNA(IF('Interactive Selection Sheet'!A58 = "", VLOOKUP('Interactive Selection Sheet'!$B58, 'Master List Import'!$A$1:$P$519, 14, FALSE), ""), "")</f>
        <v>Contact Lens Case</v>
      </c>
      <c r="Q239" s="69">
        <f>_xlfn.IFNA(IF('Interactive Selection Sheet'!A58 = "", VLOOKUP('Interactive Selection Sheet'!$B58, 'Master List Import'!$A$1:$P$519, 15, FALSE), ""), "")</f>
        <v>1</v>
      </c>
      <c r="R239" s="74">
        <f>_xlfn.IFNA(IF('Interactive Selection Sheet'!A58 = "", VLOOKUP('Interactive Selection Sheet'!$B58, 'Master List Import'!$A$1:$P$519, 16, FALSE), ""), "")</f>
        <v>3.65</v>
      </c>
    </row>
    <row r="240" spans="1:18" ht="21.75" customHeight="1" x14ac:dyDescent="0.25">
      <c r="A240" s="69">
        <f>_xlfn.IFNA(IF('Interactive Selection Sheet'!A59 = "", VLOOKUP('Interactive Selection Sheet'!$B59, 'Master List Import'!$A$1:$P$519, 2, FALSE), ""), "")</f>
        <v>5610</v>
      </c>
      <c r="B240" s="69" t="str">
        <f>_xlfn.IFNA(IF('Interactive Selection Sheet'!A59 = "", VLOOKUP('Interactive Selection Sheet'!$B59, 'Master List Import'!$A$1:$P$519, 3, FALSE), ""), "")</f>
        <v>Renu Multi-Solution Adv. Formula for Contact Lenses, 2oz bottle - 24/cs</v>
      </c>
      <c r="C240" s="76">
        <f>IF('Interactive Selection Sheet'!$T$2="", "", IF(B240="","",'Interactive Selection Sheet'!$T$2))</f>
        <v>3.5000000000000003E-2</v>
      </c>
      <c r="D240" s="70">
        <f>IF(B240 = "", "", 'Interactive Selection Sheet'!$Q$2)</f>
        <v>4.4999999999999998E-2</v>
      </c>
      <c r="E240" s="70">
        <f>IF(B240="","", 'Interactive Selection Sheet'!$R$2)</f>
        <v>0.02</v>
      </c>
      <c r="F240" s="69" t="str">
        <f>_xlfn.IFNA(IF('Interactive Selection Sheet'!A59 = "", VLOOKUP('Interactive Selection Sheet'!$B59, 'Master List Import'!$A$1:$P$519, 4, FALSE), ""), "")</f>
        <v>Hygiene - Eye Care</v>
      </c>
      <c r="G240" s="69" t="str">
        <f>_xlfn.IFNA(IF('Interactive Selection Sheet'!A59 = "", VLOOKUP('Interactive Selection Sheet'!$B59, 'Master List Import'!$A$1:$P$519, 5, FALSE), ""), "")</f>
        <v>Hygiene - Eye Care</v>
      </c>
      <c r="H240" s="69" t="str">
        <f>_xlfn.IFNA(IF('Interactive Selection Sheet'!A59 = "", VLOOKUP('Interactive Selection Sheet'!$B59, 'Master List Import'!$A$1:$P$519, 6, FALSE), ""), "")</f>
        <v>Both</v>
      </c>
      <c r="I240" s="72">
        <f>_xlfn.IFNA(IF('Interactive Selection Sheet'!A59 = "", VLOOKUP('Interactive Selection Sheet'!$B59, 'Master List Import'!$A$1:$P$519, 7, FALSE), ""), "")</f>
        <v>1.75</v>
      </c>
      <c r="J240" s="69" t="str">
        <f>_xlfn.IFNA(IF('Interactive Selection Sheet'!A59 = "", VLOOKUP('Interactive Selection Sheet'!$B59, 'Master List Import'!$A$1:$P$519, 8, FALSE), ""), "")</f>
        <v>REI</v>
      </c>
      <c r="K240" s="69" t="str">
        <f>_xlfn.IFNA(IF('Interactive Selection Sheet'!A59 = "", VLOOKUP('Interactive Selection Sheet'!$B59, 'Master List Import'!$A$1:$P$519, 9, FALSE), ""), "")</f>
        <v>385966</v>
      </c>
      <c r="L240" s="69">
        <f>_xlfn.IFNA(IF('Interactive Selection Sheet'!A59 = "", VLOOKUP('Interactive Selection Sheet'!$B59, 'Master List Import'!$A$1:$P$519, 10, FALSE), ""), "")</f>
        <v>0</v>
      </c>
      <c r="M240" s="69">
        <f>_xlfn.IFNA(IF('Interactive Selection Sheet'!A59 = "", VLOOKUP('Interactive Selection Sheet'!$B59, 'Master List Import'!$A$1:$P$519, 11, FALSE), ""), "")</f>
        <v>0</v>
      </c>
      <c r="N240" s="69">
        <f>_xlfn.IFNA(IF('Interactive Selection Sheet'!A59 = "", VLOOKUP('Interactive Selection Sheet'!$B59, 'Master List Import'!$A$1:$P$519, 12, FALSE), ""), "")</f>
        <v>24</v>
      </c>
      <c r="O240" s="69">
        <f>_xlfn.IFNA(IF('Interactive Selection Sheet'!A59 = "", VLOOKUP('Interactive Selection Sheet'!$B59, 'Master List Import'!$A$1:$P$519, 13, FALSE), ""), "")</f>
        <v>5610</v>
      </c>
      <c r="P240" s="69" t="str">
        <f>_xlfn.IFNA(IF('Interactive Selection Sheet'!A59 = "", VLOOKUP('Interactive Selection Sheet'!$B59, 'Master List Import'!$A$1:$P$519, 14, FALSE), ""), "")</f>
        <v>Contact Lens Solution</v>
      </c>
      <c r="Q240" s="69">
        <f>_xlfn.IFNA(IF('Interactive Selection Sheet'!A59 = "", VLOOKUP('Interactive Selection Sheet'!$B59, 'Master List Import'!$A$1:$P$519, 15, FALSE), ""), "")</f>
        <v>1</v>
      </c>
      <c r="R240" s="74">
        <f>_xlfn.IFNA(IF('Interactive Selection Sheet'!A59 = "", VLOOKUP('Interactive Selection Sheet'!$B59, 'Master List Import'!$A$1:$P$519, 16, FALSE), ""), "")</f>
        <v>5.5</v>
      </c>
    </row>
    <row r="241" spans="1:18" ht="21.75" customHeight="1" x14ac:dyDescent="0.25">
      <c r="A241" s="69">
        <f>_xlfn.IFNA(IF('Interactive Selection Sheet'!A60 = "", VLOOKUP('Interactive Selection Sheet'!$B60, 'Master List Import'!$A$1:$P$519, 2, FALSE), ""), "")</f>
        <v>5620</v>
      </c>
      <c r="B241" s="69" t="str">
        <f>_xlfn.IFNA(IF('Interactive Selection Sheet'!A60 = "", VLOOKUP('Interactive Selection Sheet'!$B60, 'Master List Import'!$A$1:$P$519, 3, FALSE), ""), "")</f>
        <v>Family Care Sterile Eye Drops, 0.5oz - 24/cs</v>
      </c>
      <c r="C241" s="76">
        <f>IF('Interactive Selection Sheet'!$T$2="", "", IF(B241="","",'Interactive Selection Sheet'!$T$2))</f>
        <v>3.5000000000000003E-2</v>
      </c>
      <c r="D241" s="70">
        <f>IF(B241 = "", "", 'Interactive Selection Sheet'!$Q$2)</f>
        <v>4.4999999999999998E-2</v>
      </c>
      <c r="E241" s="70">
        <f>IF(B241="","", 'Interactive Selection Sheet'!$R$2)</f>
        <v>0.02</v>
      </c>
      <c r="F241" s="69" t="str">
        <f>_xlfn.IFNA(IF('Interactive Selection Sheet'!A60 = "", VLOOKUP('Interactive Selection Sheet'!$B60, 'Master List Import'!$A$1:$P$519, 4, FALSE), ""), "")</f>
        <v>Hygiene - Eye Care</v>
      </c>
      <c r="G241" s="69" t="str">
        <f>_xlfn.IFNA(IF('Interactive Selection Sheet'!A60 = "", VLOOKUP('Interactive Selection Sheet'!$B60, 'Master List Import'!$A$1:$P$519, 5, FALSE), ""), "")</f>
        <v>Hygiene - Eye Care</v>
      </c>
      <c r="H241" s="69" t="str">
        <f>_xlfn.IFNA(IF('Interactive Selection Sheet'!A60 = "", VLOOKUP('Interactive Selection Sheet'!$B60, 'Master List Import'!$A$1:$P$519, 6, FALSE), ""), "")</f>
        <v>Both</v>
      </c>
      <c r="I241" s="72">
        <f>_xlfn.IFNA(IF('Interactive Selection Sheet'!A60 = "", VLOOKUP('Interactive Selection Sheet'!$B60, 'Master List Import'!$A$1:$P$519, 7, FALSE), ""), "")</f>
        <v>24.96</v>
      </c>
      <c r="J241" s="69" t="str">
        <f>_xlfn.IFNA(IF('Interactive Selection Sheet'!A60 = "", VLOOKUP('Interactive Selection Sheet'!$B60, 'Master List Import'!$A$1:$P$519, 8, FALSE), ""), "")</f>
        <v>REI</v>
      </c>
      <c r="K241" s="69" t="str">
        <f>_xlfn.IFNA(IF('Interactive Selection Sheet'!A60 = "", VLOOKUP('Interactive Selection Sheet'!$B60, 'Master List Import'!$A$1:$P$519, 9, FALSE), ""), "")</f>
        <v>385965</v>
      </c>
      <c r="L241" s="69">
        <f>_xlfn.IFNA(IF('Interactive Selection Sheet'!A60 = "", VLOOKUP('Interactive Selection Sheet'!$B60, 'Master List Import'!$A$1:$P$519, 10, FALSE), ""), "")</f>
        <v>0</v>
      </c>
      <c r="M241" s="69">
        <f>_xlfn.IFNA(IF('Interactive Selection Sheet'!A60 = "", VLOOKUP('Interactive Selection Sheet'!$B60, 'Master List Import'!$A$1:$P$519, 11, FALSE), ""), "")</f>
        <v>0</v>
      </c>
      <c r="N241" s="69">
        <f>_xlfn.IFNA(IF('Interactive Selection Sheet'!A60 = "", VLOOKUP('Interactive Selection Sheet'!$B60, 'Master List Import'!$A$1:$P$519, 12, FALSE), ""), "")</f>
        <v>1</v>
      </c>
      <c r="O241" s="69">
        <f>_xlfn.IFNA(IF('Interactive Selection Sheet'!A60 = "", VLOOKUP('Interactive Selection Sheet'!$B60, 'Master List Import'!$A$1:$P$519, 13, FALSE), ""), "")</f>
        <v>5620</v>
      </c>
      <c r="P241" s="69" t="str">
        <f>_xlfn.IFNA(IF('Interactive Selection Sheet'!A60 = "", VLOOKUP('Interactive Selection Sheet'!$B60, 'Master List Import'!$A$1:$P$519, 14, FALSE), ""), "")</f>
        <v>Artificial Tears Eye Drops</v>
      </c>
      <c r="Q241" s="69">
        <f>_xlfn.IFNA(IF('Interactive Selection Sheet'!A60 = "", VLOOKUP('Interactive Selection Sheet'!$B60, 'Master List Import'!$A$1:$P$519, 15, FALSE), ""), "")</f>
        <v>1</v>
      </c>
      <c r="R241" s="74">
        <f>_xlfn.IFNA(IF('Interactive Selection Sheet'!A60 = "", VLOOKUP('Interactive Selection Sheet'!$B60, 'Master List Import'!$A$1:$P$519, 16, FALSE), ""), "")</f>
        <v>3.2</v>
      </c>
    </row>
    <row r="242" spans="1:18" ht="21.75" customHeight="1" x14ac:dyDescent="0.25">
      <c r="A242" s="69">
        <f>_xlfn.IFNA(IF('Interactive Selection Sheet'!A61 = "", VLOOKUP('Interactive Selection Sheet'!$B61, 'Master List Import'!$A$1:$P$519, 2, FALSE), ""), "")</f>
        <v>5630</v>
      </c>
      <c r="B242" s="69" t="str">
        <f>_xlfn.IFNA(IF('Interactive Selection Sheet'!A61 = "", VLOOKUP('Interactive Selection Sheet'!$B61, 'Master List Import'!$A$1:$P$519, 3, FALSE), ""), "")</f>
        <v>Reading Glasses - Strength 1.00</v>
      </c>
      <c r="C242" s="76">
        <f>IF('Interactive Selection Sheet'!$T$2="", "", IF(B242="","",'Interactive Selection Sheet'!$T$2))</f>
        <v>3.5000000000000003E-2</v>
      </c>
      <c r="D242" s="70">
        <f>IF(B242 = "", "", 'Interactive Selection Sheet'!$Q$2)</f>
        <v>4.4999999999999998E-2</v>
      </c>
      <c r="E242" s="70">
        <f>IF(B242="","", 'Interactive Selection Sheet'!$R$2)</f>
        <v>0.02</v>
      </c>
      <c r="F242" s="69" t="str">
        <f>_xlfn.IFNA(IF('Interactive Selection Sheet'!A61 = "", VLOOKUP('Interactive Selection Sheet'!$B61, 'Master List Import'!$A$1:$P$519, 4, FALSE), ""), "")</f>
        <v>Hygiene - Eye Care</v>
      </c>
      <c r="G242" s="69" t="str">
        <f>_xlfn.IFNA(IF('Interactive Selection Sheet'!A61 = "", VLOOKUP('Interactive Selection Sheet'!$B61, 'Master List Import'!$A$1:$P$519, 5, FALSE), ""), "")</f>
        <v>Hygiene - Eye Care</v>
      </c>
      <c r="H242" s="69" t="str">
        <f>_xlfn.IFNA(IF('Interactive Selection Sheet'!A61 = "", VLOOKUP('Interactive Selection Sheet'!$B61, 'Master List Import'!$A$1:$P$519, 6, FALSE), ""), "")</f>
        <v>Both</v>
      </c>
      <c r="I242" s="72">
        <f>_xlfn.IFNA(IF('Interactive Selection Sheet'!A61 = "", VLOOKUP('Interactive Selection Sheet'!$B61, 'Master List Import'!$A$1:$P$519, 7, FALSE), ""), "")</f>
        <v>1.3</v>
      </c>
      <c r="J242" s="69" t="str">
        <f>_xlfn.IFNA(IF('Interactive Selection Sheet'!A61 = "", VLOOKUP('Interactive Selection Sheet'!$B61, 'Master List Import'!$A$1:$P$519, 8, FALSE), ""), "")</f>
        <v>REI</v>
      </c>
      <c r="K242" s="69" t="str">
        <f>_xlfn.IFNA(IF('Interactive Selection Sheet'!A61 = "", VLOOKUP('Interactive Selection Sheet'!$B61, 'Master List Import'!$A$1:$P$519, 9, FALSE), ""), "")</f>
        <v>411027</v>
      </c>
      <c r="L242" s="69">
        <f>_xlfn.IFNA(IF('Interactive Selection Sheet'!A61 = "", VLOOKUP('Interactive Selection Sheet'!$B61, 'Master List Import'!$A$1:$P$519, 10, FALSE), ""), "")</f>
        <v>0</v>
      </c>
      <c r="M242" s="69">
        <f>_xlfn.IFNA(IF('Interactive Selection Sheet'!A61 = "", VLOOKUP('Interactive Selection Sheet'!$B61, 'Master List Import'!$A$1:$P$519, 11, FALSE), ""), "")</f>
        <v>0</v>
      </c>
      <c r="N242" s="69">
        <f>_xlfn.IFNA(IF('Interactive Selection Sheet'!A61 = "", VLOOKUP('Interactive Selection Sheet'!$B61, 'Master List Import'!$A$1:$P$519, 12, FALSE), ""), "")</f>
        <v>1</v>
      </c>
      <c r="O242" s="69">
        <f>_xlfn.IFNA(IF('Interactive Selection Sheet'!A61 = "", VLOOKUP('Interactive Selection Sheet'!$B61, 'Master List Import'!$A$1:$P$519, 13, FALSE), ""), "")</f>
        <v>5630</v>
      </c>
      <c r="P242" s="69" t="str">
        <f>_xlfn.IFNA(IF('Interactive Selection Sheet'!A61 = "", VLOOKUP('Interactive Selection Sheet'!$B61, 'Master List Import'!$A$1:$P$519, 14, FALSE), ""), "")</f>
        <v>Reading Glasses (1.00)</v>
      </c>
      <c r="Q242" s="69">
        <f>_xlfn.IFNA(IF('Interactive Selection Sheet'!A61 = "", VLOOKUP('Interactive Selection Sheet'!$B61, 'Master List Import'!$A$1:$P$519, 15, FALSE), ""), "")</f>
        <v>1</v>
      </c>
      <c r="R242" s="74">
        <f>_xlfn.IFNA(IF('Interactive Selection Sheet'!A61 = "", VLOOKUP('Interactive Selection Sheet'!$B61, 'Master List Import'!$A$1:$P$519, 16, FALSE), ""), "")</f>
        <v>8.6999999999999993</v>
      </c>
    </row>
    <row r="243" spans="1:18" ht="21.75" customHeight="1" x14ac:dyDescent="0.25">
      <c r="A243" s="69">
        <f>_xlfn.IFNA(IF('Interactive Selection Sheet'!A62 = "", VLOOKUP('Interactive Selection Sheet'!$B62, 'Master List Import'!$A$1:$P$519, 2, FALSE), ""), "")</f>
        <v>5631</v>
      </c>
      <c r="B243" s="69" t="str">
        <f>_xlfn.IFNA(IF('Interactive Selection Sheet'!A62 = "", VLOOKUP('Interactive Selection Sheet'!$B62, 'Master List Import'!$A$1:$P$519, 3, FALSE), ""), "")</f>
        <v>Reading Glasses - Strength 1.25</v>
      </c>
      <c r="C243" s="76">
        <f>IF('Interactive Selection Sheet'!$T$2="", "", IF(B243="","",'Interactive Selection Sheet'!$T$2))</f>
        <v>3.5000000000000003E-2</v>
      </c>
      <c r="D243" s="70">
        <f>IF(B243 = "", "", 'Interactive Selection Sheet'!$Q$2)</f>
        <v>4.4999999999999998E-2</v>
      </c>
      <c r="E243" s="70">
        <f>IF(B243="","", 'Interactive Selection Sheet'!$R$2)</f>
        <v>0.02</v>
      </c>
      <c r="F243" s="69" t="str">
        <f>_xlfn.IFNA(IF('Interactive Selection Sheet'!A62 = "", VLOOKUP('Interactive Selection Sheet'!$B62, 'Master List Import'!$A$1:$P$519, 4, FALSE), ""), "")</f>
        <v>Hygiene - Eye Care</v>
      </c>
      <c r="G243" s="69" t="str">
        <f>_xlfn.IFNA(IF('Interactive Selection Sheet'!A62 = "", VLOOKUP('Interactive Selection Sheet'!$B62, 'Master List Import'!$A$1:$P$519, 5, FALSE), ""), "")</f>
        <v>Hygiene - Eye Care</v>
      </c>
      <c r="H243" s="69" t="str">
        <f>_xlfn.IFNA(IF('Interactive Selection Sheet'!A62 = "", VLOOKUP('Interactive Selection Sheet'!$B62, 'Master List Import'!$A$1:$P$519, 6, FALSE), ""), "")</f>
        <v>Both</v>
      </c>
      <c r="I243" s="72">
        <f>_xlfn.IFNA(IF('Interactive Selection Sheet'!A62 = "", VLOOKUP('Interactive Selection Sheet'!$B62, 'Master List Import'!$A$1:$P$519, 7, FALSE), ""), "")</f>
        <v>1.3</v>
      </c>
      <c r="J243" s="69" t="str">
        <f>_xlfn.IFNA(IF('Interactive Selection Sheet'!A62 = "", VLOOKUP('Interactive Selection Sheet'!$B62, 'Master List Import'!$A$1:$P$519, 8, FALSE), ""), "")</f>
        <v>REI</v>
      </c>
      <c r="K243" s="69" t="str">
        <f>_xlfn.IFNA(IF('Interactive Selection Sheet'!A62 = "", VLOOKUP('Interactive Selection Sheet'!$B62, 'Master List Import'!$A$1:$P$519, 9, FALSE), ""), "")</f>
        <v>411028</v>
      </c>
      <c r="L243" s="69">
        <f>_xlfn.IFNA(IF('Interactive Selection Sheet'!A62 = "", VLOOKUP('Interactive Selection Sheet'!$B62, 'Master List Import'!$A$1:$P$519, 10, FALSE), ""), "")</f>
        <v>0</v>
      </c>
      <c r="M243" s="69">
        <f>_xlfn.IFNA(IF('Interactive Selection Sheet'!A62 = "", VLOOKUP('Interactive Selection Sheet'!$B62, 'Master List Import'!$A$1:$P$519, 11, FALSE), ""), "")</f>
        <v>0</v>
      </c>
      <c r="N243" s="69">
        <f>_xlfn.IFNA(IF('Interactive Selection Sheet'!A62 = "", VLOOKUP('Interactive Selection Sheet'!$B62, 'Master List Import'!$A$1:$P$519, 12, FALSE), ""), "")</f>
        <v>1</v>
      </c>
      <c r="O243" s="69">
        <f>_xlfn.IFNA(IF('Interactive Selection Sheet'!A62 = "", VLOOKUP('Interactive Selection Sheet'!$B62, 'Master List Import'!$A$1:$P$519, 13, FALSE), ""), "")</f>
        <v>5631</v>
      </c>
      <c r="P243" s="69" t="str">
        <f>_xlfn.IFNA(IF('Interactive Selection Sheet'!A62 = "", VLOOKUP('Interactive Selection Sheet'!$B62, 'Master List Import'!$A$1:$P$519, 14, FALSE), ""), "")</f>
        <v>Reading Glasses (1.25)</v>
      </c>
      <c r="Q243" s="69">
        <f>_xlfn.IFNA(IF('Interactive Selection Sheet'!A62 = "", VLOOKUP('Interactive Selection Sheet'!$B62, 'Master List Import'!$A$1:$P$519, 15, FALSE), ""), "")</f>
        <v>1</v>
      </c>
      <c r="R243" s="74">
        <f>_xlfn.IFNA(IF('Interactive Selection Sheet'!A62 = "", VLOOKUP('Interactive Selection Sheet'!$B62, 'Master List Import'!$A$1:$P$519, 16, FALSE), ""), "")</f>
        <v>8.6999999999999993</v>
      </c>
    </row>
    <row r="244" spans="1:18" ht="21.75" customHeight="1" x14ac:dyDescent="0.25">
      <c r="A244" s="69">
        <f>_xlfn.IFNA(IF('Interactive Selection Sheet'!A63 = "", VLOOKUP('Interactive Selection Sheet'!$B63, 'Master List Import'!$A$1:$P$519, 2, FALSE), ""), "")</f>
        <v>5632</v>
      </c>
      <c r="B244" s="69" t="str">
        <f>_xlfn.IFNA(IF('Interactive Selection Sheet'!A63 = "", VLOOKUP('Interactive Selection Sheet'!$B63, 'Master List Import'!$A$1:$P$519, 3, FALSE), ""), "")</f>
        <v>Reading Glasses - Strength 1.50</v>
      </c>
      <c r="C244" s="76">
        <f>IF('Interactive Selection Sheet'!$T$2="", "", IF(B244="","",'Interactive Selection Sheet'!$T$2))</f>
        <v>3.5000000000000003E-2</v>
      </c>
      <c r="D244" s="70">
        <f>IF(B244 = "", "", 'Interactive Selection Sheet'!$Q$2)</f>
        <v>4.4999999999999998E-2</v>
      </c>
      <c r="E244" s="70">
        <f>IF(B244="","", 'Interactive Selection Sheet'!$R$2)</f>
        <v>0.02</v>
      </c>
      <c r="F244" s="69" t="str">
        <f>_xlfn.IFNA(IF('Interactive Selection Sheet'!A63 = "", VLOOKUP('Interactive Selection Sheet'!$B63, 'Master List Import'!$A$1:$P$519, 4, FALSE), ""), "")</f>
        <v>Hygiene - Eye Care</v>
      </c>
      <c r="G244" s="69" t="str">
        <f>_xlfn.IFNA(IF('Interactive Selection Sheet'!A63 = "", VLOOKUP('Interactive Selection Sheet'!$B63, 'Master List Import'!$A$1:$P$519, 5, FALSE), ""), "")</f>
        <v>Hygiene - Eye Care</v>
      </c>
      <c r="H244" s="69" t="str">
        <f>_xlfn.IFNA(IF('Interactive Selection Sheet'!A63 = "", VLOOKUP('Interactive Selection Sheet'!$B63, 'Master List Import'!$A$1:$P$519, 6, FALSE), ""), "")</f>
        <v>Both</v>
      </c>
      <c r="I244" s="72">
        <f>_xlfn.IFNA(IF('Interactive Selection Sheet'!A63 = "", VLOOKUP('Interactive Selection Sheet'!$B63, 'Master List Import'!$A$1:$P$519, 7, FALSE), ""), "")</f>
        <v>1.3</v>
      </c>
      <c r="J244" s="69" t="str">
        <f>_xlfn.IFNA(IF('Interactive Selection Sheet'!A63 = "", VLOOKUP('Interactive Selection Sheet'!$B63, 'Master List Import'!$A$1:$P$519, 8, FALSE), ""), "")</f>
        <v>REI</v>
      </c>
      <c r="K244" s="69" t="str">
        <f>_xlfn.IFNA(IF('Interactive Selection Sheet'!A63 = "", VLOOKUP('Interactive Selection Sheet'!$B63, 'Master List Import'!$A$1:$P$519, 9, FALSE), ""), "")</f>
        <v>411029</v>
      </c>
      <c r="L244" s="69">
        <f>_xlfn.IFNA(IF('Interactive Selection Sheet'!A63 = "", VLOOKUP('Interactive Selection Sheet'!$B63, 'Master List Import'!$A$1:$P$519, 10, FALSE), ""), "")</f>
        <v>0</v>
      </c>
      <c r="M244" s="69">
        <f>_xlfn.IFNA(IF('Interactive Selection Sheet'!A63 = "", VLOOKUP('Interactive Selection Sheet'!$B63, 'Master List Import'!$A$1:$P$519, 11, FALSE), ""), "")</f>
        <v>0</v>
      </c>
      <c r="N244" s="69">
        <f>_xlfn.IFNA(IF('Interactive Selection Sheet'!A63 = "", VLOOKUP('Interactive Selection Sheet'!$B63, 'Master List Import'!$A$1:$P$519, 12, FALSE), ""), "")</f>
        <v>1</v>
      </c>
      <c r="O244" s="69">
        <f>_xlfn.IFNA(IF('Interactive Selection Sheet'!A63 = "", VLOOKUP('Interactive Selection Sheet'!$B63, 'Master List Import'!$A$1:$P$519, 13, FALSE), ""), "")</f>
        <v>5632</v>
      </c>
      <c r="P244" s="69" t="str">
        <f>_xlfn.IFNA(IF('Interactive Selection Sheet'!A63 = "", VLOOKUP('Interactive Selection Sheet'!$B63, 'Master List Import'!$A$1:$P$519, 14, FALSE), ""), "")</f>
        <v>Reading Glasses (1.50)</v>
      </c>
      <c r="Q244" s="69">
        <f>_xlfn.IFNA(IF('Interactive Selection Sheet'!A63 = "", VLOOKUP('Interactive Selection Sheet'!$B63, 'Master List Import'!$A$1:$P$519, 15, FALSE), ""), "")</f>
        <v>1</v>
      </c>
      <c r="R244" s="74">
        <f>_xlfn.IFNA(IF('Interactive Selection Sheet'!A63 = "", VLOOKUP('Interactive Selection Sheet'!$B63, 'Master List Import'!$A$1:$P$519, 16, FALSE), ""), "")</f>
        <v>8.6999999999999993</v>
      </c>
    </row>
    <row r="245" spans="1:18" ht="21.75" customHeight="1" x14ac:dyDescent="0.25">
      <c r="A245" s="69">
        <f>_xlfn.IFNA(IF('Interactive Selection Sheet'!A64 = "", VLOOKUP('Interactive Selection Sheet'!$B64, 'Master List Import'!$A$1:$P$519, 2, FALSE), ""), "")</f>
        <v>5633</v>
      </c>
      <c r="B245" s="69" t="str">
        <f>_xlfn.IFNA(IF('Interactive Selection Sheet'!A64 = "", VLOOKUP('Interactive Selection Sheet'!$B64, 'Master List Import'!$A$1:$P$519, 3, FALSE), ""), "")</f>
        <v>Reading Glasses - Strength 1.75</v>
      </c>
      <c r="C245" s="76">
        <f>IF('Interactive Selection Sheet'!$T$2="", "", IF(B245="","",'Interactive Selection Sheet'!$T$2))</f>
        <v>3.5000000000000003E-2</v>
      </c>
      <c r="D245" s="70">
        <f>IF(B245 = "", "", 'Interactive Selection Sheet'!$Q$2)</f>
        <v>4.4999999999999998E-2</v>
      </c>
      <c r="E245" s="70">
        <f>IF(B245="","", 'Interactive Selection Sheet'!$R$2)</f>
        <v>0.02</v>
      </c>
      <c r="F245" s="69" t="str">
        <f>_xlfn.IFNA(IF('Interactive Selection Sheet'!A64 = "", VLOOKUP('Interactive Selection Sheet'!$B64, 'Master List Import'!$A$1:$P$519, 4, FALSE), ""), "")</f>
        <v>Hygiene - Eye Care</v>
      </c>
      <c r="G245" s="69" t="str">
        <f>_xlfn.IFNA(IF('Interactive Selection Sheet'!A64 = "", VLOOKUP('Interactive Selection Sheet'!$B64, 'Master List Import'!$A$1:$P$519, 5, FALSE), ""), "")</f>
        <v>Hygiene - Eye Care</v>
      </c>
      <c r="H245" s="69" t="str">
        <f>_xlfn.IFNA(IF('Interactive Selection Sheet'!A64 = "", VLOOKUP('Interactive Selection Sheet'!$B64, 'Master List Import'!$A$1:$P$519, 6, FALSE), ""), "")</f>
        <v>Both</v>
      </c>
      <c r="I245" s="72">
        <f>_xlfn.IFNA(IF('Interactive Selection Sheet'!A64 = "", VLOOKUP('Interactive Selection Sheet'!$B64, 'Master List Import'!$A$1:$P$519, 7, FALSE), ""), "")</f>
        <v>1.3</v>
      </c>
      <c r="J245" s="69" t="str">
        <f>_xlfn.IFNA(IF('Interactive Selection Sheet'!A64 = "", VLOOKUP('Interactive Selection Sheet'!$B64, 'Master List Import'!$A$1:$P$519, 8, FALSE), ""), "")</f>
        <v>REI</v>
      </c>
      <c r="K245" s="69" t="str">
        <f>_xlfn.IFNA(IF('Interactive Selection Sheet'!A64 = "", VLOOKUP('Interactive Selection Sheet'!$B64, 'Master List Import'!$A$1:$P$519, 9, FALSE), ""), "")</f>
        <v>411030</v>
      </c>
      <c r="L245" s="69">
        <f>_xlfn.IFNA(IF('Interactive Selection Sheet'!A64 = "", VLOOKUP('Interactive Selection Sheet'!$B64, 'Master List Import'!$A$1:$P$519, 10, FALSE), ""), "")</f>
        <v>0</v>
      </c>
      <c r="M245" s="69">
        <f>_xlfn.IFNA(IF('Interactive Selection Sheet'!A64 = "", VLOOKUP('Interactive Selection Sheet'!$B64, 'Master List Import'!$A$1:$P$519, 11, FALSE), ""), "")</f>
        <v>0</v>
      </c>
      <c r="N245" s="69">
        <f>_xlfn.IFNA(IF('Interactive Selection Sheet'!A64 = "", VLOOKUP('Interactive Selection Sheet'!$B64, 'Master List Import'!$A$1:$P$519, 12, FALSE), ""), "")</f>
        <v>1</v>
      </c>
      <c r="O245" s="69">
        <f>_xlfn.IFNA(IF('Interactive Selection Sheet'!A64 = "", VLOOKUP('Interactive Selection Sheet'!$B64, 'Master List Import'!$A$1:$P$519, 13, FALSE), ""), "")</f>
        <v>5633</v>
      </c>
      <c r="P245" s="69" t="str">
        <f>_xlfn.IFNA(IF('Interactive Selection Sheet'!A64 = "", VLOOKUP('Interactive Selection Sheet'!$B64, 'Master List Import'!$A$1:$P$519, 14, FALSE), ""), "")</f>
        <v>Reading Glasses (1.75)</v>
      </c>
      <c r="Q245" s="69">
        <f>_xlfn.IFNA(IF('Interactive Selection Sheet'!A64 = "", VLOOKUP('Interactive Selection Sheet'!$B64, 'Master List Import'!$A$1:$P$519, 15, FALSE), ""), "")</f>
        <v>1</v>
      </c>
      <c r="R245" s="74">
        <f>_xlfn.IFNA(IF('Interactive Selection Sheet'!A64 = "", VLOOKUP('Interactive Selection Sheet'!$B64, 'Master List Import'!$A$1:$P$519, 16, FALSE), ""), "")</f>
        <v>8.6999999999999993</v>
      </c>
    </row>
    <row r="246" spans="1:18" ht="21.75" customHeight="1" x14ac:dyDescent="0.25">
      <c r="A246" s="69">
        <f>_xlfn.IFNA(IF('Interactive Selection Sheet'!A65 = "", VLOOKUP('Interactive Selection Sheet'!$B65, 'Master List Import'!$A$1:$P$519, 2, FALSE), ""), "")</f>
        <v>5634</v>
      </c>
      <c r="B246" s="69" t="str">
        <f>_xlfn.IFNA(IF('Interactive Selection Sheet'!A65 = "", VLOOKUP('Interactive Selection Sheet'!$B65, 'Master List Import'!$A$1:$P$519, 3, FALSE), ""), "")</f>
        <v>Reading Glasses - Strength 2.00</v>
      </c>
      <c r="C246" s="76">
        <f>IF('Interactive Selection Sheet'!$T$2="", "", IF(B246="","",'Interactive Selection Sheet'!$T$2))</f>
        <v>3.5000000000000003E-2</v>
      </c>
      <c r="D246" s="70">
        <f>IF(B246 = "", "", 'Interactive Selection Sheet'!$Q$2)</f>
        <v>4.4999999999999998E-2</v>
      </c>
      <c r="E246" s="70">
        <f>IF(B246="","", 'Interactive Selection Sheet'!$R$2)</f>
        <v>0.02</v>
      </c>
      <c r="F246" s="69" t="str">
        <f>_xlfn.IFNA(IF('Interactive Selection Sheet'!A65 = "", VLOOKUP('Interactive Selection Sheet'!$B65, 'Master List Import'!$A$1:$P$519, 4, FALSE), ""), "")</f>
        <v>Hygiene - Eye Care</v>
      </c>
      <c r="G246" s="69" t="str">
        <f>_xlfn.IFNA(IF('Interactive Selection Sheet'!A65 = "", VLOOKUP('Interactive Selection Sheet'!$B65, 'Master List Import'!$A$1:$P$519, 5, FALSE), ""), "")</f>
        <v>Hygiene - Eye Care</v>
      </c>
      <c r="H246" s="69" t="str">
        <f>_xlfn.IFNA(IF('Interactive Selection Sheet'!A65 = "", VLOOKUP('Interactive Selection Sheet'!$B65, 'Master List Import'!$A$1:$P$519, 6, FALSE), ""), "")</f>
        <v>Both</v>
      </c>
      <c r="I246" s="72">
        <f>_xlfn.IFNA(IF('Interactive Selection Sheet'!A65 = "", VLOOKUP('Interactive Selection Sheet'!$B65, 'Master List Import'!$A$1:$P$519, 7, FALSE), ""), "")</f>
        <v>1.3</v>
      </c>
      <c r="J246" s="69" t="str">
        <f>_xlfn.IFNA(IF('Interactive Selection Sheet'!A65 = "", VLOOKUP('Interactive Selection Sheet'!$B65, 'Master List Import'!$A$1:$P$519, 8, FALSE), ""), "")</f>
        <v>REI</v>
      </c>
      <c r="K246" s="69" t="str">
        <f>_xlfn.IFNA(IF('Interactive Selection Sheet'!A65 = "", VLOOKUP('Interactive Selection Sheet'!$B65, 'Master List Import'!$A$1:$P$519, 9, FALSE), ""), "")</f>
        <v>411031</v>
      </c>
      <c r="L246" s="69">
        <f>_xlfn.IFNA(IF('Interactive Selection Sheet'!A65 = "", VLOOKUP('Interactive Selection Sheet'!$B65, 'Master List Import'!$A$1:$P$519, 10, FALSE), ""), "")</f>
        <v>0</v>
      </c>
      <c r="M246" s="69">
        <f>_xlfn.IFNA(IF('Interactive Selection Sheet'!A65 = "", VLOOKUP('Interactive Selection Sheet'!$B65, 'Master List Import'!$A$1:$P$519, 11, FALSE), ""), "")</f>
        <v>0</v>
      </c>
      <c r="N246" s="69">
        <f>_xlfn.IFNA(IF('Interactive Selection Sheet'!A65 = "", VLOOKUP('Interactive Selection Sheet'!$B65, 'Master List Import'!$A$1:$P$519, 12, FALSE), ""), "")</f>
        <v>1</v>
      </c>
      <c r="O246" s="69">
        <f>_xlfn.IFNA(IF('Interactive Selection Sheet'!A65 = "", VLOOKUP('Interactive Selection Sheet'!$B65, 'Master List Import'!$A$1:$P$519, 13, FALSE), ""), "")</f>
        <v>5634</v>
      </c>
      <c r="P246" s="69" t="str">
        <f>_xlfn.IFNA(IF('Interactive Selection Sheet'!A65 = "", VLOOKUP('Interactive Selection Sheet'!$B65, 'Master List Import'!$A$1:$P$519, 14, FALSE), ""), "")</f>
        <v>Reading Glasses (2.00)</v>
      </c>
      <c r="Q246" s="69">
        <f>_xlfn.IFNA(IF('Interactive Selection Sheet'!A65 = "", VLOOKUP('Interactive Selection Sheet'!$B65, 'Master List Import'!$A$1:$P$519, 15, FALSE), ""), "")</f>
        <v>1</v>
      </c>
      <c r="R246" s="74">
        <f>_xlfn.IFNA(IF('Interactive Selection Sheet'!A65 = "", VLOOKUP('Interactive Selection Sheet'!$B65, 'Master List Import'!$A$1:$P$519, 16, FALSE), ""), "")</f>
        <v>8.6999999999999993</v>
      </c>
    </row>
    <row r="247" spans="1:18" ht="21.75" customHeight="1" x14ac:dyDescent="0.25">
      <c r="A247" s="69">
        <f>_xlfn.IFNA(IF('Interactive Selection Sheet'!A66 = "", VLOOKUP('Interactive Selection Sheet'!$B66, 'Master List Import'!$A$1:$P$519, 2, FALSE), ""), "")</f>
        <v>5635</v>
      </c>
      <c r="B247" s="69" t="str">
        <f>_xlfn.IFNA(IF('Interactive Selection Sheet'!A66 = "", VLOOKUP('Interactive Selection Sheet'!$B66, 'Master List Import'!$A$1:$P$519, 3, FALSE), ""), "")</f>
        <v>Reading Glasses - Strength 2.25</v>
      </c>
      <c r="C247" s="76">
        <f>IF('Interactive Selection Sheet'!$T$2="", "", IF(B247="","",'Interactive Selection Sheet'!$T$2))</f>
        <v>3.5000000000000003E-2</v>
      </c>
      <c r="D247" s="70">
        <f>IF(B247 = "", "", 'Interactive Selection Sheet'!$Q$2)</f>
        <v>4.4999999999999998E-2</v>
      </c>
      <c r="E247" s="70">
        <f>IF(B247="","", 'Interactive Selection Sheet'!$R$2)</f>
        <v>0.02</v>
      </c>
      <c r="F247" s="69" t="str">
        <f>_xlfn.IFNA(IF('Interactive Selection Sheet'!A66 = "", VLOOKUP('Interactive Selection Sheet'!$B66, 'Master List Import'!$A$1:$P$519, 4, FALSE), ""), "")</f>
        <v>Hygiene - Eye Care</v>
      </c>
      <c r="G247" s="69" t="str">
        <f>_xlfn.IFNA(IF('Interactive Selection Sheet'!A66 = "", VLOOKUP('Interactive Selection Sheet'!$B66, 'Master List Import'!$A$1:$P$519, 5, FALSE), ""), "")</f>
        <v>Hygiene - Eye Care</v>
      </c>
      <c r="H247" s="69" t="str">
        <f>_xlfn.IFNA(IF('Interactive Selection Sheet'!A66 = "", VLOOKUP('Interactive Selection Sheet'!$B66, 'Master List Import'!$A$1:$P$519, 6, FALSE), ""), "")</f>
        <v>Both</v>
      </c>
      <c r="I247" s="72">
        <f>_xlfn.IFNA(IF('Interactive Selection Sheet'!A66 = "", VLOOKUP('Interactive Selection Sheet'!$B66, 'Master List Import'!$A$1:$P$519, 7, FALSE), ""), "")</f>
        <v>1.3</v>
      </c>
      <c r="J247" s="69" t="str">
        <f>_xlfn.IFNA(IF('Interactive Selection Sheet'!A66 = "", VLOOKUP('Interactive Selection Sheet'!$B66, 'Master List Import'!$A$1:$P$519, 8, FALSE), ""), "")</f>
        <v>REI</v>
      </c>
      <c r="K247" s="69" t="str">
        <f>_xlfn.IFNA(IF('Interactive Selection Sheet'!A66 = "", VLOOKUP('Interactive Selection Sheet'!$B66, 'Master List Import'!$A$1:$P$519, 9, FALSE), ""), "")</f>
        <v>411032</v>
      </c>
      <c r="L247" s="69">
        <f>_xlfn.IFNA(IF('Interactive Selection Sheet'!A66 = "", VLOOKUP('Interactive Selection Sheet'!$B66, 'Master List Import'!$A$1:$P$519, 10, FALSE), ""), "")</f>
        <v>0</v>
      </c>
      <c r="M247" s="69">
        <f>_xlfn.IFNA(IF('Interactive Selection Sheet'!A66 = "", VLOOKUP('Interactive Selection Sheet'!$B66, 'Master List Import'!$A$1:$P$519, 11, FALSE), ""), "")</f>
        <v>0</v>
      </c>
      <c r="N247" s="69">
        <f>_xlfn.IFNA(IF('Interactive Selection Sheet'!A66 = "", VLOOKUP('Interactive Selection Sheet'!$B66, 'Master List Import'!$A$1:$P$519, 12, FALSE), ""), "")</f>
        <v>1</v>
      </c>
      <c r="O247" s="69">
        <f>_xlfn.IFNA(IF('Interactive Selection Sheet'!A66 = "", VLOOKUP('Interactive Selection Sheet'!$B66, 'Master List Import'!$A$1:$P$519, 13, FALSE), ""), "")</f>
        <v>5635</v>
      </c>
      <c r="P247" s="69" t="str">
        <f>_xlfn.IFNA(IF('Interactive Selection Sheet'!A66 = "", VLOOKUP('Interactive Selection Sheet'!$B66, 'Master List Import'!$A$1:$P$519, 14, FALSE), ""), "")</f>
        <v>Reading Glasses (2.25)</v>
      </c>
      <c r="Q247" s="69">
        <f>_xlfn.IFNA(IF('Interactive Selection Sheet'!A66 = "", VLOOKUP('Interactive Selection Sheet'!$B66, 'Master List Import'!$A$1:$P$519, 15, FALSE), ""), "")</f>
        <v>1</v>
      </c>
      <c r="R247" s="74">
        <f>_xlfn.IFNA(IF('Interactive Selection Sheet'!A66 = "", VLOOKUP('Interactive Selection Sheet'!$B66, 'Master List Import'!$A$1:$P$519, 16, FALSE), ""), "")</f>
        <v>8.6999999999999993</v>
      </c>
    </row>
    <row r="248" spans="1:18" ht="21.75" customHeight="1" x14ac:dyDescent="0.25">
      <c r="A248" s="69">
        <f>_xlfn.IFNA(IF('Interactive Selection Sheet'!A67 = "", VLOOKUP('Interactive Selection Sheet'!$B67, 'Master List Import'!$A$1:$P$519, 2, FALSE), ""), "")</f>
        <v>5636</v>
      </c>
      <c r="B248" s="69" t="str">
        <f>_xlfn.IFNA(IF('Interactive Selection Sheet'!A67 = "", VLOOKUP('Interactive Selection Sheet'!$B67, 'Master List Import'!$A$1:$P$519, 3, FALSE), ""), "")</f>
        <v>Reading Glasses - Strength 2.50</v>
      </c>
      <c r="C248" s="76">
        <f>IF('Interactive Selection Sheet'!$T$2="", "", IF(B248="","",'Interactive Selection Sheet'!$T$2))</f>
        <v>3.5000000000000003E-2</v>
      </c>
      <c r="D248" s="70">
        <f>IF(B248 = "", "", 'Interactive Selection Sheet'!$Q$2)</f>
        <v>4.4999999999999998E-2</v>
      </c>
      <c r="E248" s="70">
        <f>IF(B248="","", 'Interactive Selection Sheet'!$R$2)</f>
        <v>0.02</v>
      </c>
      <c r="F248" s="69" t="str">
        <f>_xlfn.IFNA(IF('Interactive Selection Sheet'!A67 = "", VLOOKUP('Interactive Selection Sheet'!$B67, 'Master List Import'!$A$1:$P$519, 4, FALSE), ""), "")</f>
        <v>Hygiene - Eye Care</v>
      </c>
      <c r="G248" s="69" t="str">
        <f>_xlfn.IFNA(IF('Interactive Selection Sheet'!A67 = "", VLOOKUP('Interactive Selection Sheet'!$B67, 'Master List Import'!$A$1:$P$519, 5, FALSE), ""), "")</f>
        <v>Hygiene - Eye Care</v>
      </c>
      <c r="H248" s="69" t="str">
        <f>_xlfn.IFNA(IF('Interactive Selection Sheet'!A67 = "", VLOOKUP('Interactive Selection Sheet'!$B67, 'Master List Import'!$A$1:$P$519, 6, FALSE), ""), "")</f>
        <v>Both</v>
      </c>
      <c r="I248" s="72">
        <f>_xlfn.IFNA(IF('Interactive Selection Sheet'!A67 = "", VLOOKUP('Interactive Selection Sheet'!$B67, 'Master List Import'!$A$1:$P$519, 7, FALSE), ""), "")</f>
        <v>1.3</v>
      </c>
      <c r="J248" s="69" t="str">
        <f>_xlfn.IFNA(IF('Interactive Selection Sheet'!A67 = "", VLOOKUP('Interactive Selection Sheet'!$B67, 'Master List Import'!$A$1:$P$519, 8, FALSE), ""), "")</f>
        <v>REI</v>
      </c>
      <c r="K248" s="69" t="str">
        <f>_xlfn.IFNA(IF('Interactive Selection Sheet'!A67 = "", VLOOKUP('Interactive Selection Sheet'!$B67, 'Master List Import'!$A$1:$P$519, 9, FALSE), ""), "")</f>
        <v>411033</v>
      </c>
      <c r="L248" s="69">
        <f>_xlfn.IFNA(IF('Interactive Selection Sheet'!A67 = "", VLOOKUP('Interactive Selection Sheet'!$B67, 'Master List Import'!$A$1:$P$519, 10, FALSE), ""), "")</f>
        <v>0</v>
      </c>
      <c r="M248" s="69">
        <f>_xlfn.IFNA(IF('Interactive Selection Sheet'!A67 = "", VLOOKUP('Interactive Selection Sheet'!$B67, 'Master List Import'!$A$1:$P$519, 11, FALSE), ""), "")</f>
        <v>0</v>
      </c>
      <c r="N248" s="69">
        <f>_xlfn.IFNA(IF('Interactive Selection Sheet'!A67 = "", VLOOKUP('Interactive Selection Sheet'!$B67, 'Master List Import'!$A$1:$P$519, 12, FALSE), ""), "")</f>
        <v>1</v>
      </c>
      <c r="O248" s="69">
        <f>_xlfn.IFNA(IF('Interactive Selection Sheet'!A67 = "", VLOOKUP('Interactive Selection Sheet'!$B67, 'Master List Import'!$A$1:$P$519, 13, FALSE), ""), "")</f>
        <v>5636</v>
      </c>
      <c r="P248" s="69" t="str">
        <f>_xlfn.IFNA(IF('Interactive Selection Sheet'!A67 = "", VLOOKUP('Interactive Selection Sheet'!$B67, 'Master List Import'!$A$1:$P$519, 14, FALSE), ""), "")</f>
        <v>Reading Glasses (2.50)</v>
      </c>
      <c r="Q248" s="69">
        <f>_xlfn.IFNA(IF('Interactive Selection Sheet'!A67 = "", VLOOKUP('Interactive Selection Sheet'!$B67, 'Master List Import'!$A$1:$P$519, 15, FALSE), ""), "")</f>
        <v>1</v>
      </c>
      <c r="R248" s="74">
        <f>_xlfn.IFNA(IF('Interactive Selection Sheet'!A67 = "", VLOOKUP('Interactive Selection Sheet'!$B67, 'Master List Import'!$A$1:$P$519, 16, FALSE), ""), "")</f>
        <v>8.6999999999999993</v>
      </c>
    </row>
    <row r="249" spans="1:18" ht="21.75" customHeight="1" x14ac:dyDescent="0.25">
      <c r="A249" s="69">
        <f>_xlfn.IFNA(IF('Interactive Selection Sheet'!A68 = "", VLOOKUP('Interactive Selection Sheet'!$B68, 'Master List Import'!$A$1:$P$519, 2, FALSE), ""), "")</f>
        <v>5637</v>
      </c>
      <c r="B249" s="69" t="str">
        <f>_xlfn.IFNA(IF('Interactive Selection Sheet'!A68 = "", VLOOKUP('Interactive Selection Sheet'!$B68, 'Master List Import'!$A$1:$P$519, 3, FALSE), ""), "")</f>
        <v>Reading Glasses - Strength 2.75</v>
      </c>
      <c r="C249" s="76">
        <f>IF('Interactive Selection Sheet'!$T$2="", "", IF(B249="","",'Interactive Selection Sheet'!$T$2))</f>
        <v>3.5000000000000003E-2</v>
      </c>
      <c r="D249" s="70">
        <f>IF(B249 = "", "", 'Interactive Selection Sheet'!$Q$2)</f>
        <v>4.4999999999999998E-2</v>
      </c>
      <c r="E249" s="70">
        <f>IF(B249="","", 'Interactive Selection Sheet'!$R$2)</f>
        <v>0.02</v>
      </c>
      <c r="F249" s="69" t="str">
        <f>_xlfn.IFNA(IF('Interactive Selection Sheet'!A68 = "", VLOOKUP('Interactive Selection Sheet'!$B68, 'Master List Import'!$A$1:$P$519, 4, FALSE), ""), "")</f>
        <v>Hygiene - Eye Care</v>
      </c>
      <c r="G249" s="69" t="str">
        <f>_xlfn.IFNA(IF('Interactive Selection Sheet'!A68 = "", VLOOKUP('Interactive Selection Sheet'!$B68, 'Master List Import'!$A$1:$P$519, 5, FALSE), ""), "")</f>
        <v>Hygiene - Eye Care</v>
      </c>
      <c r="H249" s="69" t="str">
        <f>_xlfn.IFNA(IF('Interactive Selection Sheet'!A68 = "", VLOOKUP('Interactive Selection Sheet'!$B68, 'Master List Import'!$A$1:$P$519, 6, FALSE), ""), "")</f>
        <v>Both</v>
      </c>
      <c r="I249" s="72">
        <f>_xlfn.IFNA(IF('Interactive Selection Sheet'!A68 = "", VLOOKUP('Interactive Selection Sheet'!$B68, 'Master List Import'!$A$1:$P$519, 7, FALSE), ""), "")</f>
        <v>1.3</v>
      </c>
      <c r="J249" s="69" t="str">
        <f>_xlfn.IFNA(IF('Interactive Selection Sheet'!A68 = "", VLOOKUP('Interactive Selection Sheet'!$B68, 'Master List Import'!$A$1:$P$519, 8, FALSE), ""), "")</f>
        <v>REI</v>
      </c>
      <c r="K249" s="69" t="str">
        <f>_xlfn.IFNA(IF('Interactive Selection Sheet'!A68 = "", VLOOKUP('Interactive Selection Sheet'!$B68, 'Master List Import'!$A$1:$P$519, 9, FALSE), ""), "")</f>
        <v>411034</v>
      </c>
      <c r="L249" s="69">
        <f>_xlfn.IFNA(IF('Interactive Selection Sheet'!A68 = "", VLOOKUP('Interactive Selection Sheet'!$B68, 'Master List Import'!$A$1:$P$519, 10, FALSE), ""), "")</f>
        <v>0</v>
      </c>
      <c r="M249" s="69">
        <f>_xlfn.IFNA(IF('Interactive Selection Sheet'!A68 = "", VLOOKUP('Interactive Selection Sheet'!$B68, 'Master List Import'!$A$1:$P$519, 11, FALSE), ""), "")</f>
        <v>0</v>
      </c>
      <c r="N249" s="69">
        <f>_xlfn.IFNA(IF('Interactive Selection Sheet'!A68 = "", VLOOKUP('Interactive Selection Sheet'!$B68, 'Master List Import'!$A$1:$P$519, 12, FALSE), ""), "")</f>
        <v>1</v>
      </c>
      <c r="O249" s="69">
        <f>_xlfn.IFNA(IF('Interactive Selection Sheet'!A68 = "", VLOOKUP('Interactive Selection Sheet'!$B68, 'Master List Import'!$A$1:$P$519, 13, FALSE), ""), "")</f>
        <v>5637</v>
      </c>
      <c r="P249" s="69" t="str">
        <f>_xlfn.IFNA(IF('Interactive Selection Sheet'!A68 = "", VLOOKUP('Interactive Selection Sheet'!$B68, 'Master List Import'!$A$1:$P$519, 14, FALSE), ""), "")</f>
        <v>Reading Glasses (2.75)</v>
      </c>
      <c r="Q249" s="69">
        <f>_xlfn.IFNA(IF('Interactive Selection Sheet'!A68 = "", VLOOKUP('Interactive Selection Sheet'!$B68, 'Master List Import'!$A$1:$P$519, 15, FALSE), ""), "")</f>
        <v>1</v>
      </c>
      <c r="R249" s="74">
        <f>_xlfn.IFNA(IF('Interactive Selection Sheet'!A68 = "", VLOOKUP('Interactive Selection Sheet'!$B68, 'Master List Import'!$A$1:$P$519, 16, FALSE), ""), "")</f>
        <v>8.6999999999999993</v>
      </c>
    </row>
    <row r="250" spans="1:18" ht="21.75" customHeight="1" x14ac:dyDescent="0.25">
      <c r="A250" s="69">
        <f>_xlfn.IFNA(IF('Interactive Selection Sheet'!A69 = "", VLOOKUP('Interactive Selection Sheet'!$B69, 'Master List Import'!$A$1:$P$519, 2, FALSE), ""), "")</f>
        <v>5638</v>
      </c>
      <c r="B250" s="69" t="str">
        <f>_xlfn.IFNA(IF('Interactive Selection Sheet'!A69 = "", VLOOKUP('Interactive Selection Sheet'!$B69, 'Master List Import'!$A$1:$P$519, 3, FALSE), ""), "")</f>
        <v>Reading Glasses - Strength 3.00</v>
      </c>
      <c r="C250" s="76">
        <f>IF('Interactive Selection Sheet'!$T$2="", "", IF(B250="","",'Interactive Selection Sheet'!$T$2))</f>
        <v>3.5000000000000003E-2</v>
      </c>
      <c r="D250" s="70">
        <f>IF(B250 = "", "", 'Interactive Selection Sheet'!$Q$2)</f>
        <v>4.4999999999999998E-2</v>
      </c>
      <c r="E250" s="70">
        <f>IF(B250="","", 'Interactive Selection Sheet'!$R$2)</f>
        <v>0.02</v>
      </c>
      <c r="F250" s="69" t="str">
        <f>_xlfn.IFNA(IF('Interactive Selection Sheet'!A69 = "", VLOOKUP('Interactive Selection Sheet'!$B69, 'Master List Import'!$A$1:$P$519, 4, FALSE), ""), "")</f>
        <v>Hygiene - Eye Care</v>
      </c>
      <c r="G250" s="69" t="str">
        <f>_xlfn.IFNA(IF('Interactive Selection Sheet'!A69 = "", VLOOKUP('Interactive Selection Sheet'!$B69, 'Master List Import'!$A$1:$P$519, 5, FALSE), ""), "")</f>
        <v>Hygiene - Eye Care</v>
      </c>
      <c r="H250" s="69" t="str">
        <f>_xlfn.IFNA(IF('Interactive Selection Sheet'!A69 = "", VLOOKUP('Interactive Selection Sheet'!$B69, 'Master List Import'!$A$1:$P$519, 6, FALSE), ""), "")</f>
        <v>Both</v>
      </c>
      <c r="I250" s="72">
        <f>_xlfn.IFNA(IF('Interactive Selection Sheet'!A69 = "", VLOOKUP('Interactive Selection Sheet'!$B69, 'Master List Import'!$A$1:$P$519, 7, FALSE), ""), "")</f>
        <v>1.3</v>
      </c>
      <c r="J250" s="69" t="str">
        <f>_xlfn.IFNA(IF('Interactive Selection Sheet'!A69 = "", VLOOKUP('Interactive Selection Sheet'!$B69, 'Master List Import'!$A$1:$P$519, 8, FALSE), ""), "")</f>
        <v>REI</v>
      </c>
      <c r="K250" s="69" t="str">
        <f>_xlfn.IFNA(IF('Interactive Selection Sheet'!A69 = "", VLOOKUP('Interactive Selection Sheet'!$B69, 'Master List Import'!$A$1:$P$519, 9, FALSE), ""), "")</f>
        <v>411035</v>
      </c>
      <c r="L250" s="69">
        <f>_xlfn.IFNA(IF('Interactive Selection Sheet'!A69 = "", VLOOKUP('Interactive Selection Sheet'!$B69, 'Master List Import'!$A$1:$P$519, 10, FALSE), ""), "")</f>
        <v>0</v>
      </c>
      <c r="M250" s="69">
        <f>_xlfn.IFNA(IF('Interactive Selection Sheet'!A69 = "", VLOOKUP('Interactive Selection Sheet'!$B69, 'Master List Import'!$A$1:$P$519, 11, FALSE), ""), "")</f>
        <v>0</v>
      </c>
      <c r="N250" s="69">
        <f>_xlfn.IFNA(IF('Interactive Selection Sheet'!A69 = "", VLOOKUP('Interactive Selection Sheet'!$B69, 'Master List Import'!$A$1:$P$519, 12, FALSE), ""), "")</f>
        <v>1</v>
      </c>
      <c r="O250" s="69">
        <f>_xlfn.IFNA(IF('Interactive Selection Sheet'!A69 = "", VLOOKUP('Interactive Selection Sheet'!$B69, 'Master List Import'!$A$1:$P$519, 13, FALSE), ""), "")</f>
        <v>5638</v>
      </c>
      <c r="P250" s="69" t="str">
        <f>_xlfn.IFNA(IF('Interactive Selection Sheet'!A69 = "", VLOOKUP('Interactive Selection Sheet'!$B69, 'Master List Import'!$A$1:$P$519, 14, FALSE), ""), "")</f>
        <v>Reading Glasses (3.00)</v>
      </c>
      <c r="Q250" s="69">
        <f>_xlfn.IFNA(IF('Interactive Selection Sheet'!A69 = "", VLOOKUP('Interactive Selection Sheet'!$B69, 'Master List Import'!$A$1:$P$519, 15, FALSE), ""), "")</f>
        <v>1</v>
      </c>
      <c r="R250" s="74">
        <f>_xlfn.IFNA(IF('Interactive Selection Sheet'!A69 = "", VLOOKUP('Interactive Selection Sheet'!$B69, 'Master List Import'!$A$1:$P$519, 16, FALSE), ""), "")</f>
        <v>8.6999999999999993</v>
      </c>
    </row>
    <row r="251" spans="1:18" ht="21.75" customHeight="1" x14ac:dyDescent="0.25">
      <c r="A251" s="69">
        <f>_xlfn.IFNA(IF('Interactive Selection Sheet'!A70 = "", VLOOKUP('Interactive Selection Sheet'!$B70, 'Master List Import'!$A$1:$P$519, 2, FALSE), ""), "")</f>
        <v>5639</v>
      </c>
      <c r="B251" s="69" t="str">
        <f>_xlfn.IFNA(IF('Interactive Selection Sheet'!A70 = "", VLOOKUP('Interactive Selection Sheet'!$B70, 'Master List Import'!$A$1:$P$519, 3, FALSE), ""), "")</f>
        <v>Reading Glasses - Strength 3.25</v>
      </c>
      <c r="C251" s="76">
        <f>IF('Interactive Selection Sheet'!$T$2="", "", IF(B251="","",'Interactive Selection Sheet'!$T$2))</f>
        <v>3.5000000000000003E-2</v>
      </c>
      <c r="D251" s="70">
        <f>IF(B251 = "", "", 'Interactive Selection Sheet'!$Q$2)</f>
        <v>4.4999999999999998E-2</v>
      </c>
      <c r="E251" s="70">
        <f>IF(B251="","", 'Interactive Selection Sheet'!$R$2)</f>
        <v>0.02</v>
      </c>
      <c r="F251" s="69" t="str">
        <f>_xlfn.IFNA(IF('Interactive Selection Sheet'!A70 = "", VLOOKUP('Interactive Selection Sheet'!$B70, 'Master List Import'!$A$1:$P$519, 4, FALSE), ""), "")</f>
        <v>Hygiene - Eye Care</v>
      </c>
      <c r="G251" s="69" t="str">
        <f>_xlfn.IFNA(IF('Interactive Selection Sheet'!A70 = "", VLOOKUP('Interactive Selection Sheet'!$B70, 'Master List Import'!$A$1:$P$519, 5, FALSE), ""), "")</f>
        <v>Hygiene - Eye Care</v>
      </c>
      <c r="H251" s="69" t="str">
        <f>_xlfn.IFNA(IF('Interactive Selection Sheet'!A70 = "", VLOOKUP('Interactive Selection Sheet'!$B70, 'Master List Import'!$A$1:$P$519, 6, FALSE), ""), "")</f>
        <v>Both</v>
      </c>
      <c r="I251" s="72">
        <f>_xlfn.IFNA(IF('Interactive Selection Sheet'!A70 = "", VLOOKUP('Interactive Selection Sheet'!$B70, 'Master List Import'!$A$1:$P$519, 7, FALSE), ""), "")</f>
        <v>1.3</v>
      </c>
      <c r="J251" s="69" t="str">
        <f>_xlfn.IFNA(IF('Interactive Selection Sheet'!A70 = "", VLOOKUP('Interactive Selection Sheet'!$B70, 'Master List Import'!$A$1:$P$519, 8, FALSE), ""), "")</f>
        <v>REI</v>
      </c>
      <c r="K251" s="69" t="str">
        <f>_xlfn.IFNA(IF('Interactive Selection Sheet'!A70 = "", VLOOKUP('Interactive Selection Sheet'!$B70, 'Master List Import'!$A$1:$P$519, 9, FALSE), ""), "")</f>
        <v>411036</v>
      </c>
      <c r="L251" s="69">
        <f>_xlfn.IFNA(IF('Interactive Selection Sheet'!A70 = "", VLOOKUP('Interactive Selection Sheet'!$B70, 'Master List Import'!$A$1:$P$519, 10, FALSE), ""), "")</f>
        <v>0</v>
      </c>
      <c r="M251" s="69">
        <f>_xlfn.IFNA(IF('Interactive Selection Sheet'!A70 = "", VLOOKUP('Interactive Selection Sheet'!$B70, 'Master List Import'!$A$1:$P$519, 11, FALSE), ""), "")</f>
        <v>0</v>
      </c>
      <c r="N251" s="69">
        <f>_xlfn.IFNA(IF('Interactive Selection Sheet'!A70 = "", VLOOKUP('Interactive Selection Sheet'!$B70, 'Master List Import'!$A$1:$P$519, 12, FALSE), ""), "")</f>
        <v>1</v>
      </c>
      <c r="O251" s="69">
        <f>_xlfn.IFNA(IF('Interactive Selection Sheet'!A70 = "", VLOOKUP('Interactive Selection Sheet'!$B70, 'Master List Import'!$A$1:$P$519, 13, FALSE), ""), "")</f>
        <v>5639</v>
      </c>
      <c r="P251" s="69" t="str">
        <f>_xlfn.IFNA(IF('Interactive Selection Sheet'!A70 = "", VLOOKUP('Interactive Selection Sheet'!$B70, 'Master List Import'!$A$1:$P$519, 14, FALSE), ""), "")</f>
        <v>Reading Glasses (3.25)</v>
      </c>
      <c r="Q251" s="69">
        <f>_xlfn.IFNA(IF('Interactive Selection Sheet'!A70 = "", VLOOKUP('Interactive Selection Sheet'!$B70, 'Master List Import'!$A$1:$P$519, 15, FALSE), ""), "")</f>
        <v>1</v>
      </c>
      <c r="R251" s="74">
        <f>_xlfn.IFNA(IF('Interactive Selection Sheet'!A70 = "", VLOOKUP('Interactive Selection Sheet'!$B70, 'Master List Import'!$A$1:$P$519, 16, FALSE), ""), "")</f>
        <v>8.6999999999999993</v>
      </c>
    </row>
    <row r="252" spans="1:18" ht="21.75" customHeight="1" x14ac:dyDescent="0.25">
      <c r="A252" s="69">
        <f>_xlfn.IFNA(IF('Interactive Selection Sheet'!A71 = "", VLOOKUP('Interactive Selection Sheet'!$B71, 'Master List Import'!$A$1:$P$519, 2, FALSE), ""), "")</f>
        <v>5640</v>
      </c>
      <c r="B252" s="69" t="str">
        <f>_xlfn.IFNA(IF('Interactive Selection Sheet'!A71 = "", VLOOKUP('Interactive Selection Sheet'!$B71, 'Master List Import'!$A$1:$P$519, 3, FALSE), ""), "")</f>
        <v>Reading Glasses - Strength 3.50</v>
      </c>
      <c r="C252" s="76">
        <f>IF('Interactive Selection Sheet'!$T$2="", "", IF(B252="","",'Interactive Selection Sheet'!$T$2))</f>
        <v>3.5000000000000003E-2</v>
      </c>
      <c r="D252" s="70">
        <f>IF(B252 = "", "", 'Interactive Selection Sheet'!$Q$2)</f>
        <v>4.4999999999999998E-2</v>
      </c>
      <c r="E252" s="70">
        <f>IF(B252="","", 'Interactive Selection Sheet'!$R$2)</f>
        <v>0.02</v>
      </c>
      <c r="F252" s="69" t="str">
        <f>_xlfn.IFNA(IF('Interactive Selection Sheet'!A71 = "", VLOOKUP('Interactive Selection Sheet'!$B71, 'Master List Import'!$A$1:$P$519, 4, FALSE), ""), "")</f>
        <v>Hygiene - Eye Care</v>
      </c>
      <c r="G252" s="69" t="str">
        <f>_xlfn.IFNA(IF('Interactive Selection Sheet'!A71 = "", VLOOKUP('Interactive Selection Sheet'!$B71, 'Master List Import'!$A$1:$P$519, 5, FALSE), ""), "")</f>
        <v>Hygiene - Eye Care</v>
      </c>
      <c r="H252" s="69" t="str">
        <f>_xlfn.IFNA(IF('Interactive Selection Sheet'!A71 = "", VLOOKUP('Interactive Selection Sheet'!$B71, 'Master List Import'!$A$1:$P$519, 6, FALSE), ""), "")</f>
        <v>Both</v>
      </c>
      <c r="I252" s="72">
        <f>_xlfn.IFNA(IF('Interactive Selection Sheet'!A71 = "", VLOOKUP('Interactive Selection Sheet'!$B71, 'Master List Import'!$A$1:$P$519, 7, FALSE), ""), "")</f>
        <v>1.3</v>
      </c>
      <c r="J252" s="69" t="str">
        <f>_xlfn.IFNA(IF('Interactive Selection Sheet'!A71 = "", VLOOKUP('Interactive Selection Sheet'!$B71, 'Master List Import'!$A$1:$P$519, 8, FALSE), ""), "")</f>
        <v>REI</v>
      </c>
      <c r="K252" s="69" t="str">
        <f>_xlfn.IFNA(IF('Interactive Selection Sheet'!A71 = "", VLOOKUP('Interactive Selection Sheet'!$B71, 'Master List Import'!$A$1:$P$519, 9, FALSE), ""), "")</f>
        <v>411037</v>
      </c>
      <c r="L252" s="69">
        <f>_xlfn.IFNA(IF('Interactive Selection Sheet'!A71 = "", VLOOKUP('Interactive Selection Sheet'!$B71, 'Master List Import'!$A$1:$P$519, 10, FALSE), ""), "")</f>
        <v>0</v>
      </c>
      <c r="M252" s="69">
        <f>_xlfn.IFNA(IF('Interactive Selection Sheet'!A71 = "", VLOOKUP('Interactive Selection Sheet'!$B71, 'Master List Import'!$A$1:$P$519, 11, FALSE), ""), "")</f>
        <v>0</v>
      </c>
      <c r="N252" s="69">
        <f>_xlfn.IFNA(IF('Interactive Selection Sheet'!A71 = "", VLOOKUP('Interactive Selection Sheet'!$B71, 'Master List Import'!$A$1:$P$519, 12, FALSE), ""), "")</f>
        <v>1</v>
      </c>
      <c r="O252" s="69">
        <f>_xlfn.IFNA(IF('Interactive Selection Sheet'!A71 = "", VLOOKUP('Interactive Selection Sheet'!$B71, 'Master List Import'!$A$1:$P$519, 13, FALSE), ""), "")</f>
        <v>5640</v>
      </c>
      <c r="P252" s="69" t="str">
        <f>_xlfn.IFNA(IF('Interactive Selection Sheet'!A71 = "", VLOOKUP('Interactive Selection Sheet'!$B71, 'Master List Import'!$A$1:$P$519, 14, FALSE), ""), "")</f>
        <v>Reading Glasses (3.50)</v>
      </c>
      <c r="Q252" s="69">
        <f>_xlfn.IFNA(IF('Interactive Selection Sheet'!A71 = "", VLOOKUP('Interactive Selection Sheet'!$B71, 'Master List Import'!$A$1:$P$519, 15, FALSE), ""), "")</f>
        <v>1</v>
      </c>
      <c r="R252" s="74">
        <f>_xlfn.IFNA(IF('Interactive Selection Sheet'!A71 = "", VLOOKUP('Interactive Selection Sheet'!$B71, 'Master List Import'!$A$1:$P$519, 16, FALSE), ""), "")</f>
        <v>8.6999999999999993</v>
      </c>
    </row>
    <row r="253" spans="1:18" ht="21.75" customHeight="1" x14ac:dyDescent="0.25">
      <c r="A253" s="69">
        <f>_xlfn.IFNA(IF('Interactive Selection Sheet'!F58= "", VLOOKUP('Interactive Selection Sheet'!$G58, 'Master List Import'!$A$1:$P$519, 2, FALSE), ""), "")</f>
        <v>5700</v>
      </c>
      <c r="B253" s="69" t="str">
        <f>_xlfn.IFNA(IF('Interactive Selection Sheet'!F58= "", VLOOKUP('Interactive Selection Sheet'!$G58, 'Master List Import'!$A$1:$P$519, 3, FALSE), ""), "")</f>
        <v>Acetaminophen, 2pk</v>
      </c>
      <c r="C253" s="76">
        <f>IF('Interactive Selection Sheet'!$T$2="", "", IF(B253="","",'Interactive Selection Sheet'!$T$2))</f>
        <v>3.5000000000000003E-2</v>
      </c>
      <c r="D253" s="70">
        <f>IF(B253 = "", "", 'Interactive Selection Sheet'!$Q$2)</f>
        <v>4.4999999999999998E-2</v>
      </c>
      <c r="E253" s="70">
        <f>IF(B253="","", 'Interactive Selection Sheet'!$R$2)</f>
        <v>0.02</v>
      </c>
      <c r="F253" s="69" t="str">
        <f>_xlfn.IFNA(IF('Interactive Selection Sheet'!F58= "", VLOOKUP('Interactive Selection Sheet'!$G58, 'Master List Import'!$A$1:$P$519, 4, FALSE), ""), "")</f>
        <v>Medicine</v>
      </c>
      <c r="G253" s="69" t="str">
        <f>_xlfn.IFNA(IF('Interactive Selection Sheet'!F58= "", VLOOKUP('Interactive Selection Sheet'!$G58, 'Master List Import'!$A$1:$P$519, 5, FALSE), ""), "")</f>
        <v>Medicine</v>
      </c>
      <c r="H253" s="69" t="str">
        <f>_xlfn.IFNA(IF('Interactive Selection Sheet'!F58= "", VLOOKUP('Interactive Selection Sheet'!$G58, 'Master List Import'!$A$1:$P$519, 6, FALSE), ""), "")</f>
        <v>Both</v>
      </c>
      <c r="I253" s="72">
        <f>_xlfn.IFNA(IF('Interactive Selection Sheet'!F58= "", VLOOKUP('Interactive Selection Sheet'!$G58, 'Master List Import'!$A$1:$P$519, 7, FALSE), ""), "")</f>
        <v>0.09</v>
      </c>
      <c r="J253" s="69" t="str">
        <f>_xlfn.IFNA(IF('Interactive Selection Sheet'!F58= "", VLOOKUP('Interactive Selection Sheet'!$G58, 'Master List Import'!$A$1:$P$519, 8, FALSE), ""), "")</f>
        <v>REI</v>
      </c>
      <c r="K253" s="69" t="str">
        <f>_xlfn.IFNA(IF('Interactive Selection Sheet'!F58= "", VLOOKUP('Interactive Selection Sheet'!$G58, 'Master List Import'!$A$1:$P$519, 9, FALSE), ""), "")</f>
        <v>384200</v>
      </c>
      <c r="L253" s="69">
        <f>_xlfn.IFNA(IF('Interactive Selection Sheet'!F58= "", VLOOKUP('Interactive Selection Sheet'!$G58, 'Master List Import'!$A$1:$P$519, 10, FALSE), ""), "")</f>
        <v>0</v>
      </c>
      <c r="M253" s="69">
        <f>_xlfn.IFNA(IF('Interactive Selection Sheet'!F58= "", VLOOKUP('Interactive Selection Sheet'!$G58, 'Master List Import'!$A$1:$P$519, 11, FALSE), ""), "")</f>
        <v>0</v>
      </c>
      <c r="N253" s="69">
        <f>_xlfn.IFNA(IF('Interactive Selection Sheet'!F58= "", VLOOKUP('Interactive Selection Sheet'!$G58, 'Master List Import'!$A$1:$P$519, 12, FALSE), ""), "")</f>
        <v>250</v>
      </c>
      <c r="O253" s="69">
        <f>_xlfn.IFNA(IF('Interactive Selection Sheet'!F58= "", VLOOKUP('Interactive Selection Sheet'!$G58, 'Master List Import'!$A$1:$P$519, 13, FALSE), ""), "")</f>
        <v>5700</v>
      </c>
      <c r="P253" s="69" t="str">
        <f>_xlfn.IFNA(IF('Interactive Selection Sheet'!F58= "", VLOOKUP('Interactive Selection Sheet'!$G58, 'Master List Import'!$A$1:$P$519, 14, FALSE), ""), "")</f>
        <v>Acetaminophen (2pk)</v>
      </c>
      <c r="Q253" s="69">
        <f>_xlfn.IFNA(IF('Interactive Selection Sheet'!F58= "", VLOOKUP('Interactive Selection Sheet'!$G58, 'Master List Import'!$A$1:$P$519, 15, FALSE), ""), "")</f>
        <v>1</v>
      </c>
      <c r="R253" s="74">
        <f>_xlfn.IFNA(IF('Interactive Selection Sheet'!F58= "", VLOOKUP('Interactive Selection Sheet'!$G58, 'Master List Import'!$A$1:$P$519, 16, FALSE), ""), "")</f>
        <v>1</v>
      </c>
    </row>
    <row r="254" spans="1:18" ht="21.75" customHeight="1" x14ac:dyDescent="0.25">
      <c r="A254" s="69">
        <f>_xlfn.IFNA(IF('Interactive Selection Sheet'!F59= "", VLOOKUP('Interactive Selection Sheet'!$G59, 'Master List Import'!$A$1:$P$519, 2, FALSE), ""), "")</f>
        <v>5701</v>
      </c>
      <c r="B254" s="69" t="str">
        <f>_xlfn.IFNA(IF('Interactive Selection Sheet'!F59= "", VLOOKUP('Interactive Selection Sheet'!$G59, 'Master List Import'!$A$1:$P$519, 3, FALSE), ""), "")</f>
        <v>Ibuprofen, 2pk</v>
      </c>
      <c r="C254" s="76">
        <f>IF('Interactive Selection Sheet'!$T$2="", "", IF(B254="","",'Interactive Selection Sheet'!$T$2))</f>
        <v>3.5000000000000003E-2</v>
      </c>
      <c r="D254" s="70">
        <f>IF(B254 = "", "", 'Interactive Selection Sheet'!$Q$2)</f>
        <v>4.4999999999999998E-2</v>
      </c>
      <c r="E254" s="70">
        <f>IF(B254="","", 'Interactive Selection Sheet'!$R$2)</f>
        <v>0.02</v>
      </c>
      <c r="F254" s="69" t="str">
        <f>_xlfn.IFNA(IF('Interactive Selection Sheet'!F59= "", VLOOKUP('Interactive Selection Sheet'!$G59, 'Master List Import'!$A$1:$P$519, 4, FALSE), ""), "")</f>
        <v>Medicine</v>
      </c>
      <c r="G254" s="69" t="str">
        <f>_xlfn.IFNA(IF('Interactive Selection Sheet'!F59= "", VLOOKUP('Interactive Selection Sheet'!$G59, 'Master List Import'!$A$1:$P$519, 5, FALSE), ""), "")</f>
        <v>Medicine</v>
      </c>
      <c r="H254" s="69" t="str">
        <f>_xlfn.IFNA(IF('Interactive Selection Sheet'!F59= "", VLOOKUP('Interactive Selection Sheet'!$G59, 'Master List Import'!$A$1:$P$519, 6, FALSE), ""), "")</f>
        <v>Both</v>
      </c>
      <c r="I254" s="72">
        <f>_xlfn.IFNA(IF('Interactive Selection Sheet'!F59= "", VLOOKUP('Interactive Selection Sheet'!$G59, 'Master List Import'!$A$1:$P$519, 7, FALSE), ""), "")</f>
        <v>0.1</v>
      </c>
      <c r="J254" s="69" t="str">
        <f>_xlfn.IFNA(IF('Interactive Selection Sheet'!F59= "", VLOOKUP('Interactive Selection Sheet'!$G59, 'Master List Import'!$A$1:$P$519, 8, FALSE), ""), "")</f>
        <v>REI</v>
      </c>
      <c r="K254" s="69" t="str">
        <f>_xlfn.IFNA(IF('Interactive Selection Sheet'!F59= "", VLOOKUP('Interactive Selection Sheet'!$G59, 'Master List Import'!$A$1:$P$519, 9, FALSE), ""), "")</f>
        <v>384201</v>
      </c>
      <c r="L254" s="69">
        <f>_xlfn.IFNA(IF('Interactive Selection Sheet'!F59= "", VLOOKUP('Interactive Selection Sheet'!$G59, 'Master List Import'!$A$1:$P$519, 10, FALSE), ""), "")</f>
        <v>0</v>
      </c>
      <c r="M254" s="69">
        <f>_xlfn.IFNA(IF('Interactive Selection Sheet'!F59= "", VLOOKUP('Interactive Selection Sheet'!$G59, 'Master List Import'!$A$1:$P$519, 11, FALSE), ""), "")</f>
        <v>0</v>
      </c>
      <c r="N254" s="69">
        <f>_xlfn.IFNA(IF('Interactive Selection Sheet'!F59= "", VLOOKUP('Interactive Selection Sheet'!$G59, 'Master List Import'!$A$1:$P$519, 12, FALSE), ""), "")</f>
        <v>250</v>
      </c>
      <c r="O254" s="69">
        <f>_xlfn.IFNA(IF('Interactive Selection Sheet'!F59= "", VLOOKUP('Interactive Selection Sheet'!$G59, 'Master List Import'!$A$1:$P$519, 13, FALSE), ""), "")</f>
        <v>5701</v>
      </c>
      <c r="P254" s="69" t="str">
        <f>_xlfn.IFNA(IF('Interactive Selection Sheet'!F59= "", VLOOKUP('Interactive Selection Sheet'!$G59, 'Master List Import'!$A$1:$P$519, 14, FALSE), ""), "")</f>
        <v>Ibuprofen (2pk)</v>
      </c>
      <c r="Q254" s="69">
        <f>_xlfn.IFNA(IF('Interactive Selection Sheet'!F59= "", VLOOKUP('Interactive Selection Sheet'!$G59, 'Master List Import'!$A$1:$P$519, 15, FALSE), ""), "")</f>
        <v>1</v>
      </c>
      <c r="R254" s="74">
        <f>_xlfn.IFNA(IF('Interactive Selection Sheet'!F59= "", VLOOKUP('Interactive Selection Sheet'!$G59, 'Master List Import'!$A$1:$P$519, 16, FALSE), ""), "")</f>
        <v>0.7</v>
      </c>
    </row>
    <row r="255" spans="1:18" ht="21.75" customHeight="1" x14ac:dyDescent="0.25">
      <c r="A255" s="69">
        <f>_xlfn.IFNA(IF('Interactive Selection Sheet'!F60= "", VLOOKUP('Interactive Selection Sheet'!$G60, 'Master List Import'!$A$1:$P$519, 2, FALSE), ""), "")</f>
        <v>5710</v>
      </c>
      <c r="B255" s="69" t="str">
        <f>_xlfn.IFNA(IF('Interactive Selection Sheet'!F60= "", VLOOKUP('Interactive Selection Sheet'!$G60, 'Master List Import'!$A$1:$P$519, 3, FALSE), ""), "")</f>
        <v>Alka Seltzer Original, 2pk - 58/cs</v>
      </c>
      <c r="C255" s="76">
        <f>IF('Interactive Selection Sheet'!$T$2="", "", IF(B255="","",'Interactive Selection Sheet'!$T$2))</f>
        <v>3.5000000000000003E-2</v>
      </c>
      <c r="D255" s="70">
        <f>IF(B255 = "", "", 'Interactive Selection Sheet'!$Q$2)</f>
        <v>4.4999999999999998E-2</v>
      </c>
      <c r="E255" s="70">
        <f>IF(B255="","", 'Interactive Selection Sheet'!$R$2)</f>
        <v>0.02</v>
      </c>
      <c r="F255" s="69" t="str">
        <f>_xlfn.IFNA(IF('Interactive Selection Sheet'!F60= "", VLOOKUP('Interactive Selection Sheet'!$G60, 'Master List Import'!$A$1:$P$519, 4, FALSE), ""), "")</f>
        <v>Medicine</v>
      </c>
      <c r="G255" s="69" t="str">
        <f>_xlfn.IFNA(IF('Interactive Selection Sheet'!F60= "", VLOOKUP('Interactive Selection Sheet'!$G60, 'Master List Import'!$A$1:$P$519, 5, FALSE), ""), "")</f>
        <v>Medicine</v>
      </c>
      <c r="H255" s="69" t="str">
        <f>_xlfn.IFNA(IF('Interactive Selection Sheet'!F60= "", VLOOKUP('Interactive Selection Sheet'!$G60, 'Master List Import'!$A$1:$P$519, 6, FALSE), ""), "")</f>
        <v>Both</v>
      </c>
      <c r="I255" s="72">
        <f>_xlfn.IFNA(IF('Interactive Selection Sheet'!F60= "", VLOOKUP('Interactive Selection Sheet'!$G60, 'Master List Import'!$A$1:$P$519, 7, FALSE), ""), "")</f>
        <v>0.28000000000000003</v>
      </c>
      <c r="J255" s="69" t="str">
        <f>_xlfn.IFNA(IF('Interactive Selection Sheet'!F60= "", VLOOKUP('Interactive Selection Sheet'!$G60, 'Master List Import'!$A$1:$P$519, 8, FALSE), ""), "")</f>
        <v>REI</v>
      </c>
      <c r="K255" s="69" t="str">
        <f>_xlfn.IFNA(IF('Interactive Selection Sheet'!F60= "", VLOOKUP('Interactive Selection Sheet'!$G60, 'Master List Import'!$A$1:$P$519, 9, FALSE), ""), "")</f>
        <v>384159</v>
      </c>
      <c r="L255" s="69">
        <f>_xlfn.IFNA(IF('Interactive Selection Sheet'!F60= "", VLOOKUP('Interactive Selection Sheet'!$G60, 'Master List Import'!$A$1:$P$519, 10, FALSE), ""), "")</f>
        <v>0</v>
      </c>
      <c r="M255" s="69">
        <f>_xlfn.IFNA(IF('Interactive Selection Sheet'!F60= "", VLOOKUP('Interactive Selection Sheet'!$G60, 'Master List Import'!$A$1:$P$519, 11, FALSE), ""), "")</f>
        <v>0</v>
      </c>
      <c r="N255" s="69">
        <f>_xlfn.IFNA(IF('Interactive Selection Sheet'!F60= "", VLOOKUP('Interactive Selection Sheet'!$G60, 'Master List Import'!$A$1:$P$519, 12, FALSE), ""), "")</f>
        <v>50</v>
      </c>
      <c r="O255" s="69">
        <f>_xlfn.IFNA(IF('Interactive Selection Sheet'!F60= "", VLOOKUP('Interactive Selection Sheet'!$G60, 'Master List Import'!$A$1:$P$519, 13, FALSE), ""), "")</f>
        <v>5710</v>
      </c>
      <c r="P255" s="69" t="str">
        <f>_xlfn.IFNA(IF('Interactive Selection Sheet'!F60= "", VLOOKUP('Interactive Selection Sheet'!$G60, 'Master List Import'!$A$1:$P$519, 14, FALSE), ""), "")</f>
        <v>Alka Seltzer (2pk)</v>
      </c>
      <c r="Q255" s="69">
        <f>_xlfn.IFNA(IF('Interactive Selection Sheet'!F60= "", VLOOKUP('Interactive Selection Sheet'!$G60, 'Master List Import'!$A$1:$P$519, 15, FALSE), ""), "")</f>
        <v>1</v>
      </c>
      <c r="R255" s="74">
        <f>_xlfn.IFNA(IF('Interactive Selection Sheet'!F60= "", VLOOKUP('Interactive Selection Sheet'!$G60, 'Master List Import'!$A$1:$P$519, 16, FALSE), ""), "")</f>
        <v>0.9</v>
      </c>
    </row>
    <row r="256" spans="1:18" ht="21.75" customHeight="1" x14ac:dyDescent="0.25">
      <c r="A256" s="69">
        <f>_xlfn.IFNA(IF('Interactive Selection Sheet'!F61= "", VLOOKUP('Interactive Selection Sheet'!$G61, 'Master List Import'!$A$1:$P$519, 2, FALSE), ""), "")</f>
        <v>5711</v>
      </c>
      <c r="B256" s="69" t="str">
        <f>_xlfn.IFNA(IF('Interactive Selection Sheet'!F61= "", VLOOKUP('Interactive Selection Sheet'!$G61, 'Master List Import'!$A$1:$P$519, 3, FALSE), ""), "")</f>
        <v>Sinus Pain &amp; Pressure, 2pk - 250/cs</v>
      </c>
      <c r="C256" s="76">
        <f>IF('Interactive Selection Sheet'!$T$2="", "", IF(B256="","",'Interactive Selection Sheet'!$T$2))</f>
        <v>3.5000000000000003E-2</v>
      </c>
      <c r="D256" s="70">
        <f>IF(B256 = "", "", 'Interactive Selection Sheet'!$Q$2)</f>
        <v>4.4999999999999998E-2</v>
      </c>
      <c r="E256" s="70">
        <f>IF(B256="","", 'Interactive Selection Sheet'!$R$2)</f>
        <v>0.02</v>
      </c>
      <c r="F256" s="69" t="str">
        <f>_xlfn.IFNA(IF('Interactive Selection Sheet'!F61= "", VLOOKUP('Interactive Selection Sheet'!$G61, 'Master List Import'!$A$1:$P$519, 4, FALSE), ""), "")</f>
        <v>Medicine</v>
      </c>
      <c r="G256" s="69" t="str">
        <f>_xlfn.IFNA(IF('Interactive Selection Sheet'!F61= "", VLOOKUP('Interactive Selection Sheet'!$G61, 'Master List Import'!$A$1:$P$519, 5, FALSE), ""), "")</f>
        <v>Medicine</v>
      </c>
      <c r="H256" s="69" t="str">
        <f>_xlfn.IFNA(IF('Interactive Selection Sheet'!F61= "", VLOOKUP('Interactive Selection Sheet'!$G61, 'Master List Import'!$A$1:$P$519, 6, FALSE), ""), "")</f>
        <v>Both</v>
      </c>
      <c r="I256" s="72">
        <f>_xlfn.IFNA(IF('Interactive Selection Sheet'!F61= "", VLOOKUP('Interactive Selection Sheet'!$G61, 'Master List Import'!$A$1:$P$519, 7, FALSE), ""), "")</f>
        <v>7.3999999999999996E-2</v>
      </c>
      <c r="J256" s="69" t="str">
        <f>_xlfn.IFNA(IF('Interactive Selection Sheet'!F61= "", VLOOKUP('Interactive Selection Sheet'!$G61, 'Master List Import'!$A$1:$P$519, 8, FALSE), ""), "")</f>
        <v>REI</v>
      </c>
      <c r="K256" s="69" t="str">
        <f>_xlfn.IFNA(IF('Interactive Selection Sheet'!F61= "", VLOOKUP('Interactive Selection Sheet'!$G61, 'Master List Import'!$A$1:$P$519, 9, FALSE), ""), "")</f>
        <v>384203</v>
      </c>
      <c r="L256" s="69">
        <f>_xlfn.IFNA(IF('Interactive Selection Sheet'!F61= "", VLOOKUP('Interactive Selection Sheet'!$G61, 'Master List Import'!$A$1:$P$519, 10, FALSE), ""), "")</f>
        <v>0</v>
      </c>
      <c r="M256" s="69">
        <f>_xlfn.IFNA(IF('Interactive Selection Sheet'!F61= "", VLOOKUP('Interactive Selection Sheet'!$G61, 'Master List Import'!$A$1:$P$519, 11, FALSE), ""), "")</f>
        <v>0</v>
      </c>
      <c r="N256" s="69">
        <f>_xlfn.IFNA(IF('Interactive Selection Sheet'!F61= "", VLOOKUP('Interactive Selection Sheet'!$G61, 'Master List Import'!$A$1:$P$519, 12, FALSE), ""), "")</f>
        <v>250</v>
      </c>
      <c r="O256" s="69">
        <f>_xlfn.IFNA(IF('Interactive Selection Sheet'!F61= "", VLOOKUP('Interactive Selection Sheet'!$G61, 'Master List Import'!$A$1:$P$519, 13, FALSE), ""), "")</f>
        <v>5711</v>
      </c>
      <c r="P256" s="69" t="str">
        <f>_xlfn.IFNA(IF('Interactive Selection Sheet'!F61= "", VLOOKUP('Interactive Selection Sheet'!$G61, 'Master List Import'!$A$1:$P$519, 14, FALSE), ""), "")</f>
        <v>Cold &amp; Sinus (2pk)</v>
      </c>
      <c r="Q256" s="69">
        <f>_xlfn.IFNA(IF('Interactive Selection Sheet'!F61= "", VLOOKUP('Interactive Selection Sheet'!$G61, 'Master List Import'!$A$1:$P$519, 15, FALSE), ""), "")</f>
        <v>1</v>
      </c>
      <c r="R256" s="74">
        <f>_xlfn.IFNA(IF('Interactive Selection Sheet'!F61= "", VLOOKUP('Interactive Selection Sheet'!$G61, 'Master List Import'!$A$1:$P$519, 16, FALSE), ""), "")</f>
        <v>0.7</v>
      </c>
    </row>
    <row r="257" spans="1:18" ht="21.75" customHeight="1" x14ac:dyDescent="0.25">
      <c r="A257" s="69">
        <f>_xlfn.IFNA(IF('Interactive Selection Sheet'!F62= "", VLOOKUP('Interactive Selection Sheet'!$G62, 'Master List Import'!$A$1:$P$519, 2, FALSE), ""), "")</f>
        <v>5712</v>
      </c>
      <c r="B257" s="69" t="str">
        <f>_xlfn.IFNA(IF('Interactive Selection Sheet'!F62= "", VLOOKUP('Interactive Selection Sheet'!$G62, 'Master List Import'!$A$1:$P$519, 3, FALSE), ""), "")</f>
        <v>Diphen Allergy Relief, 2pks - 100/bx</v>
      </c>
      <c r="C257" s="76">
        <f>IF('Interactive Selection Sheet'!$T$2="", "", IF(B257="","",'Interactive Selection Sheet'!$T$2))</f>
        <v>3.5000000000000003E-2</v>
      </c>
      <c r="D257" s="70">
        <f>IF(B257 = "", "", 'Interactive Selection Sheet'!$Q$2)</f>
        <v>4.4999999999999998E-2</v>
      </c>
      <c r="E257" s="70">
        <f>IF(B257="","", 'Interactive Selection Sheet'!$R$2)</f>
        <v>0.02</v>
      </c>
      <c r="F257" s="69" t="str">
        <f>_xlfn.IFNA(IF('Interactive Selection Sheet'!F62= "", VLOOKUP('Interactive Selection Sheet'!$G62, 'Master List Import'!$A$1:$P$519, 4, FALSE), ""), "")</f>
        <v>Medicine</v>
      </c>
      <c r="G257" s="69" t="str">
        <f>_xlfn.IFNA(IF('Interactive Selection Sheet'!F62= "", VLOOKUP('Interactive Selection Sheet'!$G62, 'Master List Import'!$A$1:$P$519, 5, FALSE), ""), "")</f>
        <v>Medicine</v>
      </c>
      <c r="H257" s="69" t="str">
        <f>_xlfn.IFNA(IF('Interactive Selection Sheet'!F62= "", VLOOKUP('Interactive Selection Sheet'!$G62, 'Master List Import'!$A$1:$P$519, 6, FALSE), ""), "")</f>
        <v>Both</v>
      </c>
      <c r="I257" s="72">
        <f>_xlfn.IFNA(IF('Interactive Selection Sheet'!F62= "", VLOOKUP('Interactive Selection Sheet'!$G62, 'Master List Import'!$A$1:$P$519, 7, FALSE), ""), "")</f>
        <v>0.104</v>
      </c>
      <c r="J257" s="69" t="str">
        <f>_xlfn.IFNA(IF('Interactive Selection Sheet'!F62= "", VLOOKUP('Interactive Selection Sheet'!$G62, 'Master List Import'!$A$1:$P$519, 8, FALSE), ""), "")</f>
        <v>REI</v>
      </c>
      <c r="K257" s="69" t="str">
        <f>_xlfn.IFNA(IF('Interactive Selection Sheet'!F62= "", VLOOKUP('Interactive Selection Sheet'!$G62, 'Master List Import'!$A$1:$P$519, 9, FALSE), ""), "")</f>
        <v>FILL IN LATER</v>
      </c>
      <c r="L257" s="69">
        <f>_xlfn.IFNA(IF('Interactive Selection Sheet'!F62= "", VLOOKUP('Interactive Selection Sheet'!$G62, 'Master List Import'!$A$1:$P$519, 10, FALSE), ""), "")</f>
        <v>0</v>
      </c>
      <c r="M257" s="69">
        <f>_xlfn.IFNA(IF('Interactive Selection Sheet'!F62= "", VLOOKUP('Interactive Selection Sheet'!$G62, 'Master List Import'!$A$1:$P$519, 11, FALSE), ""), "")</f>
        <v>0</v>
      </c>
      <c r="N257" s="69">
        <f>_xlfn.IFNA(IF('Interactive Selection Sheet'!F62= "", VLOOKUP('Interactive Selection Sheet'!$G62, 'Master List Import'!$A$1:$P$519, 12, FALSE), ""), "")</f>
        <v>100</v>
      </c>
      <c r="O257" s="69">
        <f>_xlfn.IFNA(IF('Interactive Selection Sheet'!F62= "", VLOOKUP('Interactive Selection Sheet'!$G62, 'Master List Import'!$A$1:$P$519, 13, FALSE), ""), "")</f>
        <v>5712</v>
      </c>
      <c r="P257" s="69" t="str">
        <f>_xlfn.IFNA(IF('Interactive Selection Sheet'!F62= "", VLOOKUP('Interactive Selection Sheet'!$G62, 'Master List Import'!$A$1:$P$519, 14, FALSE), ""), "")</f>
        <v>Diphen Allergy Relief (2pk)</v>
      </c>
      <c r="Q257" s="69">
        <f>_xlfn.IFNA(IF('Interactive Selection Sheet'!F62= "", VLOOKUP('Interactive Selection Sheet'!$G62, 'Master List Import'!$A$1:$P$519, 15, FALSE), ""), "")</f>
        <v>1</v>
      </c>
      <c r="R257" s="74">
        <f>_xlfn.IFNA(IF('Interactive Selection Sheet'!F62= "", VLOOKUP('Interactive Selection Sheet'!$G62, 'Master List Import'!$A$1:$P$519, 16, FALSE), ""), "")</f>
        <v>0.7</v>
      </c>
    </row>
    <row r="258" spans="1:18" ht="21.75" customHeight="1" x14ac:dyDescent="0.25">
      <c r="A258" s="69">
        <f>_xlfn.IFNA(IF('Interactive Selection Sheet'!$K58= "", VLOOKUP('Interactive Selection Sheet'!$L58, 'Master List Import'!$A$1:$P$519, 2, FALSE), ""), "")</f>
        <v>5720</v>
      </c>
      <c r="B258" s="69" t="str">
        <f>_xlfn.IFNA(IF('Interactive Selection Sheet'!$K58= "", VLOOKUP('Interactive Selection Sheet'!$L58, 'Master List Import'!$A$1:$P$519, 3, FALSE), ""), "")</f>
        <v>Rolaids Regular Mint, 12pk - 12/cs</v>
      </c>
      <c r="C258" s="76">
        <f>IF('Interactive Selection Sheet'!$T$2="", "", IF(B258="","",'Interactive Selection Sheet'!$T$2))</f>
        <v>3.5000000000000003E-2</v>
      </c>
      <c r="D258" s="70">
        <f>IF(B258 = "", "", 'Interactive Selection Sheet'!$Q$2)</f>
        <v>4.4999999999999998E-2</v>
      </c>
      <c r="E258" s="70">
        <f>IF(B258="","", 'Interactive Selection Sheet'!$R$2)</f>
        <v>0.02</v>
      </c>
      <c r="F258" s="69" t="str">
        <f>_xlfn.IFNA(IF('Interactive Selection Sheet'!K58= "", VLOOKUP('Interactive Selection Sheet'!$L58, 'Master List Import'!$A$1:$P$519, 4, FALSE), ""), "")</f>
        <v>Medicine</v>
      </c>
      <c r="G258" s="69" t="str">
        <f>_xlfn.IFNA(IF('Interactive Selection Sheet'!K58= "", VLOOKUP('Interactive Selection Sheet'!$L58, 'Master List Import'!$A$1:$P$519, 5, FALSE), ""), "")</f>
        <v>Medicine</v>
      </c>
      <c r="H258" s="69" t="str">
        <f>_xlfn.IFNA(IF('Interactive Selection Sheet'!K58= "", VLOOKUP('Interactive Selection Sheet'!$L58, 'Master List Import'!$A$1:$P$519, 6, FALSE), ""), "")</f>
        <v>Both</v>
      </c>
      <c r="I258" s="72">
        <f>_xlfn.IFNA(IF('Interactive Selection Sheet'!K58= "", VLOOKUP('Interactive Selection Sheet'!$L58, 'Master List Import'!$A$1:$P$519, 7, FALSE), ""), "")</f>
        <v>0.67079999999999995</v>
      </c>
      <c r="J258" s="69" t="str">
        <f>_xlfn.IFNA(IF('Interactive Selection Sheet'!K58= "", VLOOKUP('Interactive Selection Sheet'!$L58, 'Master List Import'!$A$1:$P$519, 8, FALSE), ""), "")</f>
        <v>REI</v>
      </c>
      <c r="K258" s="69" t="str">
        <f>_xlfn.IFNA(IF('Interactive Selection Sheet'!K58= "", VLOOKUP('Interactive Selection Sheet'!$L58, 'Master List Import'!$A$1:$P$519, 9, FALSE), ""), "")</f>
        <v>384168</v>
      </c>
      <c r="L258" s="69">
        <f>_xlfn.IFNA(IF('Interactive Selection Sheet'!K58= "", VLOOKUP('Interactive Selection Sheet'!$L58, 'Master List Import'!$A$1:$P$519, 10, FALSE), ""), "")</f>
        <v>0</v>
      </c>
      <c r="M258" s="69">
        <f>_xlfn.IFNA(IF('Interactive Selection Sheet'!K58= "", VLOOKUP('Interactive Selection Sheet'!$L58, 'Master List Import'!$A$1:$P$519, 11, FALSE), ""), "")</f>
        <v>0</v>
      </c>
      <c r="N258" s="69">
        <f>_xlfn.IFNA(IF('Interactive Selection Sheet'!K58= "", VLOOKUP('Interactive Selection Sheet'!$L58, 'Master List Import'!$A$1:$P$519, 12, FALSE), ""), "")</f>
        <v>12</v>
      </c>
      <c r="O258" s="69">
        <f>_xlfn.IFNA(IF('Interactive Selection Sheet'!K58= "", VLOOKUP('Interactive Selection Sheet'!$L58, 'Master List Import'!$A$1:$P$519, 13, FALSE), ""), "")</f>
        <v>5720</v>
      </c>
      <c r="P258" s="69" t="str">
        <f>_xlfn.IFNA(IF('Interactive Selection Sheet'!K58= "", VLOOKUP('Interactive Selection Sheet'!$L58, 'Master List Import'!$A$1:$P$519, 14, FALSE), ""), "")</f>
        <v>Rolaids</v>
      </c>
      <c r="Q258" s="69">
        <f>_xlfn.IFNA(IF('Interactive Selection Sheet'!K58= "", VLOOKUP('Interactive Selection Sheet'!$L58, 'Master List Import'!$A$1:$P$519, 15, FALSE), ""), "")</f>
        <v>1</v>
      </c>
      <c r="R258" s="74">
        <f>_xlfn.IFNA(IF('Interactive Selection Sheet'!K58= "", VLOOKUP('Interactive Selection Sheet'!$L58, 'Master List Import'!$A$1:$P$519, 16, FALSE), ""), "")</f>
        <v>2.0499999999999998</v>
      </c>
    </row>
    <row r="259" spans="1:18" ht="21.75" customHeight="1" x14ac:dyDescent="0.25">
      <c r="A259" s="69">
        <f>_xlfn.IFNA(IF('Interactive Selection Sheet'!$K60= "", VLOOKUP('Interactive Selection Sheet'!$L60, 'Master List Import'!$A$1:$P$519, 2, FALSE), ""), "")</f>
        <v>5731</v>
      </c>
      <c r="B259" s="69" t="str">
        <f>_xlfn.IFNA(IF('Interactive Selection Sheet'!$K60= "", VLOOKUP('Interactive Selection Sheet'!$L60, 'Master List Import'!$A$1:$P$519, 3, FALSE), ""), "")</f>
        <v>Halls Cherry Cough Drops, 9ct roll - 20/cs</v>
      </c>
      <c r="C259" s="76">
        <f>IF('Interactive Selection Sheet'!$T$2="", "", IF(B259="","",'Interactive Selection Sheet'!$T$2))</f>
        <v>3.5000000000000003E-2</v>
      </c>
      <c r="D259" s="70">
        <f>IF(B259 = "", "", 'Interactive Selection Sheet'!$Q$2)</f>
        <v>4.4999999999999998E-2</v>
      </c>
      <c r="E259" s="70">
        <f>IF(B259="","", 'Interactive Selection Sheet'!$R$2)</f>
        <v>0.02</v>
      </c>
      <c r="F259" s="69" t="str">
        <f>_xlfn.IFNA(IF('Interactive Selection Sheet'!K60= "", VLOOKUP('Interactive Selection Sheet'!$L60, 'Master List Import'!$A$1:$P$519, 4, FALSE), ""), "")</f>
        <v>Medicine</v>
      </c>
      <c r="G259" s="69" t="str">
        <f>_xlfn.IFNA(IF('Interactive Selection Sheet'!K60= "", VLOOKUP('Interactive Selection Sheet'!$L60, 'Master List Import'!$A$1:$P$519, 5, FALSE), ""), "")</f>
        <v>Medicine</v>
      </c>
      <c r="H259" s="69" t="str">
        <f>_xlfn.IFNA(IF('Interactive Selection Sheet'!K60= "", VLOOKUP('Interactive Selection Sheet'!$L60, 'Master List Import'!$A$1:$P$519, 6, FALSE), ""), "")</f>
        <v>Both</v>
      </c>
      <c r="I259" s="72">
        <f>_xlfn.IFNA(IF('Interactive Selection Sheet'!K60= "", VLOOKUP('Interactive Selection Sheet'!$L60, 'Master List Import'!$A$1:$P$519, 7, FALSE), ""), "")</f>
        <v>0.74250000000000005</v>
      </c>
      <c r="J259" s="69" t="str">
        <f>_xlfn.IFNA(IF('Interactive Selection Sheet'!K60= "", VLOOKUP('Interactive Selection Sheet'!$L60, 'Master List Import'!$A$1:$P$519, 8, FALSE), ""), "")</f>
        <v>REI</v>
      </c>
      <c r="K259" s="69" t="str">
        <f>_xlfn.IFNA(IF('Interactive Selection Sheet'!K60= "", VLOOKUP('Interactive Selection Sheet'!$L60, 'Master List Import'!$A$1:$P$519, 9, FALSE), ""), "")</f>
        <v>381525</v>
      </c>
      <c r="L259" s="69">
        <f>_xlfn.IFNA(IF('Interactive Selection Sheet'!K60= "", VLOOKUP('Interactive Selection Sheet'!$L60, 'Master List Import'!$A$1:$P$519, 10, FALSE), ""), "")</f>
        <v>0</v>
      </c>
      <c r="M259" s="69">
        <f>_xlfn.IFNA(IF('Interactive Selection Sheet'!K60= "", VLOOKUP('Interactive Selection Sheet'!$L60, 'Master List Import'!$A$1:$P$519, 11, FALSE), ""), "")</f>
        <v>0</v>
      </c>
      <c r="N259" s="69">
        <f>_xlfn.IFNA(IF('Interactive Selection Sheet'!K60= "", VLOOKUP('Interactive Selection Sheet'!$L60, 'Master List Import'!$A$1:$P$519, 12, FALSE), ""), "")</f>
        <v>20</v>
      </c>
      <c r="O259" s="69">
        <f>_xlfn.IFNA(IF('Interactive Selection Sheet'!K60= "", VLOOKUP('Interactive Selection Sheet'!$L60, 'Master List Import'!$A$1:$P$519, 13, FALSE), ""), "")</f>
        <v>5731</v>
      </c>
      <c r="P259" s="69" t="str">
        <f>_xlfn.IFNA(IF('Interactive Selection Sheet'!K60= "", VLOOKUP('Interactive Selection Sheet'!$L60, 'Master List Import'!$A$1:$P$519, 14, FALSE), ""), "")</f>
        <v>Halls Cherry Cough Drops</v>
      </c>
      <c r="Q259" s="69">
        <f>_xlfn.IFNA(IF('Interactive Selection Sheet'!K60= "", VLOOKUP('Interactive Selection Sheet'!$L60, 'Master List Import'!$A$1:$P$519, 15, FALSE), ""), "")</f>
        <v>1</v>
      </c>
      <c r="R259" s="74">
        <f>_xlfn.IFNA(IF('Interactive Selection Sheet'!K60= "", VLOOKUP('Interactive Selection Sheet'!$L60, 'Master List Import'!$A$1:$P$519, 16, FALSE), ""), "")</f>
        <v>2.25</v>
      </c>
    </row>
    <row r="260" spans="1:18" ht="21.75" customHeight="1" x14ac:dyDescent="0.25">
      <c r="A260" s="69">
        <f>_xlfn.IFNA(IF('Interactive Selection Sheet'!$K61= "", VLOOKUP('Interactive Selection Sheet'!$L61, 'Master List Import'!$A$1:$P$519, 2, FALSE), ""), "")</f>
        <v>5800</v>
      </c>
      <c r="B260" s="69" t="str">
        <f>_xlfn.IFNA(IF('Interactive Selection Sheet'!$K61= "", VLOOKUP('Interactive Selection Sheet'!$L61, 'Master List Import'!$A$1:$P$519, 3, FALSE), ""), "")</f>
        <v>Daily Multivitamin, 100-ct bottle - 12/cs</v>
      </c>
      <c r="C260" s="76">
        <f>IF('Interactive Selection Sheet'!$T$2="", "", IF(B260="","",'Interactive Selection Sheet'!$T$2))</f>
        <v>3.5000000000000003E-2</v>
      </c>
      <c r="D260" s="70">
        <f>IF(B260 = "", "", 'Interactive Selection Sheet'!$Q$2)</f>
        <v>4.4999999999999998E-2</v>
      </c>
      <c r="E260" s="70">
        <f>IF(B260="","", 'Interactive Selection Sheet'!$R$2)</f>
        <v>0.02</v>
      </c>
      <c r="F260" s="69" t="str">
        <f>_xlfn.IFNA(IF('Interactive Selection Sheet'!K61= "", VLOOKUP('Interactive Selection Sheet'!$L61, 'Master List Import'!$A$1:$P$519, 4, FALSE), ""), "")</f>
        <v>Medicine</v>
      </c>
      <c r="G260" s="69" t="str">
        <f>_xlfn.IFNA(IF('Interactive Selection Sheet'!K61= "", VLOOKUP('Interactive Selection Sheet'!$L61, 'Master List Import'!$A$1:$P$519, 5, FALSE), ""), "")</f>
        <v>Medicine</v>
      </c>
      <c r="H260" s="69" t="str">
        <f>_xlfn.IFNA(IF('Interactive Selection Sheet'!K61= "", VLOOKUP('Interactive Selection Sheet'!$L61, 'Master List Import'!$A$1:$P$519, 6, FALSE), ""), "")</f>
        <v>Both</v>
      </c>
      <c r="I260" s="72">
        <f>_xlfn.IFNA(IF('Interactive Selection Sheet'!K61= "", VLOOKUP('Interactive Selection Sheet'!$L61, 'Master List Import'!$A$1:$P$519, 7, FALSE), ""), "")</f>
        <v>2.0499999999999998</v>
      </c>
      <c r="J260" s="69" t="str">
        <f>_xlfn.IFNA(IF('Interactive Selection Sheet'!K61= "", VLOOKUP('Interactive Selection Sheet'!$L61, 'Master List Import'!$A$1:$P$519, 8, FALSE), ""), "")</f>
        <v>REI</v>
      </c>
      <c r="K260" s="69" t="str">
        <f>_xlfn.IFNA(IF('Interactive Selection Sheet'!K61= "", VLOOKUP('Interactive Selection Sheet'!$L61, 'Master List Import'!$A$1:$P$519, 9, FALSE), ""), "")</f>
        <v>373791</v>
      </c>
      <c r="L260" s="69">
        <f>_xlfn.IFNA(IF('Interactive Selection Sheet'!K61= "", VLOOKUP('Interactive Selection Sheet'!$L61, 'Master List Import'!$A$1:$P$519, 10, FALSE), ""), "")</f>
        <v>0</v>
      </c>
      <c r="M260" s="69">
        <f>_xlfn.IFNA(IF('Interactive Selection Sheet'!K61= "", VLOOKUP('Interactive Selection Sheet'!$L61, 'Master List Import'!$A$1:$P$519, 11, FALSE), ""), "")</f>
        <v>0</v>
      </c>
      <c r="N260" s="69">
        <f>_xlfn.IFNA(IF('Interactive Selection Sheet'!K61= "", VLOOKUP('Interactive Selection Sheet'!$L61, 'Master List Import'!$A$1:$P$519, 12, FALSE), ""), "")</f>
        <v>12</v>
      </c>
      <c r="O260" s="69">
        <f>_xlfn.IFNA(IF('Interactive Selection Sheet'!K61= "", VLOOKUP('Interactive Selection Sheet'!$L61, 'Master List Import'!$A$1:$P$519, 13, FALSE), ""), "")</f>
        <v>5800</v>
      </c>
      <c r="P260" s="69" t="str">
        <f>_xlfn.IFNA(IF('Interactive Selection Sheet'!K61= "", VLOOKUP('Interactive Selection Sheet'!$L61, 'Master List Import'!$A$1:$P$519, 14, FALSE), ""), "")</f>
        <v>Multivitamins (100ct)</v>
      </c>
      <c r="Q260" s="69">
        <f>_xlfn.IFNA(IF('Interactive Selection Sheet'!K61= "", VLOOKUP('Interactive Selection Sheet'!$L61, 'Master List Import'!$A$1:$P$519, 15, FALSE), ""), "")</f>
        <v>1</v>
      </c>
      <c r="R260" s="74">
        <f>_xlfn.IFNA(IF('Interactive Selection Sheet'!K61= "", VLOOKUP('Interactive Selection Sheet'!$L61, 'Master List Import'!$A$1:$P$519, 16, FALSE), ""), "")</f>
        <v>6</v>
      </c>
    </row>
    <row r="261" spans="1:18" ht="21.75" customHeight="1" x14ac:dyDescent="0.25">
      <c r="A261" s="69">
        <f>_xlfn.IFNA(IF('Interactive Selection Sheet'!A158 = "", VLOOKUP('Interactive Selection Sheet'!$B158, 'Master List Import'!$A$1:$P$519, 2, FALSE), ""), "")</f>
        <v>6000</v>
      </c>
      <c r="B261" s="69" t="str">
        <f>_xlfn.IFNA(IF('Interactive Selection Sheet'!A158 = "", VLOOKUP('Interactive Selection Sheet'!$B158, 'Master List Import'!$A$1:$P$519, 3, FALSE), ""), "")</f>
        <v>Bottled Water, 16.9oz bottle - 24/cs</v>
      </c>
      <c r="C261" s="76">
        <f>IF('Interactive Selection Sheet'!$T$2="", "", IF(B261="","",'Interactive Selection Sheet'!$T$2))</f>
        <v>3.5000000000000003E-2</v>
      </c>
      <c r="D261" s="70">
        <f>IF(B261 = "", "", 'Interactive Selection Sheet'!$P$2)</f>
        <v>4.4999999999999998E-2</v>
      </c>
      <c r="E261" s="70">
        <f>IF(B261="","", 'Interactive Selection Sheet'!$R$2)</f>
        <v>0.02</v>
      </c>
      <c r="F261" s="69" t="str">
        <f>_xlfn.IFNA(IF('Interactive Selection Sheet'!A158 = "", VLOOKUP('Interactive Selection Sheet'!$B158, 'Master List Import'!$A$1:$P$519, 4, FALSE), ""), "")</f>
        <v>Beverages</v>
      </c>
      <c r="G261" s="69" t="str">
        <f>_xlfn.IFNA(IF('Interactive Selection Sheet'!A158 = "", VLOOKUP('Interactive Selection Sheet'!$B158, 'Master List Import'!$A$1:$P$519, 5, FALSE), ""), "")</f>
        <v>Beverages</v>
      </c>
      <c r="H261" s="69" t="str">
        <f>_xlfn.IFNA(IF('Interactive Selection Sheet'!A158 = "", VLOOKUP('Interactive Selection Sheet'!$B158, 'Master List Import'!$A$1:$P$519, 6, FALSE), ""), "")</f>
        <v>Both</v>
      </c>
      <c r="I261" s="72">
        <f>_xlfn.IFNA(IF('Interactive Selection Sheet'!A158 = "", VLOOKUP('Interactive Selection Sheet'!$B158, 'Master List Import'!$A$1:$P$519, 7, FALSE), ""), "")</f>
        <v>0.1641</v>
      </c>
      <c r="J261" s="69" t="str">
        <f>_xlfn.IFNA(IF('Interactive Selection Sheet'!A158 = "", VLOOKUP('Interactive Selection Sheet'!$B158, 'Master List Import'!$A$1:$P$519, 8, FALSE), ""), "")</f>
        <v>Vistar</v>
      </c>
      <c r="K261" s="69" t="str">
        <f>_xlfn.IFNA(IF('Interactive Selection Sheet'!A158 = "", VLOOKUP('Interactive Selection Sheet'!$B158, 'Master List Import'!$A$1:$P$519, 9, FALSE), ""), "")</f>
        <v>UHN00123</v>
      </c>
      <c r="L261" s="69">
        <f>_xlfn.IFNA(IF('Interactive Selection Sheet'!A158 = "", VLOOKUP('Interactive Selection Sheet'!$B158, 'Master List Import'!$A$1:$P$519, 10, FALSE), ""), "")</f>
        <v>0</v>
      </c>
      <c r="M261" s="69">
        <f>_xlfn.IFNA(IF('Interactive Selection Sheet'!A158 = "", VLOOKUP('Interactive Selection Sheet'!$B158, 'Master List Import'!$A$1:$P$519, 11, FALSE), ""), "")</f>
        <v>0</v>
      </c>
      <c r="N261" s="69">
        <f>_xlfn.IFNA(IF('Interactive Selection Sheet'!A158 = "", VLOOKUP('Interactive Selection Sheet'!$B158, 'Master List Import'!$A$1:$P$519, 12, FALSE), ""), "")</f>
        <v>24</v>
      </c>
      <c r="O261" s="69">
        <f>_xlfn.IFNA(IF('Interactive Selection Sheet'!A158 = "", VLOOKUP('Interactive Selection Sheet'!$B158, 'Master List Import'!$A$1:$P$519, 13, FALSE), ""), "")</f>
        <v>6000</v>
      </c>
      <c r="P261" s="69" t="str">
        <f>_xlfn.IFNA(IF('Interactive Selection Sheet'!A158 = "", VLOOKUP('Interactive Selection Sheet'!$B158, 'Master List Import'!$A$1:$P$519, 14, FALSE), ""), "")</f>
        <v>Bottled Water</v>
      </c>
      <c r="Q261" s="69">
        <f>_xlfn.IFNA(IF('Interactive Selection Sheet'!A158 = "", VLOOKUP('Interactive Selection Sheet'!$B158, 'Master List Import'!$A$1:$P$519, 15, FALSE), ""), "")</f>
        <v>1</v>
      </c>
      <c r="R261" s="74">
        <f>_xlfn.IFNA(IF('Interactive Selection Sheet'!A158 = "", VLOOKUP('Interactive Selection Sheet'!$B158, 'Master List Import'!$A$1:$P$519, 16, FALSE), ""), "")</f>
        <v>1.1000000000000001</v>
      </c>
    </row>
    <row r="262" spans="1:18" ht="21.75" customHeight="1" x14ac:dyDescent="0.25">
      <c r="A262" s="69">
        <f>_xlfn.IFNA(IF('Interactive Selection Sheet'!A159 = "", VLOOKUP('Interactive Selection Sheet'!$B159, 'Master List Import'!$A$1:$P$519, 2, FALSE), ""), "")</f>
        <v>6100</v>
      </c>
      <c r="B262" s="69" t="str">
        <f>_xlfn.IFNA(IF('Interactive Selection Sheet'!A159 = "", VLOOKUP('Interactive Selection Sheet'!$B159, 'Master List Import'!$A$1:$P$519, 3, FALSE), ""), "")</f>
        <v>Coca Cola, 20oz bottle - 24/cs</v>
      </c>
      <c r="C262" s="76">
        <f>IF('Interactive Selection Sheet'!$T$2="", "", IF(B262="","",'Interactive Selection Sheet'!$T$2))</f>
        <v>3.5000000000000003E-2</v>
      </c>
      <c r="D262" s="70">
        <f>IF(B262 = "", "", 'Interactive Selection Sheet'!$P$2)</f>
        <v>4.4999999999999998E-2</v>
      </c>
      <c r="E262" s="70">
        <f>IF(B262="","", 'Interactive Selection Sheet'!$R$2)</f>
        <v>0.02</v>
      </c>
      <c r="F262" s="69" t="str">
        <f>_xlfn.IFNA(IF('Interactive Selection Sheet'!A159 = "", VLOOKUP('Interactive Selection Sheet'!$B159, 'Master List Import'!$A$1:$P$519, 4, FALSE), ""), "")</f>
        <v>Beverages</v>
      </c>
      <c r="G262" s="69" t="str">
        <f>_xlfn.IFNA(IF('Interactive Selection Sheet'!A159 = "", VLOOKUP('Interactive Selection Sheet'!$B159, 'Master List Import'!$A$1:$P$519, 5, FALSE), ""), "")</f>
        <v>Beverages</v>
      </c>
      <c r="H262" s="69" t="str">
        <f>_xlfn.IFNA(IF('Interactive Selection Sheet'!A159 = "", VLOOKUP('Interactive Selection Sheet'!$B159, 'Master List Import'!$A$1:$P$519, 6, FALSE), ""), "")</f>
        <v>Both</v>
      </c>
      <c r="I262" s="72">
        <f>_xlfn.IFNA(IF('Interactive Selection Sheet'!A159 = "", VLOOKUP('Interactive Selection Sheet'!$B159, 'Master List Import'!$A$1:$P$519, 7, FALSE), ""), "")</f>
        <v>1.1208</v>
      </c>
      <c r="J262" s="69" t="str">
        <f>_xlfn.IFNA(IF('Interactive Selection Sheet'!A159 = "", VLOOKUP('Interactive Selection Sheet'!$B159, 'Master List Import'!$A$1:$P$519, 8, FALSE), ""), "")</f>
        <v>Coca-Cola</v>
      </c>
      <c r="K262" s="69" t="str">
        <f>_xlfn.IFNA(IF('Interactive Selection Sheet'!A159 = "", VLOOKUP('Interactive Selection Sheet'!$B159, 'Master List Import'!$A$1:$P$519, 9, FALSE), ""), "")</f>
        <v>6100</v>
      </c>
      <c r="L262" s="69">
        <f>_xlfn.IFNA(IF('Interactive Selection Sheet'!A159 = "", VLOOKUP('Interactive Selection Sheet'!$B159, 'Master List Import'!$A$1:$P$519, 10, FALSE), ""), "")</f>
        <v>0</v>
      </c>
      <c r="M262" s="69">
        <f>_xlfn.IFNA(IF('Interactive Selection Sheet'!A159 = "", VLOOKUP('Interactive Selection Sheet'!$B159, 'Master List Import'!$A$1:$P$519, 11, FALSE), ""), "")</f>
        <v>0</v>
      </c>
      <c r="N262" s="69">
        <f>_xlfn.IFNA(IF('Interactive Selection Sheet'!A159 = "", VLOOKUP('Interactive Selection Sheet'!$B159, 'Master List Import'!$A$1:$P$519, 12, FALSE), ""), "")</f>
        <v>24</v>
      </c>
      <c r="O262" s="69">
        <f>_xlfn.IFNA(IF('Interactive Selection Sheet'!A159 = "", VLOOKUP('Interactive Selection Sheet'!$B159, 'Master List Import'!$A$1:$P$519, 13, FALSE), ""), "")</f>
        <v>6100</v>
      </c>
      <c r="P262" s="69" t="str">
        <f>_xlfn.IFNA(IF('Interactive Selection Sheet'!A159 = "", VLOOKUP('Interactive Selection Sheet'!$B159, 'Master List Import'!$A$1:$P$519, 14, FALSE), ""), "")</f>
        <v>Coca Cola</v>
      </c>
      <c r="Q262" s="69">
        <f>_xlfn.IFNA(IF('Interactive Selection Sheet'!A159 = "", VLOOKUP('Interactive Selection Sheet'!$B159, 'Master List Import'!$A$1:$P$519, 15, FALSE), ""), "")</f>
        <v>1</v>
      </c>
      <c r="R262" s="74">
        <f>_xlfn.IFNA(IF('Interactive Selection Sheet'!A159 = "", VLOOKUP('Interactive Selection Sheet'!$B159, 'Master List Import'!$A$1:$P$519, 16, FALSE), ""), "")</f>
        <v>3.25</v>
      </c>
    </row>
    <row r="263" spans="1:18" ht="21.75" customHeight="1" x14ac:dyDescent="0.25">
      <c r="A263" s="69">
        <f>_xlfn.IFNA(IF('Interactive Selection Sheet'!A160 = "", VLOOKUP('Interactive Selection Sheet'!$B160, 'Master List Import'!$A$1:$P$519, 2, FALSE), ""), "")</f>
        <v>6101</v>
      </c>
      <c r="B263" s="69" t="str">
        <f>_xlfn.IFNA(IF('Interactive Selection Sheet'!A160 = "", VLOOKUP('Interactive Selection Sheet'!$B160, 'Master List Import'!$A$1:$P$519, 3, FALSE), ""), "")</f>
        <v>Diet Coke, 20oz bottle - 24/cs</v>
      </c>
      <c r="C263" s="76">
        <f>IF('Interactive Selection Sheet'!$T$2="", "", IF(B263="","",'Interactive Selection Sheet'!$T$2))</f>
        <v>3.5000000000000003E-2</v>
      </c>
      <c r="D263" s="70">
        <f>IF(B263 = "", "", 'Interactive Selection Sheet'!$P$2)</f>
        <v>4.4999999999999998E-2</v>
      </c>
      <c r="E263" s="70">
        <f>IF(B263="","", 'Interactive Selection Sheet'!$R$2)</f>
        <v>0.02</v>
      </c>
      <c r="F263" s="69" t="str">
        <f>_xlfn.IFNA(IF('Interactive Selection Sheet'!A160 = "", VLOOKUP('Interactive Selection Sheet'!$B160, 'Master List Import'!$A$1:$P$519, 4, FALSE), ""), "")</f>
        <v>Beverages</v>
      </c>
      <c r="G263" s="69" t="str">
        <f>_xlfn.IFNA(IF('Interactive Selection Sheet'!A160 = "", VLOOKUP('Interactive Selection Sheet'!$B160, 'Master List Import'!$A$1:$P$519, 5, FALSE), ""), "")</f>
        <v>Beverages</v>
      </c>
      <c r="H263" s="69" t="str">
        <f>_xlfn.IFNA(IF('Interactive Selection Sheet'!A160 = "", VLOOKUP('Interactive Selection Sheet'!$B160, 'Master List Import'!$A$1:$P$519, 6, FALSE), ""), "")</f>
        <v>Both</v>
      </c>
      <c r="I263" s="72">
        <f>_xlfn.IFNA(IF('Interactive Selection Sheet'!A160 = "", VLOOKUP('Interactive Selection Sheet'!$B160, 'Master List Import'!$A$1:$P$519, 7, FALSE), ""), "")</f>
        <v>1.1208</v>
      </c>
      <c r="J263" s="69" t="str">
        <f>_xlfn.IFNA(IF('Interactive Selection Sheet'!A160 = "", VLOOKUP('Interactive Selection Sheet'!$B160, 'Master List Import'!$A$1:$P$519, 8, FALSE), ""), "")</f>
        <v>Coca-Cola</v>
      </c>
      <c r="K263" s="69" t="str">
        <f>_xlfn.IFNA(IF('Interactive Selection Sheet'!A160 = "", VLOOKUP('Interactive Selection Sheet'!$B160, 'Master List Import'!$A$1:$P$519, 9, FALSE), ""), "")</f>
        <v>6101</v>
      </c>
      <c r="L263" s="69">
        <f>_xlfn.IFNA(IF('Interactive Selection Sheet'!A160 = "", VLOOKUP('Interactive Selection Sheet'!$B160, 'Master List Import'!$A$1:$P$519, 10, FALSE), ""), "")</f>
        <v>0</v>
      </c>
      <c r="M263" s="69">
        <f>_xlfn.IFNA(IF('Interactive Selection Sheet'!A160 = "", VLOOKUP('Interactive Selection Sheet'!$B160, 'Master List Import'!$A$1:$P$519, 11, FALSE), ""), "")</f>
        <v>0</v>
      </c>
      <c r="N263" s="69">
        <f>_xlfn.IFNA(IF('Interactive Selection Sheet'!A160 = "", VLOOKUP('Interactive Selection Sheet'!$B160, 'Master List Import'!$A$1:$P$519, 12, FALSE), ""), "")</f>
        <v>24</v>
      </c>
      <c r="O263" s="69">
        <f>_xlfn.IFNA(IF('Interactive Selection Sheet'!A160 = "", VLOOKUP('Interactive Selection Sheet'!$B160, 'Master List Import'!$A$1:$P$519, 13, FALSE), ""), "")</f>
        <v>6101</v>
      </c>
      <c r="P263" s="69" t="str">
        <f>_xlfn.IFNA(IF('Interactive Selection Sheet'!A160 = "", VLOOKUP('Interactive Selection Sheet'!$B160, 'Master List Import'!$A$1:$P$519, 14, FALSE), ""), "")</f>
        <v>Diet Coke</v>
      </c>
      <c r="Q263" s="69">
        <f>_xlfn.IFNA(IF('Interactive Selection Sheet'!A160 = "", VLOOKUP('Interactive Selection Sheet'!$B160, 'Master List Import'!$A$1:$P$519, 15, FALSE), ""), "")</f>
        <v>1</v>
      </c>
      <c r="R263" s="74">
        <f>_xlfn.IFNA(IF('Interactive Selection Sheet'!A160 = "", VLOOKUP('Interactive Selection Sheet'!$B160, 'Master List Import'!$A$1:$P$519, 16, FALSE), ""), "")</f>
        <v>3.25</v>
      </c>
    </row>
    <row r="264" spans="1:18" ht="21.75" customHeight="1" x14ac:dyDescent="0.25">
      <c r="A264" s="69">
        <f>_xlfn.IFNA(IF('Interactive Selection Sheet'!A161 = "", VLOOKUP('Interactive Selection Sheet'!$B161, 'Master List Import'!$A$1:$P$519, 2, FALSE), ""), "")</f>
        <v>6102</v>
      </c>
      <c r="B264" s="69" t="str">
        <f>_xlfn.IFNA(IF('Interactive Selection Sheet'!A161 = "", VLOOKUP('Interactive Selection Sheet'!$B161, 'Master List Import'!$A$1:$P$519, 3, FALSE), ""), "")</f>
        <v>Dr. Pepper, 20oz bottle - 24/cs</v>
      </c>
      <c r="C264" s="76">
        <f>IF('Interactive Selection Sheet'!$T$2="", "", IF(B264="","",'Interactive Selection Sheet'!$T$2))</f>
        <v>3.5000000000000003E-2</v>
      </c>
      <c r="D264" s="70">
        <f>IF(B264 = "", "", 'Interactive Selection Sheet'!$P$2)</f>
        <v>4.4999999999999998E-2</v>
      </c>
      <c r="E264" s="70">
        <f>IF(B264="","", 'Interactive Selection Sheet'!$R$2)</f>
        <v>0.02</v>
      </c>
      <c r="F264" s="69" t="str">
        <f>_xlfn.IFNA(IF('Interactive Selection Sheet'!A161 = "", VLOOKUP('Interactive Selection Sheet'!$B161, 'Master List Import'!$A$1:$P$519, 4, FALSE), ""), "")</f>
        <v>Beverages</v>
      </c>
      <c r="G264" s="69" t="str">
        <f>_xlfn.IFNA(IF('Interactive Selection Sheet'!A161 = "", VLOOKUP('Interactive Selection Sheet'!$B161, 'Master List Import'!$A$1:$P$519, 5, FALSE), ""), "")</f>
        <v>Beverages</v>
      </c>
      <c r="H264" s="69" t="str">
        <f>_xlfn.IFNA(IF('Interactive Selection Sheet'!A161 = "", VLOOKUP('Interactive Selection Sheet'!$B161, 'Master List Import'!$A$1:$P$519, 6, FALSE), ""), "")</f>
        <v>Both</v>
      </c>
      <c r="I264" s="72">
        <f>_xlfn.IFNA(IF('Interactive Selection Sheet'!A161 = "", VLOOKUP('Interactive Selection Sheet'!$B161, 'Master List Import'!$A$1:$P$519, 7, FALSE), ""), "")</f>
        <v>1.1208</v>
      </c>
      <c r="J264" s="69" t="str">
        <f>_xlfn.IFNA(IF('Interactive Selection Sheet'!A161 = "", VLOOKUP('Interactive Selection Sheet'!$B161, 'Master List Import'!$A$1:$P$519, 8, FALSE), ""), "")</f>
        <v>Coca-Cola</v>
      </c>
      <c r="K264" s="69" t="str">
        <f>_xlfn.IFNA(IF('Interactive Selection Sheet'!A161 = "", VLOOKUP('Interactive Selection Sheet'!$B161, 'Master List Import'!$A$1:$P$519, 9, FALSE), ""), "")</f>
        <v>DRP2771</v>
      </c>
      <c r="L264" s="69">
        <f>_xlfn.IFNA(IF('Interactive Selection Sheet'!A161 = "", VLOOKUP('Interactive Selection Sheet'!$B161, 'Master List Import'!$A$1:$P$519, 10, FALSE), ""), "")</f>
        <v>0</v>
      </c>
      <c r="M264" s="69">
        <f>_xlfn.IFNA(IF('Interactive Selection Sheet'!A161 = "", VLOOKUP('Interactive Selection Sheet'!$B161, 'Master List Import'!$A$1:$P$519, 11, FALSE), ""), "")</f>
        <v>0</v>
      </c>
      <c r="N264" s="69">
        <f>_xlfn.IFNA(IF('Interactive Selection Sheet'!A161 = "", VLOOKUP('Interactive Selection Sheet'!$B161, 'Master List Import'!$A$1:$P$519, 12, FALSE), ""), "")</f>
        <v>24</v>
      </c>
      <c r="O264" s="69">
        <f>_xlfn.IFNA(IF('Interactive Selection Sheet'!A161 = "", VLOOKUP('Interactive Selection Sheet'!$B161, 'Master List Import'!$A$1:$P$519, 13, FALSE), ""), "")</f>
        <v>6102</v>
      </c>
      <c r="P264" s="69" t="str">
        <f>_xlfn.IFNA(IF('Interactive Selection Sheet'!A161 = "", VLOOKUP('Interactive Selection Sheet'!$B161, 'Master List Import'!$A$1:$P$519, 14, FALSE), ""), "")</f>
        <v>Dr. Pepper</v>
      </c>
      <c r="Q264" s="69">
        <f>_xlfn.IFNA(IF('Interactive Selection Sheet'!A161 = "", VLOOKUP('Interactive Selection Sheet'!$B161, 'Master List Import'!$A$1:$P$519, 15, FALSE), ""), "")</f>
        <v>1</v>
      </c>
      <c r="R264" s="74">
        <f>_xlfn.IFNA(IF('Interactive Selection Sheet'!A161 = "", VLOOKUP('Interactive Selection Sheet'!$B161, 'Master List Import'!$A$1:$P$519, 16, FALSE), ""), "")</f>
        <v>3.25</v>
      </c>
    </row>
    <row r="265" spans="1:18" ht="21.75" customHeight="1" x14ac:dyDescent="0.25">
      <c r="A265" s="69">
        <f>_xlfn.IFNA(IF('Interactive Selection Sheet'!A162 = "", VLOOKUP('Interactive Selection Sheet'!$B162, 'Master List Import'!$A$1:$P$519, 2, FALSE), ""), "")</f>
        <v>6103</v>
      </c>
      <c r="B265" s="69" t="str">
        <f>_xlfn.IFNA(IF('Interactive Selection Sheet'!A162 = "", VLOOKUP('Interactive Selection Sheet'!$B162, 'Master List Import'!$A$1:$P$519, 3, FALSE), ""), "")</f>
        <v>Diet Dr. Pepper, 20oz bottle - 24/cs</v>
      </c>
      <c r="C265" s="76">
        <f>IF('Interactive Selection Sheet'!$T$2="", "", IF(B265="","",'Interactive Selection Sheet'!$T$2))</f>
        <v>3.5000000000000003E-2</v>
      </c>
      <c r="D265" s="70">
        <f>IF(B265 = "", "", 'Interactive Selection Sheet'!$P$2)</f>
        <v>4.4999999999999998E-2</v>
      </c>
      <c r="E265" s="70">
        <f>IF(B265="","", 'Interactive Selection Sheet'!$R$2)</f>
        <v>0.02</v>
      </c>
      <c r="F265" s="69" t="str">
        <f>_xlfn.IFNA(IF('Interactive Selection Sheet'!A162 = "", VLOOKUP('Interactive Selection Sheet'!$B162, 'Master List Import'!$A$1:$P$519, 4, FALSE), ""), "")</f>
        <v>Beverages</v>
      </c>
      <c r="G265" s="69" t="str">
        <f>_xlfn.IFNA(IF('Interactive Selection Sheet'!A162 = "", VLOOKUP('Interactive Selection Sheet'!$B162, 'Master List Import'!$A$1:$P$519, 5, FALSE), ""), "")</f>
        <v>Beverages</v>
      </c>
      <c r="H265" s="69" t="str">
        <f>_xlfn.IFNA(IF('Interactive Selection Sheet'!A162 = "", VLOOKUP('Interactive Selection Sheet'!$B162, 'Master List Import'!$A$1:$P$519, 6, FALSE), ""), "")</f>
        <v>Both</v>
      </c>
      <c r="I265" s="72">
        <f>_xlfn.IFNA(IF('Interactive Selection Sheet'!A162 = "", VLOOKUP('Interactive Selection Sheet'!$B162, 'Master List Import'!$A$1:$P$519, 7, FALSE), ""), "")</f>
        <v>1.0853999999999999</v>
      </c>
      <c r="J265" s="69" t="str">
        <f>_xlfn.IFNA(IF('Interactive Selection Sheet'!A162 = "", VLOOKUP('Interactive Selection Sheet'!$B162, 'Master List Import'!$A$1:$P$519, 8, FALSE), ""), "")</f>
        <v>Coca-Cola</v>
      </c>
      <c r="K265" s="69" t="str">
        <f>_xlfn.IFNA(IF('Interactive Selection Sheet'!A162 = "", VLOOKUP('Interactive Selection Sheet'!$B162, 'Master List Import'!$A$1:$P$519, 9, FALSE), ""), "")</f>
        <v>DRP50249</v>
      </c>
      <c r="L265" s="69">
        <f>_xlfn.IFNA(IF('Interactive Selection Sheet'!A162 = "", VLOOKUP('Interactive Selection Sheet'!$B162, 'Master List Import'!$A$1:$P$519, 10, FALSE), ""), "")</f>
        <v>0</v>
      </c>
      <c r="M265" s="69">
        <f>_xlfn.IFNA(IF('Interactive Selection Sheet'!A162 = "", VLOOKUP('Interactive Selection Sheet'!$B162, 'Master List Import'!$A$1:$P$519, 11, FALSE), ""), "")</f>
        <v>0</v>
      </c>
      <c r="N265" s="69">
        <f>_xlfn.IFNA(IF('Interactive Selection Sheet'!A162 = "", VLOOKUP('Interactive Selection Sheet'!$B162, 'Master List Import'!$A$1:$P$519, 12, FALSE), ""), "")</f>
        <v>24</v>
      </c>
      <c r="O265" s="69">
        <f>_xlfn.IFNA(IF('Interactive Selection Sheet'!A162 = "", VLOOKUP('Interactive Selection Sheet'!$B162, 'Master List Import'!$A$1:$P$519, 13, FALSE), ""), "")</f>
        <v>6103</v>
      </c>
      <c r="P265" s="69" t="str">
        <f>_xlfn.IFNA(IF('Interactive Selection Sheet'!A162 = "", VLOOKUP('Interactive Selection Sheet'!$B162, 'Master List Import'!$A$1:$P$519, 14, FALSE), ""), "")</f>
        <v>Diet Dr. Pepper</v>
      </c>
      <c r="Q265" s="69">
        <f>_xlfn.IFNA(IF('Interactive Selection Sheet'!A162 = "", VLOOKUP('Interactive Selection Sheet'!$B162, 'Master List Import'!$A$1:$P$519, 15, FALSE), ""), "")</f>
        <v>1</v>
      </c>
      <c r="R265" s="74">
        <f>_xlfn.IFNA(IF('Interactive Selection Sheet'!A162 = "", VLOOKUP('Interactive Selection Sheet'!$B162, 'Master List Import'!$A$1:$P$519, 16, FALSE), ""), "")</f>
        <v>3.25</v>
      </c>
    </row>
    <row r="266" spans="1:18" ht="21.75" customHeight="1" x14ac:dyDescent="0.25">
      <c r="A266" s="69">
        <f>_xlfn.IFNA(IF('Interactive Selection Sheet'!A163 = "", VLOOKUP('Interactive Selection Sheet'!$B163, 'Master List Import'!$A$1:$P$519, 2, FALSE), ""), "")</f>
        <v>6104</v>
      </c>
      <c r="B266" s="69" t="str">
        <f>_xlfn.IFNA(IF('Interactive Selection Sheet'!A163 = "", VLOOKUP('Interactive Selection Sheet'!$B163, 'Master List Import'!$A$1:$P$519, 3, FALSE), ""), "")</f>
        <v>A&amp;W Root Beer, 20oz bottle - 24/cs</v>
      </c>
      <c r="C266" s="76">
        <f>IF('Interactive Selection Sheet'!$T$2="", "", IF(B266="","",'Interactive Selection Sheet'!$T$2))</f>
        <v>3.5000000000000003E-2</v>
      </c>
      <c r="D266" s="70">
        <f>IF(B266 = "", "", 'Interactive Selection Sheet'!$P$2)</f>
        <v>4.4999999999999998E-2</v>
      </c>
      <c r="E266" s="70">
        <f>IF(B266="","", 'Interactive Selection Sheet'!$R$2)</f>
        <v>0.02</v>
      </c>
      <c r="F266" s="69" t="str">
        <f>_xlfn.IFNA(IF('Interactive Selection Sheet'!A163 = "", VLOOKUP('Interactive Selection Sheet'!$B163, 'Master List Import'!$A$1:$P$519, 4, FALSE), ""), "")</f>
        <v>Beverages</v>
      </c>
      <c r="G266" s="69" t="str">
        <f>_xlfn.IFNA(IF('Interactive Selection Sheet'!A163 = "", VLOOKUP('Interactive Selection Sheet'!$B163, 'Master List Import'!$A$1:$P$519, 5, FALSE), ""), "")</f>
        <v>Beverages</v>
      </c>
      <c r="H266" s="69" t="str">
        <f>_xlfn.IFNA(IF('Interactive Selection Sheet'!A163 = "", VLOOKUP('Interactive Selection Sheet'!$B163, 'Master List Import'!$A$1:$P$519, 6, FALSE), ""), "")</f>
        <v>Both</v>
      </c>
      <c r="I266" s="72">
        <f>_xlfn.IFNA(IF('Interactive Selection Sheet'!A163 = "", VLOOKUP('Interactive Selection Sheet'!$B163, 'Master List Import'!$A$1:$P$519, 7, FALSE), ""), "")</f>
        <v>0.9325</v>
      </c>
      <c r="J266" s="69" t="str">
        <f>_xlfn.IFNA(IF('Interactive Selection Sheet'!A163 = "", VLOOKUP('Interactive Selection Sheet'!$B163, 'Master List Import'!$A$1:$P$519, 8, FALSE), ""), "")</f>
        <v>Vistar</v>
      </c>
      <c r="K266" s="69" t="str">
        <f>_xlfn.IFNA(IF('Interactive Selection Sheet'!A163 = "", VLOOKUP('Interactive Selection Sheet'!$B163, 'Master List Import'!$A$1:$P$519, 9, FALSE), ""), "")</f>
        <v>DRP32500</v>
      </c>
      <c r="L266" s="69">
        <f>_xlfn.IFNA(IF('Interactive Selection Sheet'!A163 = "", VLOOKUP('Interactive Selection Sheet'!$B163, 'Master List Import'!$A$1:$P$519, 10, FALSE), ""), "")</f>
        <v>0</v>
      </c>
      <c r="M266" s="69">
        <f>_xlfn.IFNA(IF('Interactive Selection Sheet'!A163 = "", VLOOKUP('Interactive Selection Sheet'!$B163, 'Master List Import'!$A$1:$P$519, 11, FALSE), ""), "")</f>
        <v>0</v>
      </c>
      <c r="N266" s="69">
        <f>_xlfn.IFNA(IF('Interactive Selection Sheet'!A163 = "", VLOOKUP('Interactive Selection Sheet'!$B163, 'Master List Import'!$A$1:$P$519, 12, FALSE), ""), "")</f>
        <v>24</v>
      </c>
      <c r="O266" s="69">
        <f>_xlfn.IFNA(IF('Interactive Selection Sheet'!A163 = "", VLOOKUP('Interactive Selection Sheet'!$B163, 'Master List Import'!$A$1:$P$519, 13, FALSE), ""), "")</f>
        <v>6104</v>
      </c>
      <c r="P266" s="69" t="str">
        <f>_xlfn.IFNA(IF('Interactive Selection Sheet'!A163 = "", VLOOKUP('Interactive Selection Sheet'!$B163, 'Master List Import'!$A$1:$P$519, 14, FALSE), ""), "")</f>
        <v>A&amp;W Root Beer</v>
      </c>
      <c r="Q266" s="69">
        <f>_xlfn.IFNA(IF('Interactive Selection Sheet'!A163 = "", VLOOKUP('Interactive Selection Sheet'!$B163, 'Master List Import'!$A$1:$P$519, 15, FALSE), ""), "")</f>
        <v>1</v>
      </c>
      <c r="R266" s="74">
        <f>_xlfn.IFNA(IF('Interactive Selection Sheet'!A163 = "", VLOOKUP('Interactive Selection Sheet'!$B163, 'Master List Import'!$A$1:$P$519, 16, FALSE), ""), "")</f>
        <v>3</v>
      </c>
    </row>
    <row r="267" spans="1:18" ht="21.75" customHeight="1" x14ac:dyDescent="0.25">
      <c r="A267" s="69">
        <f>_xlfn.IFNA(IF('Interactive Selection Sheet'!A164 = "", VLOOKUP('Interactive Selection Sheet'!$B164, 'Master List Import'!$A$1:$P$519, 2, FALSE), ""), "")</f>
        <v>6106</v>
      </c>
      <c r="B267" s="69" t="str">
        <f>_xlfn.IFNA(IF('Interactive Selection Sheet'!A164 = "", VLOOKUP('Interactive Selection Sheet'!$B164, 'Master List Import'!$A$1:$P$519, 3, FALSE), ""), "")</f>
        <v>Pineapple Soda, 20oz bottle - 24/cs</v>
      </c>
      <c r="C267" s="76">
        <f>IF('Interactive Selection Sheet'!$T$2="", "", IF(B267="","",'Interactive Selection Sheet'!$T$2))</f>
        <v>3.5000000000000003E-2</v>
      </c>
      <c r="D267" s="70">
        <f>IF(B267 = "", "", 'Interactive Selection Sheet'!$P$2)</f>
        <v>4.4999999999999998E-2</v>
      </c>
      <c r="E267" s="70">
        <f>IF(B267="","", 'Interactive Selection Sheet'!$R$2)</f>
        <v>0.02</v>
      </c>
      <c r="F267" s="69" t="str">
        <f>_xlfn.IFNA(IF('Interactive Selection Sheet'!A164 = "", VLOOKUP('Interactive Selection Sheet'!$B164, 'Master List Import'!$A$1:$P$519, 4, FALSE), ""), "")</f>
        <v>Beverages</v>
      </c>
      <c r="G267" s="69" t="str">
        <f>_xlfn.IFNA(IF('Interactive Selection Sheet'!A164 = "", VLOOKUP('Interactive Selection Sheet'!$B164, 'Master List Import'!$A$1:$P$519, 5, FALSE), ""), "")</f>
        <v>Beverages</v>
      </c>
      <c r="H267" s="69" t="str">
        <f>_xlfn.IFNA(IF('Interactive Selection Sheet'!A164 = "", VLOOKUP('Interactive Selection Sheet'!$B164, 'Master List Import'!$A$1:$P$519, 6, FALSE), ""), "")</f>
        <v>Both</v>
      </c>
      <c r="I267" s="72">
        <f>_xlfn.IFNA(IF('Interactive Selection Sheet'!A164 = "", VLOOKUP('Interactive Selection Sheet'!$B164, 'Master List Import'!$A$1:$P$519, 7, FALSE), ""), "")</f>
        <v>0.51659999999999995</v>
      </c>
      <c r="J267" s="69" t="str">
        <f>_xlfn.IFNA(IF('Interactive Selection Sheet'!A164 = "", VLOOKUP('Interactive Selection Sheet'!$B164, 'Master List Import'!$A$1:$P$519, 8, FALSE), ""), "")</f>
        <v>Vistar</v>
      </c>
      <c r="K267" s="69" t="str">
        <f>_xlfn.IFNA(IF('Interactive Selection Sheet'!A164 = "", VLOOKUP('Interactive Selection Sheet'!$B164, 'Master List Import'!$A$1:$P$519, 9, FALSE), ""), "")</f>
        <v>PSH1479</v>
      </c>
      <c r="L267" s="69">
        <f>_xlfn.IFNA(IF('Interactive Selection Sheet'!A164 = "", VLOOKUP('Interactive Selection Sheet'!$B164, 'Master List Import'!$A$1:$P$519, 10, FALSE), ""), "")</f>
        <v>0</v>
      </c>
      <c r="M267" s="69">
        <f>_xlfn.IFNA(IF('Interactive Selection Sheet'!A164 = "", VLOOKUP('Interactive Selection Sheet'!$B164, 'Master List Import'!$A$1:$P$519, 11, FALSE), ""), "")</f>
        <v>0</v>
      </c>
      <c r="N267" s="69">
        <f>_xlfn.IFNA(IF('Interactive Selection Sheet'!A164 = "", VLOOKUP('Interactive Selection Sheet'!$B164, 'Master List Import'!$A$1:$P$519, 12, FALSE), ""), "")</f>
        <v>24</v>
      </c>
      <c r="O267" s="69">
        <f>_xlfn.IFNA(IF('Interactive Selection Sheet'!A164 = "", VLOOKUP('Interactive Selection Sheet'!$B164, 'Master List Import'!$A$1:$P$519, 13, FALSE), ""), "")</f>
        <v>6106</v>
      </c>
      <c r="P267" s="69" t="str">
        <f>_xlfn.IFNA(IF('Interactive Selection Sheet'!A164 = "", VLOOKUP('Interactive Selection Sheet'!$B164, 'Master List Import'!$A$1:$P$519, 14, FALSE), ""), "")</f>
        <v>Pineapple Soda</v>
      </c>
      <c r="Q267" s="69">
        <f>_xlfn.IFNA(IF('Interactive Selection Sheet'!A164 = "", VLOOKUP('Interactive Selection Sheet'!$B164, 'Master List Import'!$A$1:$P$519, 15, FALSE), ""), "")</f>
        <v>1</v>
      </c>
      <c r="R267" s="74">
        <f>_xlfn.IFNA(IF('Interactive Selection Sheet'!A164 = "", VLOOKUP('Interactive Selection Sheet'!$B164, 'Master List Import'!$A$1:$P$519, 16, FALSE), ""), "")</f>
        <v>1.8</v>
      </c>
    </row>
    <row r="268" spans="1:18" ht="21.75" customHeight="1" x14ac:dyDescent="0.25">
      <c r="A268" s="69">
        <f>_xlfn.IFNA(IF('Interactive Selection Sheet'!A165 = "", VLOOKUP('Interactive Selection Sheet'!$B165, 'Master List Import'!$A$1:$P$519, 2, FALSE), ""), "")</f>
        <v>6107</v>
      </c>
      <c r="B268" s="69" t="str">
        <f>_xlfn.IFNA(IF('Interactive Selection Sheet'!A165 = "", VLOOKUP('Interactive Selection Sheet'!$B165, 'Master List Import'!$A$1:$P$519, 3, FALSE), ""), "")</f>
        <v>Orange Soda, 20oz bottle - 24/cs</v>
      </c>
      <c r="C268" s="76">
        <f>IF('Interactive Selection Sheet'!$T$2="", "", IF(B268="","",'Interactive Selection Sheet'!$T$2))</f>
        <v>3.5000000000000003E-2</v>
      </c>
      <c r="D268" s="70">
        <f>IF(B268 = "", "", 'Interactive Selection Sheet'!$P$2)</f>
        <v>4.4999999999999998E-2</v>
      </c>
      <c r="E268" s="70">
        <f>IF(B268="","", 'Interactive Selection Sheet'!$R$2)</f>
        <v>0.02</v>
      </c>
      <c r="F268" s="69" t="str">
        <f>_xlfn.IFNA(IF('Interactive Selection Sheet'!A165 = "", VLOOKUP('Interactive Selection Sheet'!$B165, 'Master List Import'!$A$1:$P$519, 4, FALSE), ""), "")</f>
        <v>Beverages</v>
      </c>
      <c r="G268" s="69" t="str">
        <f>_xlfn.IFNA(IF('Interactive Selection Sheet'!A165 = "", VLOOKUP('Interactive Selection Sheet'!$B165, 'Master List Import'!$A$1:$P$519, 5, FALSE), ""), "")</f>
        <v>Beverages</v>
      </c>
      <c r="H268" s="69" t="str">
        <f>_xlfn.IFNA(IF('Interactive Selection Sheet'!A165 = "", VLOOKUP('Interactive Selection Sheet'!$B165, 'Master List Import'!$A$1:$P$519, 6, FALSE), ""), "")</f>
        <v>Both</v>
      </c>
      <c r="I268" s="72">
        <f>_xlfn.IFNA(IF('Interactive Selection Sheet'!A165 = "", VLOOKUP('Interactive Selection Sheet'!$B165, 'Master List Import'!$A$1:$P$519, 7, FALSE), ""), "")</f>
        <v>0.51659999999999995</v>
      </c>
      <c r="J268" s="69" t="str">
        <f>_xlfn.IFNA(IF('Interactive Selection Sheet'!A165 = "", VLOOKUP('Interactive Selection Sheet'!$B165, 'Master List Import'!$A$1:$P$519, 8, FALSE), ""), "")</f>
        <v>Vistar</v>
      </c>
      <c r="K268" s="69" t="str">
        <f>_xlfn.IFNA(IF('Interactive Selection Sheet'!A165 = "", VLOOKUP('Interactive Selection Sheet'!$B165, 'Master List Import'!$A$1:$P$519, 9, FALSE), ""), "")</f>
        <v>PSH1477</v>
      </c>
      <c r="L268" s="69">
        <f>_xlfn.IFNA(IF('Interactive Selection Sheet'!A165 = "", VLOOKUP('Interactive Selection Sheet'!$B165, 'Master List Import'!$A$1:$P$519, 10, FALSE), ""), "")</f>
        <v>0</v>
      </c>
      <c r="M268" s="69">
        <f>_xlfn.IFNA(IF('Interactive Selection Sheet'!A165 = "", VLOOKUP('Interactive Selection Sheet'!$B165, 'Master List Import'!$A$1:$P$519, 11, FALSE), ""), "")</f>
        <v>0</v>
      </c>
      <c r="N268" s="69">
        <f>_xlfn.IFNA(IF('Interactive Selection Sheet'!A165 = "", VLOOKUP('Interactive Selection Sheet'!$B165, 'Master List Import'!$A$1:$P$519, 12, FALSE), ""), "")</f>
        <v>24</v>
      </c>
      <c r="O268" s="69">
        <f>_xlfn.IFNA(IF('Interactive Selection Sheet'!A165 = "", VLOOKUP('Interactive Selection Sheet'!$B165, 'Master List Import'!$A$1:$P$519, 13, FALSE), ""), "")</f>
        <v>6107</v>
      </c>
      <c r="P268" s="69" t="str">
        <f>_xlfn.IFNA(IF('Interactive Selection Sheet'!A165 = "", VLOOKUP('Interactive Selection Sheet'!$B165, 'Master List Import'!$A$1:$P$519, 14, FALSE), ""), "")</f>
        <v>Orange Soda</v>
      </c>
      <c r="Q268" s="69">
        <f>_xlfn.IFNA(IF('Interactive Selection Sheet'!A165 = "", VLOOKUP('Interactive Selection Sheet'!$B165, 'Master List Import'!$A$1:$P$519, 15, FALSE), ""), "")</f>
        <v>1</v>
      </c>
      <c r="R268" s="74">
        <f>_xlfn.IFNA(IF('Interactive Selection Sheet'!A165 = "", VLOOKUP('Interactive Selection Sheet'!$B165, 'Master List Import'!$A$1:$P$519, 16, FALSE), ""), "")</f>
        <v>1.8</v>
      </c>
    </row>
    <row r="269" spans="1:18" ht="21.75" customHeight="1" x14ac:dyDescent="0.25">
      <c r="A269" s="69">
        <f>_xlfn.IFNA(IF('Interactive Selection Sheet'!A166 = "", VLOOKUP('Interactive Selection Sheet'!$B166, 'Master List Import'!$A$1:$P$519, 2, FALSE), ""), "")</f>
        <v>6108</v>
      </c>
      <c r="B269" s="69" t="str">
        <f>_xlfn.IFNA(IF('Interactive Selection Sheet'!A166 = "", VLOOKUP('Interactive Selection Sheet'!$B166, 'Master List Import'!$A$1:$P$519, 3, FALSE), ""), "")</f>
        <v>Peach Soda, 20oz bottle - 24/cs</v>
      </c>
      <c r="C269" s="76">
        <f>IF('Interactive Selection Sheet'!$T$2="", "", IF(B269="","",'Interactive Selection Sheet'!$T$2))</f>
        <v>3.5000000000000003E-2</v>
      </c>
      <c r="D269" s="70">
        <f>IF(B269 = "", "", 'Interactive Selection Sheet'!$P$2)</f>
        <v>4.4999999999999998E-2</v>
      </c>
      <c r="E269" s="70">
        <f>IF(B269="","", 'Interactive Selection Sheet'!$R$2)</f>
        <v>0.02</v>
      </c>
      <c r="F269" s="69" t="str">
        <f>_xlfn.IFNA(IF('Interactive Selection Sheet'!A166 = "", VLOOKUP('Interactive Selection Sheet'!$B166, 'Master List Import'!$A$1:$P$519, 4, FALSE), ""), "")</f>
        <v>Beverages</v>
      </c>
      <c r="G269" s="69" t="str">
        <f>_xlfn.IFNA(IF('Interactive Selection Sheet'!A166 = "", VLOOKUP('Interactive Selection Sheet'!$B166, 'Master List Import'!$A$1:$P$519, 5, FALSE), ""), "")</f>
        <v>Beverages</v>
      </c>
      <c r="H269" s="69" t="str">
        <f>_xlfn.IFNA(IF('Interactive Selection Sheet'!A166 = "", VLOOKUP('Interactive Selection Sheet'!$B166, 'Master List Import'!$A$1:$P$519, 6, FALSE), ""), "")</f>
        <v>Both</v>
      </c>
      <c r="I269" s="72">
        <f>_xlfn.IFNA(IF('Interactive Selection Sheet'!A166 = "", VLOOKUP('Interactive Selection Sheet'!$B166, 'Master List Import'!$A$1:$P$519, 7, FALSE), ""), "")</f>
        <v>0.51659999999999995</v>
      </c>
      <c r="J269" s="69" t="str">
        <f>_xlfn.IFNA(IF('Interactive Selection Sheet'!A166 = "", VLOOKUP('Interactive Selection Sheet'!$B166, 'Master List Import'!$A$1:$P$519, 8, FALSE), ""), "")</f>
        <v>Vistar</v>
      </c>
      <c r="K269" s="69" t="str">
        <f>_xlfn.IFNA(IF('Interactive Selection Sheet'!A166 = "", VLOOKUP('Interactive Selection Sheet'!$B166, 'Master List Import'!$A$1:$P$519, 9, FALSE), ""), "")</f>
        <v>PSH00225</v>
      </c>
      <c r="L269" s="69">
        <f>_xlfn.IFNA(IF('Interactive Selection Sheet'!A166 = "", VLOOKUP('Interactive Selection Sheet'!$B166, 'Master List Import'!$A$1:$P$519, 10, FALSE), ""), "")</f>
        <v>0</v>
      </c>
      <c r="M269" s="69">
        <f>_xlfn.IFNA(IF('Interactive Selection Sheet'!A166 = "", VLOOKUP('Interactive Selection Sheet'!$B166, 'Master List Import'!$A$1:$P$519, 11, FALSE), ""), "")</f>
        <v>0</v>
      </c>
      <c r="N269" s="69">
        <f>_xlfn.IFNA(IF('Interactive Selection Sheet'!A166 = "", VLOOKUP('Interactive Selection Sheet'!$B166, 'Master List Import'!$A$1:$P$519, 12, FALSE), ""), "")</f>
        <v>24</v>
      </c>
      <c r="O269" s="69">
        <f>_xlfn.IFNA(IF('Interactive Selection Sheet'!A166 = "", VLOOKUP('Interactive Selection Sheet'!$B166, 'Master List Import'!$A$1:$P$519, 13, FALSE), ""), "")</f>
        <v>6108</v>
      </c>
      <c r="P269" s="69" t="str">
        <f>_xlfn.IFNA(IF('Interactive Selection Sheet'!A166 = "", VLOOKUP('Interactive Selection Sheet'!$B166, 'Master List Import'!$A$1:$P$519, 14, FALSE), ""), "")</f>
        <v>Peach Soda</v>
      </c>
      <c r="Q269" s="69">
        <f>_xlfn.IFNA(IF('Interactive Selection Sheet'!A166 = "", VLOOKUP('Interactive Selection Sheet'!$B166, 'Master List Import'!$A$1:$P$519, 15, FALSE), ""), "")</f>
        <v>1</v>
      </c>
      <c r="R269" s="74">
        <f>_xlfn.IFNA(IF('Interactive Selection Sheet'!A166 = "", VLOOKUP('Interactive Selection Sheet'!$B166, 'Master List Import'!$A$1:$P$519, 16, FALSE), ""), "")</f>
        <v>1.8</v>
      </c>
    </row>
    <row r="270" spans="1:18" ht="21.75" customHeight="1" x14ac:dyDescent="0.25">
      <c r="A270" s="69">
        <f>_xlfn.IFNA(IF('Interactive Selection Sheet'!A167 = "", VLOOKUP('Interactive Selection Sheet'!$B167, 'Master List Import'!$A$1:$P$519, 2, FALSE), ""), "")</f>
        <v>6109</v>
      </c>
      <c r="B270" s="69" t="str">
        <f>_xlfn.IFNA(IF('Interactive Selection Sheet'!A167 = "", VLOOKUP('Interactive Selection Sheet'!$B167, 'Master List Import'!$A$1:$P$519, 3, FALSE), ""), "")</f>
        <v>Arctic Rain Soda, 20oz bottle - 24/cs</v>
      </c>
      <c r="C270" s="76">
        <f>IF('Interactive Selection Sheet'!$T$2="", "", IF(B270="","",'Interactive Selection Sheet'!$T$2))</f>
        <v>3.5000000000000003E-2</v>
      </c>
      <c r="D270" s="70">
        <f>IF(B270 = "", "", 'Interactive Selection Sheet'!$P$2)</f>
        <v>4.4999999999999998E-2</v>
      </c>
      <c r="E270" s="70">
        <f>IF(B270="","", 'Interactive Selection Sheet'!$R$2)</f>
        <v>0.02</v>
      </c>
      <c r="F270" s="69" t="str">
        <f>_xlfn.IFNA(IF('Interactive Selection Sheet'!A167 = "", VLOOKUP('Interactive Selection Sheet'!$B167, 'Master List Import'!$A$1:$P$519, 4, FALSE), ""), "")</f>
        <v>Beverages</v>
      </c>
      <c r="G270" s="69" t="str">
        <f>_xlfn.IFNA(IF('Interactive Selection Sheet'!A167 = "", VLOOKUP('Interactive Selection Sheet'!$B167, 'Master List Import'!$A$1:$P$519, 5, FALSE), ""), "")</f>
        <v>Beverages</v>
      </c>
      <c r="H270" s="69" t="str">
        <f>_xlfn.IFNA(IF('Interactive Selection Sheet'!A167 = "", VLOOKUP('Interactive Selection Sheet'!$B167, 'Master List Import'!$A$1:$P$519, 6, FALSE), ""), "")</f>
        <v>Both</v>
      </c>
      <c r="I270" s="72">
        <f>_xlfn.IFNA(IF('Interactive Selection Sheet'!A167 = "", VLOOKUP('Interactive Selection Sheet'!$B167, 'Master List Import'!$A$1:$P$519, 7, FALSE), ""), "")</f>
        <v>0.51659999999999995</v>
      </c>
      <c r="J270" s="69" t="str">
        <f>_xlfn.IFNA(IF('Interactive Selection Sheet'!A167 = "", VLOOKUP('Interactive Selection Sheet'!$B167, 'Master List Import'!$A$1:$P$519, 8, FALSE), ""), "")</f>
        <v>Vistar</v>
      </c>
      <c r="K270" s="69" t="str">
        <f>_xlfn.IFNA(IF('Interactive Selection Sheet'!A167 = "", VLOOKUP('Interactive Selection Sheet'!$B167, 'Master List Import'!$A$1:$P$519, 9, FALSE), ""), "")</f>
        <v>PSH00226</v>
      </c>
      <c r="L270" s="69">
        <f>_xlfn.IFNA(IF('Interactive Selection Sheet'!A167 = "", VLOOKUP('Interactive Selection Sheet'!$B167, 'Master List Import'!$A$1:$P$519, 10, FALSE), ""), "")</f>
        <v>0</v>
      </c>
      <c r="M270" s="69">
        <f>_xlfn.IFNA(IF('Interactive Selection Sheet'!A167 = "", VLOOKUP('Interactive Selection Sheet'!$B167, 'Master List Import'!$A$1:$P$519, 11, FALSE), ""), "")</f>
        <v>0</v>
      </c>
      <c r="N270" s="69">
        <f>_xlfn.IFNA(IF('Interactive Selection Sheet'!A167 = "", VLOOKUP('Interactive Selection Sheet'!$B167, 'Master List Import'!$A$1:$P$519, 12, FALSE), ""), "")</f>
        <v>24</v>
      </c>
      <c r="O270" s="69">
        <f>_xlfn.IFNA(IF('Interactive Selection Sheet'!A167 = "", VLOOKUP('Interactive Selection Sheet'!$B167, 'Master List Import'!$A$1:$P$519, 13, FALSE), ""), "")</f>
        <v>6109</v>
      </c>
      <c r="P270" s="69" t="str">
        <f>_xlfn.IFNA(IF('Interactive Selection Sheet'!A167 = "", VLOOKUP('Interactive Selection Sheet'!$B167, 'Master List Import'!$A$1:$P$519, 14, FALSE), ""), "")</f>
        <v>Arctic Rain Soda</v>
      </c>
      <c r="Q270" s="69">
        <f>_xlfn.IFNA(IF('Interactive Selection Sheet'!A167 = "", VLOOKUP('Interactive Selection Sheet'!$B167, 'Master List Import'!$A$1:$P$519, 15, FALSE), ""), "")</f>
        <v>1</v>
      </c>
      <c r="R270" s="74">
        <f>_xlfn.IFNA(IF('Interactive Selection Sheet'!A167 = "", VLOOKUP('Interactive Selection Sheet'!$B167, 'Master List Import'!$A$1:$P$519, 16, FALSE), ""), "")</f>
        <v>1.8</v>
      </c>
    </row>
    <row r="271" spans="1:18" ht="21.75" customHeight="1" x14ac:dyDescent="0.25">
      <c r="A271" s="69">
        <f>_xlfn.IFNA(IF('Interactive Selection Sheet'!A168 = "", VLOOKUP('Interactive Selection Sheet'!$B168, 'Master List Import'!$A$1:$P$519, 2, FALSE), ""), "")</f>
        <v>6110</v>
      </c>
      <c r="B271" s="69" t="str">
        <f>_xlfn.IFNA(IF('Interactive Selection Sheet'!A168 = "", VLOOKUP('Interactive Selection Sheet'!$B168, 'Master List Import'!$A$1:$P$519, 3, FALSE), ""), "")</f>
        <v>Black Cola Soda, 20oz bottle - 24/cs</v>
      </c>
      <c r="C271" s="76">
        <f>IF('Interactive Selection Sheet'!$T$2="", "", IF(B271="","",'Interactive Selection Sheet'!$T$2))</f>
        <v>3.5000000000000003E-2</v>
      </c>
      <c r="D271" s="70">
        <f>IF(B271 = "", "", 'Interactive Selection Sheet'!$P$2)</f>
        <v>4.4999999999999998E-2</v>
      </c>
      <c r="E271" s="70">
        <f>IF(B271="","", 'Interactive Selection Sheet'!$R$2)</f>
        <v>0.02</v>
      </c>
      <c r="F271" s="69" t="str">
        <f>_xlfn.IFNA(IF('Interactive Selection Sheet'!A168 = "", VLOOKUP('Interactive Selection Sheet'!$B168, 'Master List Import'!$A$1:$P$519, 4, FALSE), ""), "")</f>
        <v>Beverages</v>
      </c>
      <c r="G271" s="69" t="str">
        <f>_xlfn.IFNA(IF('Interactive Selection Sheet'!A168 = "", VLOOKUP('Interactive Selection Sheet'!$B168, 'Master List Import'!$A$1:$P$519, 5, FALSE), ""), "")</f>
        <v>Beverages</v>
      </c>
      <c r="H271" s="69" t="str">
        <f>_xlfn.IFNA(IF('Interactive Selection Sheet'!A168 = "", VLOOKUP('Interactive Selection Sheet'!$B168, 'Master List Import'!$A$1:$P$519, 6, FALSE), ""), "")</f>
        <v>Both</v>
      </c>
      <c r="I271" s="72">
        <f>_xlfn.IFNA(IF('Interactive Selection Sheet'!A168 = "", VLOOKUP('Interactive Selection Sheet'!$B168, 'Master List Import'!$A$1:$P$519, 7, FALSE), ""), "")</f>
        <v>0.51659999999999995</v>
      </c>
      <c r="J271" s="69" t="str">
        <f>_xlfn.IFNA(IF('Interactive Selection Sheet'!A168 = "", VLOOKUP('Interactive Selection Sheet'!$B168, 'Master List Import'!$A$1:$P$519, 8, FALSE), ""), "")</f>
        <v>Vistar</v>
      </c>
      <c r="K271" s="69" t="str">
        <f>_xlfn.IFNA(IF('Interactive Selection Sheet'!A168 = "", VLOOKUP('Interactive Selection Sheet'!$B168, 'Master List Import'!$A$1:$P$519, 9, FALSE), ""), "")</f>
        <v>PSH0228</v>
      </c>
      <c r="L271" s="69">
        <f>_xlfn.IFNA(IF('Interactive Selection Sheet'!A168 = "", VLOOKUP('Interactive Selection Sheet'!$B168, 'Master List Import'!$A$1:$P$519, 10, FALSE), ""), "")</f>
        <v>0</v>
      </c>
      <c r="M271" s="69">
        <f>_xlfn.IFNA(IF('Interactive Selection Sheet'!A168 = "", VLOOKUP('Interactive Selection Sheet'!$B168, 'Master List Import'!$A$1:$P$519, 11, FALSE), ""), "")</f>
        <v>0</v>
      </c>
      <c r="N271" s="69">
        <f>_xlfn.IFNA(IF('Interactive Selection Sheet'!A168 = "", VLOOKUP('Interactive Selection Sheet'!$B168, 'Master List Import'!$A$1:$P$519, 12, FALSE), ""), "")</f>
        <v>24</v>
      </c>
      <c r="O271" s="69">
        <f>_xlfn.IFNA(IF('Interactive Selection Sheet'!A168 = "", VLOOKUP('Interactive Selection Sheet'!$B168, 'Master List Import'!$A$1:$P$519, 13, FALSE), ""), "")</f>
        <v>6110</v>
      </c>
      <c r="P271" s="69" t="str">
        <f>_xlfn.IFNA(IF('Interactive Selection Sheet'!A168 = "", VLOOKUP('Interactive Selection Sheet'!$B168, 'Master List Import'!$A$1:$P$519, 14, FALSE), ""), "")</f>
        <v>Black Cola Soda</v>
      </c>
      <c r="Q271" s="69">
        <f>_xlfn.IFNA(IF('Interactive Selection Sheet'!A168 = "", VLOOKUP('Interactive Selection Sheet'!$B168, 'Master List Import'!$A$1:$P$519, 15, FALSE), ""), "")</f>
        <v>1</v>
      </c>
      <c r="R271" s="74">
        <f>_xlfn.IFNA(IF('Interactive Selection Sheet'!A168 = "", VLOOKUP('Interactive Selection Sheet'!$B168, 'Master List Import'!$A$1:$P$519, 16, FALSE), ""), "")</f>
        <v>1.8</v>
      </c>
    </row>
    <row r="272" spans="1:18" ht="21.75" customHeight="1" x14ac:dyDescent="0.25">
      <c r="A272" s="69">
        <f>_xlfn.IFNA(IF('Interactive Selection Sheet'!A169 = "", VLOOKUP('Interactive Selection Sheet'!$B169, 'Master List Import'!$A$1:$P$519, 2, FALSE), ""), "")</f>
        <v>6200</v>
      </c>
      <c r="B272" s="69" t="str">
        <f>_xlfn.IFNA(IF('Interactive Selection Sheet'!A169 = "", VLOOKUP('Interactive Selection Sheet'!$B169, 'Master List Import'!$A$1:$P$519, 3, FALSE), ""), "")</f>
        <v>G2 Sport Drink, Cool Blue, 20oz bottle - 24/cs</v>
      </c>
      <c r="C272" s="76">
        <f>IF('Interactive Selection Sheet'!$T$2="", "", IF(B272="","",'Interactive Selection Sheet'!$T$2))</f>
        <v>3.5000000000000003E-2</v>
      </c>
      <c r="D272" s="70">
        <f>IF(B272 = "", "", 'Interactive Selection Sheet'!$P$2)</f>
        <v>4.4999999999999998E-2</v>
      </c>
      <c r="E272" s="70">
        <f>IF(B272="","", 'Interactive Selection Sheet'!$R$2)</f>
        <v>0.02</v>
      </c>
      <c r="F272" s="69" t="str">
        <f>_xlfn.IFNA(IF('Interactive Selection Sheet'!A169 = "", VLOOKUP('Interactive Selection Sheet'!$B169, 'Master List Import'!$A$1:$P$519, 4, FALSE), ""), "")</f>
        <v>Beverages</v>
      </c>
      <c r="G272" s="69" t="str">
        <f>_xlfn.IFNA(IF('Interactive Selection Sheet'!A169 = "", VLOOKUP('Interactive Selection Sheet'!$B169, 'Master List Import'!$A$1:$P$519, 5, FALSE), ""), "")</f>
        <v>Beverages</v>
      </c>
      <c r="H272" s="69" t="str">
        <f>_xlfn.IFNA(IF('Interactive Selection Sheet'!A169 = "", VLOOKUP('Interactive Selection Sheet'!$B169, 'Master List Import'!$A$1:$P$519, 6, FALSE), ""), "")</f>
        <v>Both</v>
      </c>
      <c r="I272" s="72">
        <f>_xlfn.IFNA(IF('Interactive Selection Sheet'!A169 = "", VLOOKUP('Interactive Selection Sheet'!$B169, 'Master List Import'!$A$1:$P$519, 7, FALSE), ""), "")</f>
        <v>0.93330000000000002</v>
      </c>
      <c r="J272" s="69" t="str">
        <f>_xlfn.IFNA(IF('Interactive Selection Sheet'!A169 = "", VLOOKUP('Interactive Selection Sheet'!$B169, 'Master List Import'!$A$1:$P$519, 8, FALSE), ""), "")</f>
        <v>Vistar</v>
      </c>
      <c r="K272" s="69" t="str">
        <f>_xlfn.IFNA(IF('Interactive Selection Sheet'!A169 = "", VLOOKUP('Interactive Selection Sheet'!$B169, 'Master List Import'!$A$1:$P$519, 9, FALSE), ""), "")</f>
        <v>QUA32481</v>
      </c>
      <c r="L272" s="69">
        <f>_xlfn.IFNA(IF('Interactive Selection Sheet'!A169 = "", VLOOKUP('Interactive Selection Sheet'!$B169, 'Master List Import'!$A$1:$P$519, 10, FALSE), ""), "")</f>
        <v>0</v>
      </c>
      <c r="M272" s="69">
        <f>_xlfn.IFNA(IF('Interactive Selection Sheet'!A169 = "", VLOOKUP('Interactive Selection Sheet'!$B169, 'Master List Import'!$A$1:$P$519, 11, FALSE), ""), "")</f>
        <v>0</v>
      </c>
      <c r="N272" s="69">
        <f>_xlfn.IFNA(IF('Interactive Selection Sheet'!A169 = "", VLOOKUP('Interactive Selection Sheet'!$B169, 'Master List Import'!$A$1:$P$519, 12, FALSE), ""), "")</f>
        <v>24</v>
      </c>
      <c r="O272" s="69">
        <f>_xlfn.IFNA(IF('Interactive Selection Sheet'!A169 = "", VLOOKUP('Interactive Selection Sheet'!$B169, 'Master List Import'!$A$1:$P$519, 13, FALSE), ""), "")</f>
        <v>6200</v>
      </c>
      <c r="P272" s="69" t="str">
        <f>_xlfn.IFNA(IF('Interactive Selection Sheet'!A169 = "", VLOOKUP('Interactive Selection Sheet'!$B169, 'Master List Import'!$A$1:$P$519, 14, FALSE), ""), "")</f>
        <v>Gatorade Cool Blue</v>
      </c>
      <c r="Q272" s="69">
        <f>_xlfn.IFNA(IF('Interactive Selection Sheet'!A169 = "", VLOOKUP('Interactive Selection Sheet'!$B169, 'Master List Import'!$A$1:$P$519, 15, FALSE), ""), "")</f>
        <v>1</v>
      </c>
      <c r="R272" s="74">
        <f>_xlfn.IFNA(IF('Interactive Selection Sheet'!A169 = "", VLOOKUP('Interactive Selection Sheet'!$B169, 'Master List Import'!$A$1:$P$519, 16, FALSE), ""), "")</f>
        <v>3</v>
      </c>
    </row>
    <row r="273" spans="1:18" ht="21.75" customHeight="1" x14ac:dyDescent="0.25">
      <c r="A273" s="69">
        <f>_xlfn.IFNA(IF('Interactive Selection Sheet'!A170 = "", VLOOKUP('Interactive Selection Sheet'!$B170, 'Master List Import'!$A$1:$P$519, 2, FALSE), ""), "")</f>
        <v>6201</v>
      </c>
      <c r="B273" s="69" t="str">
        <f>_xlfn.IFNA(IF('Interactive Selection Sheet'!A170 = "", VLOOKUP('Interactive Selection Sheet'!$B170, 'Master List Import'!$A$1:$P$519, 3, FALSE), ""), "")</f>
        <v>G2 Sport Drink, Grape, 20oz bottle - 24/cs</v>
      </c>
      <c r="C273" s="76">
        <f>IF('Interactive Selection Sheet'!$T$2="", "", IF(B273="","",'Interactive Selection Sheet'!$T$2))</f>
        <v>3.5000000000000003E-2</v>
      </c>
      <c r="D273" s="70">
        <f>IF(B273 = "", "", 'Interactive Selection Sheet'!$P$2)</f>
        <v>4.4999999999999998E-2</v>
      </c>
      <c r="E273" s="70">
        <f>IF(B273="","", 'Interactive Selection Sheet'!$R$2)</f>
        <v>0.02</v>
      </c>
      <c r="F273" s="69" t="str">
        <f>_xlfn.IFNA(IF('Interactive Selection Sheet'!A170 = "", VLOOKUP('Interactive Selection Sheet'!$B170, 'Master List Import'!$A$1:$P$519, 4, FALSE), ""), "")</f>
        <v>Beverages</v>
      </c>
      <c r="G273" s="69" t="str">
        <f>_xlfn.IFNA(IF('Interactive Selection Sheet'!A170 = "", VLOOKUP('Interactive Selection Sheet'!$B170, 'Master List Import'!$A$1:$P$519, 5, FALSE), ""), "")</f>
        <v>Beverages</v>
      </c>
      <c r="H273" s="69" t="str">
        <f>_xlfn.IFNA(IF('Interactive Selection Sheet'!A170 = "", VLOOKUP('Interactive Selection Sheet'!$B170, 'Master List Import'!$A$1:$P$519, 6, FALSE), ""), "")</f>
        <v>Both</v>
      </c>
      <c r="I273" s="72">
        <f>_xlfn.IFNA(IF('Interactive Selection Sheet'!A170 = "", VLOOKUP('Interactive Selection Sheet'!$B170, 'Master List Import'!$A$1:$P$519, 7, FALSE), ""), "")</f>
        <v>0.93330000000000002</v>
      </c>
      <c r="J273" s="69" t="str">
        <f>_xlfn.IFNA(IF('Interactive Selection Sheet'!A170 = "", VLOOKUP('Interactive Selection Sheet'!$B170, 'Master List Import'!$A$1:$P$519, 8, FALSE), ""), "")</f>
        <v>Vistar</v>
      </c>
      <c r="K273" s="69" t="str">
        <f>_xlfn.IFNA(IF('Interactive Selection Sheet'!A170 = "", VLOOKUP('Interactive Selection Sheet'!$B170, 'Master List Import'!$A$1:$P$519, 9, FALSE), ""), "")</f>
        <v>QUA20406</v>
      </c>
      <c r="L273" s="69">
        <f>_xlfn.IFNA(IF('Interactive Selection Sheet'!A170 = "", VLOOKUP('Interactive Selection Sheet'!$B170, 'Master List Import'!$A$1:$P$519, 10, FALSE), ""), "")</f>
        <v>0</v>
      </c>
      <c r="M273" s="69">
        <f>_xlfn.IFNA(IF('Interactive Selection Sheet'!A170 = "", VLOOKUP('Interactive Selection Sheet'!$B170, 'Master List Import'!$A$1:$P$519, 11, FALSE), ""), "")</f>
        <v>0</v>
      </c>
      <c r="N273" s="69">
        <f>_xlfn.IFNA(IF('Interactive Selection Sheet'!A170 = "", VLOOKUP('Interactive Selection Sheet'!$B170, 'Master List Import'!$A$1:$P$519, 12, FALSE), ""), "")</f>
        <v>24</v>
      </c>
      <c r="O273" s="69">
        <f>_xlfn.IFNA(IF('Interactive Selection Sheet'!A170 = "", VLOOKUP('Interactive Selection Sheet'!$B170, 'Master List Import'!$A$1:$P$519, 13, FALSE), ""), "")</f>
        <v>6201</v>
      </c>
      <c r="P273" s="69" t="str">
        <f>_xlfn.IFNA(IF('Interactive Selection Sheet'!A170 = "", VLOOKUP('Interactive Selection Sheet'!$B170, 'Master List Import'!$A$1:$P$519, 14, FALSE), ""), "")</f>
        <v>Gatorade Grape</v>
      </c>
      <c r="Q273" s="69">
        <f>_xlfn.IFNA(IF('Interactive Selection Sheet'!A170 = "", VLOOKUP('Interactive Selection Sheet'!$B170, 'Master List Import'!$A$1:$P$519, 15, FALSE), ""), "")</f>
        <v>1</v>
      </c>
      <c r="R273" s="74">
        <f>_xlfn.IFNA(IF('Interactive Selection Sheet'!A170 = "", VLOOKUP('Interactive Selection Sheet'!$B170, 'Master List Import'!$A$1:$P$519, 16, FALSE), ""), "")</f>
        <v>3</v>
      </c>
    </row>
    <row r="274" spans="1:18" ht="21.75" customHeight="1" x14ac:dyDescent="0.25">
      <c r="A274" s="69">
        <f>_xlfn.IFNA(IF('Interactive Selection Sheet'!A171 = "", VLOOKUP('Interactive Selection Sheet'!$B171, 'Master List Import'!$A$1:$P$519, 2, FALSE), ""), "")</f>
        <v>6202</v>
      </c>
      <c r="B274" s="69" t="str">
        <f>_xlfn.IFNA(IF('Interactive Selection Sheet'!A171 = "", VLOOKUP('Interactive Selection Sheet'!$B171, 'Master List Import'!$A$1:$P$519, 3, FALSE), ""), "")</f>
        <v>G2 Sport Drink, Fruit Punch, 20oz bottle - 24/cs</v>
      </c>
      <c r="C274" s="76">
        <f>IF('Interactive Selection Sheet'!$T$2="", "", IF(B274="","",'Interactive Selection Sheet'!$T$2))</f>
        <v>3.5000000000000003E-2</v>
      </c>
      <c r="D274" s="70">
        <f>IF(B274 = "", "", 'Interactive Selection Sheet'!$P$2)</f>
        <v>4.4999999999999998E-2</v>
      </c>
      <c r="E274" s="70">
        <f>IF(B274="","", 'Interactive Selection Sheet'!$R$2)</f>
        <v>0.02</v>
      </c>
      <c r="F274" s="69" t="str">
        <f>_xlfn.IFNA(IF('Interactive Selection Sheet'!A171 = "", VLOOKUP('Interactive Selection Sheet'!$B171, 'Master List Import'!$A$1:$P$519, 4, FALSE), ""), "")</f>
        <v>Beverages</v>
      </c>
      <c r="G274" s="69" t="str">
        <f>_xlfn.IFNA(IF('Interactive Selection Sheet'!A171 = "", VLOOKUP('Interactive Selection Sheet'!$B171, 'Master List Import'!$A$1:$P$519, 5, FALSE), ""), "")</f>
        <v>Beverages</v>
      </c>
      <c r="H274" s="69" t="str">
        <f>_xlfn.IFNA(IF('Interactive Selection Sheet'!A171 = "", VLOOKUP('Interactive Selection Sheet'!$B171, 'Master List Import'!$A$1:$P$519, 6, FALSE), ""), "")</f>
        <v>Both</v>
      </c>
      <c r="I274" s="72">
        <f>_xlfn.IFNA(IF('Interactive Selection Sheet'!A171 = "", VLOOKUP('Interactive Selection Sheet'!$B171, 'Master List Import'!$A$1:$P$519, 7, FALSE), ""), "")</f>
        <v>0.93330000000000002</v>
      </c>
      <c r="J274" s="69" t="str">
        <f>_xlfn.IFNA(IF('Interactive Selection Sheet'!A171 = "", VLOOKUP('Interactive Selection Sheet'!$B171, 'Master List Import'!$A$1:$P$519, 8, FALSE), ""), "")</f>
        <v>Vistar</v>
      </c>
      <c r="K274" s="69" t="str">
        <f>_xlfn.IFNA(IF('Interactive Selection Sheet'!A171 = "", VLOOKUP('Interactive Selection Sheet'!$B171, 'Master List Import'!$A$1:$P$519, 9, FALSE), ""), "")</f>
        <v>QUA20405</v>
      </c>
      <c r="L274" s="69">
        <f>_xlfn.IFNA(IF('Interactive Selection Sheet'!A171 = "", VLOOKUP('Interactive Selection Sheet'!$B171, 'Master List Import'!$A$1:$P$519, 10, FALSE), ""), "")</f>
        <v>0</v>
      </c>
      <c r="M274" s="69">
        <f>_xlfn.IFNA(IF('Interactive Selection Sheet'!A171 = "", VLOOKUP('Interactive Selection Sheet'!$B171, 'Master List Import'!$A$1:$P$519, 11, FALSE), ""), "")</f>
        <v>0</v>
      </c>
      <c r="N274" s="69">
        <f>_xlfn.IFNA(IF('Interactive Selection Sheet'!A171 = "", VLOOKUP('Interactive Selection Sheet'!$B171, 'Master List Import'!$A$1:$P$519, 12, FALSE), ""), "")</f>
        <v>24</v>
      </c>
      <c r="O274" s="69">
        <f>_xlfn.IFNA(IF('Interactive Selection Sheet'!A171 = "", VLOOKUP('Interactive Selection Sheet'!$B171, 'Master List Import'!$A$1:$P$519, 13, FALSE), ""), "")</f>
        <v>6202</v>
      </c>
      <c r="P274" s="69" t="str">
        <f>_xlfn.IFNA(IF('Interactive Selection Sheet'!A171 = "", VLOOKUP('Interactive Selection Sheet'!$B171, 'Master List Import'!$A$1:$P$519, 14, FALSE), ""), "")</f>
        <v>Gatorade Fruit Punch</v>
      </c>
      <c r="Q274" s="69">
        <f>_xlfn.IFNA(IF('Interactive Selection Sheet'!A171 = "", VLOOKUP('Interactive Selection Sheet'!$B171, 'Master List Import'!$A$1:$P$519, 15, FALSE), ""), "")</f>
        <v>1</v>
      </c>
      <c r="R274" s="74">
        <f>_xlfn.IFNA(IF('Interactive Selection Sheet'!A171 = "", VLOOKUP('Interactive Selection Sheet'!$B171, 'Master List Import'!$A$1:$P$519, 16, FALSE), ""), "")</f>
        <v>3</v>
      </c>
    </row>
    <row r="275" spans="1:18" ht="21.75" customHeight="1" x14ac:dyDescent="0.25">
      <c r="A275" s="69">
        <f>_xlfn.IFNA(IF('Interactive Selection Sheet'!A172 = "", VLOOKUP('Interactive Selection Sheet'!$B172, 'Master List Import'!$A$1:$P$519, 2, FALSE), ""), "")</f>
        <v>6203</v>
      </c>
      <c r="B275" s="69" t="str">
        <f>_xlfn.IFNA(IF('Interactive Selection Sheet'!A172 = "", VLOOKUP('Interactive Selection Sheet'!$B172, 'Master List Import'!$A$1:$P$519, 3, FALSE), ""), "")</f>
        <v>G2 Sport Drink Frost, Riptide Rush, 20oz bottle - 24/cs</v>
      </c>
      <c r="C275" s="76">
        <f>IF('Interactive Selection Sheet'!$T$2="", "", IF(B275="","",'Interactive Selection Sheet'!$T$2))</f>
        <v>3.5000000000000003E-2</v>
      </c>
      <c r="D275" s="70">
        <f>IF(B275 = "", "", 'Interactive Selection Sheet'!$P$2)</f>
        <v>4.4999999999999998E-2</v>
      </c>
      <c r="E275" s="70">
        <f>IF(B275="","", 'Interactive Selection Sheet'!$R$2)</f>
        <v>0.02</v>
      </c>
      <c r="F275" s="69" t="str">
        <f>_xlfn.IFNA(IF('Interactive Selection Sheet'!A172 = "", VLOOKUP('Interactive Selection Sheet'!$B172, 'Master List Import'!$A$1:$P$519, 4, FALSE), ""), "")</f>
        <v>Beverages</v>
      </c>
      <c r="G275" s="69" t="str">
        <f>_xlfn.IFNA(IF('Interactive Selection Sheet'!A172 = "", VLOOKUP('Interactive Selection Sheet'!$B172, 'Master List Import'!$A$1:$P$519, 5, FALSE), ""), "")</f>
        <v>Beverages</v>
      </c>
      <c r="H275" s="69" t="str">
        <f>_xlfn.IFNA(IF('Interactive Selection Sheet'!A172 = "", VLOOKUP('Interactive Selection Sheet'!$B172, 'Master List Import'!$A$1:$P$519, 6, FALSE), ""), "")</f>
        <v>Both</v>
      </c>
      <c r="I275" s="72">
        <f>_xlfn.IFNA(IF('Interactive Selection Sheet'!A172 = "", VLOOKUP('Interactive Selection Sheet'!$B172, 'Master List Import'!$A$1:$P$519, 7, FALSE), ""), "")</f>
        <v>0.93330000000000002</v>
      </c>
      <c r="J275" s="69" t="str">
        <f>_xlfn.IFNA(IF('Interactive Selection Sheet'!A172 = "", VLOOKUP('Interactive Selection Sheet'!$B172, 'Master List Import'!$A$1:$P$519, 8, FALSE), ""), "")</f>
        <v>Vistar</v>
      </c>
      <c r="K275" s="69" t="str">
        <f>_xlfn.IFNA(IF('Interactive Selection Sheet'!A172 = "", VLOOKUP('Interactive Selection Sheet'!$B172, 'Master List Import'!$A$1:$P$519, 9, FALSE), ""), "")</f>
        <v>QUA32488</v>
      </c>
      <c r="L275" s="69">
        <f>_xlfn.IFNA(IF('Interactive Selection Sheet'!A172 = "", VLOOKUP('Interactive Selection Sheet'!$B172, 'Master List Import'!$A$1:$P$519, 10, FALSE), ""), "")</f>
        <v>0</v>
      </c>
      <c r="M275" s="69">
        <f>_xlfn.IFNA(IF('Interactive Selection Sheet'!A172 = "", VLOOKUP('Interactive Selection Sheet'!$B172, 'Master List Import'!$A$1:$P$519, 11, FALSE), ""), "")</f>
        <v>0</v>
      </c>
      <c r="N275" s="69">
        <f>_xlfn.IFNA(IF('Interactive Selection Sheet'!A172 = "", VLOOKUP('Interactive Selection Sheet'!$B172, 'Master List Import'!$A$1:$P$519, 12, FALSE), ""), "")</f>
        <v>24</v>
      </c>
      <c r="O275" s="69">
        <f>_xlfn.IFNA(IF('Interactive Selection Sheet'!A172 = "", VLOOKUP('Interactive Selection Sheet'!$B172, 'Master List Import'!$A$1:$P$519, 13, FALSE), ""), "")</f>
        <v>6203</v>
      </c>
      <c r="P275" s="69" t="str">
        <f>_xlfn.IFNA(IF('Interactive Selection Sheet'!A172 = "", VLOOKUP('Interactive Selection Sheet'!$B172, 'Master List Import'!$A$1:$P$519, 14, FALSE), ""), "")</f>
        <v>Gatorade Riptide Rush</v>
      </c>
      <c r="Q275" s="69">
        <f>_xlfn.IFNA(IF('Interactive Selection Sheet'!A172 = "", VLOOKUP('Interactive Selection Sheet'!$B172, 'Master List Import'!$A$1:$P$519, 15, FALSE), ""), "")</f>
        <v>1</v>
      </c>
      <c r="R275" s="74">
        <f>_xlfn.IFNA(IF('Interactive Selection Sheet'!A172 = "", VLOOKUP('Interactive Selection Sheet'!$B172, 'Master List Import'!$A$1:$P$519, 16, FALSE), ""), "")</f>
        <v>3</v>
      </c>
    </row>
    <row r="276" spans="1:18" ht="21.75" customHeight="1" x14ac:dyDescent="0.25">
      <c r="A276" s="69">
        <f>_xlfn.IFNA(IF('Interactive Selection Sheet'!F158= "", VLOOKUP('Interactive Selection Sheet'!$G158, 'Master List Import'!$A$1:$P$519, 2, FALSE), ""), "")</f>
        <v>6301</v>
      </c>
      <c r="B276" s="69" t="str">
        <f>_xlfn.IFNA(IF('Interactive Selection Sheet'!F158= "", VLOOKUP('Interactive Selection Sheet'!$G158, 'Master List Import'!$A$1:$P$519, 3, FALSE), ""), "")</f>
        <v>Wyler's Island Punch - Purple Berry, 10ct box - 12/cs</v>
      </c>
      <c r="C276" s="76">
        <f>IF('Interactive Selection Sheet'!$T$2="", "", IF(B276="","",'Interactive Selection Sheet'!$T$2))</f>
        <v>3.5000000000000003E-2</v>
      </c>
      <c r="D276" s="70">
        <f>IF(B276 = "", "", 'Interactive Selection Sheet'!$P$2)</f>
        <v>4.4999999999999998E-2</v>
      </c>
      <c r="E276" s="70">
        <f>IF(B276="","", 'Interactive Selection Sheet'!$R$2)</f>
        <v>0.02</v>
      </c>
      <c r="F276" s="69" t="str">
        <f>_xlfn.IFNA(IF('Interactive Selection Sheet'!F158= "", VLOOKUP('Interactive Selection Sheet'!$G158, 'Master List Import'!$A$1:$P$519, 4, FALSE), ""), "")</f>
        <v>Beverages</v>
      </c>
      <c r="G276" s="69" t="str">
        <f>_xlfn.IFNA(IF('Interactive Selection Sheet'!F158= "", VLOOKUP('Interactive Selection Sheet'!$G158, 'Master List Import'!$A$1:$P$519, 5, FALSE), ""), "")</f>
        <v>Beverages</v>
      </c>
      <c r="H276" s="69" t="str">
        <f>_xlfn.IFNA(IF('Interactive Selection Sheet'!F158= "", VLOOKUP('Interactive Selection Sheet'!$G158, 'Master List Import'!$A$1:$P$519, 6, FALSE), ""), "")</f>
        <v>Both</v>
      </c>
      <c r="I276" s="72">
        <f>_xlfn.IFNA(IF('Interactive Selection Sheet'!F158= "", VLOOKUP('Interactive Selection Sheet'!$G158, 'Master List Import'!$A$1:$P$519, 7, FALSE), ""), "")</f>
        <v>0.95</v>
      </c>
      <c r="J276" s="69" t="str">
        <f>_xlfn.IFNA(IF('Interactive Selection Sheet'!F158= "", VLOOKUP('Interactive Selection Sheet'!$G158, 'Master List Import'!$A$1:$P$519, 8, FALSE), ""), "")</f>
        <v>REI</v>
      </c>
      <c r="K276" s="69" t="str">
        <f>_xlfn.IFNA(IF('Interactive Selection Sheet'!F158= "", VLOOKUP('Interactive Selection Sheet'!$G158, 'Master List Import'!$A$1:$P$519, 9, FALSE), ""), "")</f>
        <v>028123</v>
      </c>
      <c r="L276" s="69">
        <f>_xlfn.IFNA(IF('Interactive Selection Sheet'!F158= "", VLOOKUP('Interactive Selection Sheet'!$G158, 'Master List Import'!$A$1:$P$519, 10, FALSE), ""), "")</f>
        <v>0</v>
      </c>
      <c r="M276" s="69">
        <f>_xlfn.IFNA(IF('Interactive Selection Sheet'!F158= "", VLOOKUP('Interactive Selection Sheet'!$G158, 'Master List Import'!$A$1:$P$519, 11, FALSE), ""), "")</f>
        <v>0</v>
      </c>
      <c r="N276" s="69">
        <f>_xlfn.IFNA(IF('Interactive Selection Sheet'!F158= "", VLOOKUP('Interactive Selection Sheet'!$G158, 'Master List Import'!$A$1:$P$519, 12, FALSE), ""), "")</f>
        <v>12</v>
      </c>
      <c r="O276" s="69">
        <f>_xlfn.IFNA(IF('Interactive Selection Sheet'!F158= "", VLOOKUP('Interactive Selection Sheet'!$G158, 'Master List Import'!$A$1:$P$519, 13, FALSE), ""), "")</f>
        <v>6301</v>
      </c>
      <c r="P276" s="69" t="str">
        <f>_xlfn.IFNA(IF('Interactive Selection Sheet'!F158= "", VLOOKUP('Interactive Selection Sheet'!$G158, 'Master List Import'!$A$1:$P$519, 14, FALSE), ""), "")</f>
        <v>Wyler's Purple Berry (10pk)</v>
      </c>
      <c r="Q276" s="69">
        <f>_xlfn.IFNA(IF('Interactive Selection Sheet'!F158= "", VLOOKUP('Interactive Selection Sheet'!$G158, 'Master List Import'!$A$1:$P$519, 15, FALSE), ""), "")</f>
        <v>1</v>
      </c>
      <c r="R276" s="74">
        <f>_xlfn.IFNA(IF('Interactive Selection Sheet'!F158= "", VLOOKUP('Interactive Selection Sheet'!$G158, 'Master List Import'!$A$1:$P$519, 16, FALSE), ""), "")</f>
        <v>3.5</v>
      </c>
    </row>
    <row r="277" spans="1:18" ht="21.75" customHeight="1" x14ac:dyDescent="0.25">
      <c r="A277" s="69">
        <f>_xlfn.IFNA(IF('Interactive Selection Sheet'!F159= "", VLOOKUP('Interactive Selection Sheet'!$G159, 'Master List Import'!$A$1:$P$519, 2, FALSE), ""), "")</f>
        <v>6302</v>
      </c>
      <c r="B277" s="69" t="str">
        <f>_xlfn.IFNA(IF('Interactive Selection Sheet'!F159= "", VLOOKUP('Interactive Selection Sheet'!$G159, 'Master List Import'!$A$1:$P$519, 3, FALSE), ""), "")</f>
        <v>Wyler's Island Punch - Fruity Red Punch, 10ct box - 12/cs</v>
      </c>
      <c r="C277" s="76">
        <f>IF('Interactive Selection Sheet'!$T$2="", "", IF(B277="","",'Interactive Selection Sheet'!$T$2))</f>
        <v>3.5000000000000003E-2</v>
      </c>
      <c r="D277" s="70">
        <f>IF(B277 = "", "", 'Interactive Selection Sheet'!$P$2)</f>
        <v>4.4999999999999998E-2</v>
      </c>
      <c r="E277" s="70">
        <f>IF(B277="","", 'Interactive Selection Sheet'!$R$2)</f>
        <v>0.02</v>
      </c>
      <c r="F277" s="69" t="str">
        <f>_xlfn.IFNA(IF('Interactive Selection Sheet'!F159= "", VLOOKUP('Interactive Selection Sheet'!$G159, 'Master List Import'!$A$1:$P$519, 4, FALSE), ""), "")</f>
        <v>Beverages</v>
      </c>
      <c r="G277" s="69" t="str">
        <f>_xlfn.IFNA(IF('Interactive Selection Sheet'!F159= "", VLOOKUP('Interactive Selection Sheet'!$G159, 'Master List Import'!$A$1:$P$519, 5, FALSE), ""), "")</f>
        <v>Beverages</v>
      </c>
      <c r="H277" s="69" t="str">
        <f>_xlfn.IFNA(IF('Interactive Selection Sheet'!F159= "", VLOOKUP('Interactive Selection Sheet'!$G159, 'Master List Import'!$A$1:$P$519, 6, FALSE), ""), "")</f>
        <v>Both</v>
      </c>
      <c r="I277" s="72">
        <f>_xlfn.IFNA(IF('Interactive Selection Sheet'!F159= "", VLOOKUP('Interactive Selection Sheet'!$G159, 'Master List Import'!$A$1:$P$519, 7, FALSE), ""), "")</f>
        <v>0.95</v>
      </c>
      <c r="J277" s="69" t="str">
        <f>_xlfn.IFNA(IF('Interactive Selection Sheet'!F159= "", VLOOKUP('Interactive Selection Sheet'!$G159, 'Master List Import'!$A$1:$P$519, 8, FALSE), ""), "")</f>
        <v>REI</v>
      </c>
      <c r="K277" s="69" t="str">
        <f>_xlfn.IFNA(IF('Interactive Selection Sheet'!F159= "", VLOOKUP('Interactive Selection Sheet'!$G159, 'Master List Import'!$A$1:$P$519, 9, FALSE), ""), "")</f>
        <v>028122</v>
      </c>
      <c r="L277" s="69">
        <f>_xlfn.IFNA(IF('Interactive Selection Sheet'!F159= "", VLOOKUP('Interactive Selection Sheet'!$G159, 'Master List Import'!$A$1:$P$519, 10, FALSE), ""), "")</f>
        <v>0</v>
      </c>
      <c r="M277" s="69">
        <f>_xlfn.IFNA(IF('Interactive Selection Sheet'!F159= "", VLOOKUP('Interactive Selection Sheet'!$G159, 'Master List Import'!$A$1:$P$519, 11, FALSE), ""), "")</f>
        <v>0</v>
      </c>
      <c r="N277" s="69">
        <f>_xlfn.IFNA(IF('Interactive Selection Sheet'!F159= "", VLOOKUP('Interactive Selection Sheet'!$G159, 'Master List Import'!$A$1:$P$519, 12, FALSE), ""), "")</f>
        <v>12</v>
      </c>
      <c r="O277" s="69">
        <f>_xlfn.IFNA(IF('Interactive Selection Sheet'!F159= "", VLOOKUP('Interactive Selection Sheet'!$G159, 'Master List Import'!$A$1:$P$519, 13, FALSE), ""), "")</f>
        <v>6302</v>
      </c>
      <c r="P277" s="69" t="str">
        <f>_xlfn.IFNA(IF('Interactive Selection Sheet'!F159= "", VLOOKUP('Interactive Selection Sheet'!$G159, 'Master List Import'!$A$1:$P$519, 14, FALSE), ""), "")</f>
        <v>Wyler's Fruity Red Punch (10pk)</v>
      </c>
      <c r="Q277" s="69">
        <f>_xlfn.IFNA(IF('Interactive Selection Sheet'!F159= "", VLOOKUP('Interactive Selection Sheet'!$G159, 'Master List Import'!$A$1:$P$519, 15, FALSE), ""), "")</f>
        <v>1</v>
      </c>
      <c r="R277" s="74">
        <f>_xlfn.IFNA(IF('Interactive Selection Sheet'!F159= "", VLOOKUP('Interactive Selection Sheet'!$G159, 'Master List Import'!$A$1:$P$519, 16, FALSE), ""), "")</f>
        <v>3.5</v>
      </c>
    </row>
    <row r="278" spans="1:18" ht="21.75" customHeight="1" x14ac:dyDescent="0.25">
      <c r="A278" s="69">
        <f>_xlfn.IFNA(IF('Interactive Selection Sheet'!F160= "", VLOOKUP('Interactive Selection Sheet'!$G160, 'Master List Import'!$A$1:$P$519, 2, FALSE), ""), "")</f>
        <v>6303</v>
      </c>
      <c r="B278" s="69" t="str">
        <f>_xlfn.IFNA(IF('Interactive Selection Sheet'!F160= "", VLOOKUP('Interactive Selection Sheet'!$G160, 'Master List Import'!$A$1:$P$519, 3, FALSE), ""), "")</f>
        <v>Wyler's Island Punch - Green Tropical Dream, 10ct - 12/cs</v>
      </c>
      <c r="C278" s="76">
        <f>IF('Interactive Selection Sheet'!$T$2="", "", IF(B278="","",'Interactive Selection Sheet'!$T$2))</f>
        <v>3.5000000000000003E-2</v>
      </c>
      <c r="D278" s="70">
        <f>IF(B278 = "", "", 'Interactive Selection Sheet'!$P$2)</f>
        <v>4.4999999999999998E-2</v>
      </c>
      <c r="E278" s="70">
        <f>IF(B278="","", 'Interactive Selection Sheet'!$R$2)</f>
        <v>0.02</v>
      </c>
      <c r="F278" s="69" t="str">
        <f>_xlfn.IFNA(IF('Interactive Selection Sheet'!F160= "", VLOOKUP('Interactive Selection Sheet'!$G160, 'Master List Import'!$A$1:$P$519, 4, FALSE), ""), "")</f>
        <v>Beverages</v>
      </c>
      <c r="G278" s="69" t="str">
        <f>_xlfn.IFNA(IF('Interactive Selection Sheet'!F160= "", VLOOKUP('Interactive Selection Sheet'!$G160, 'Master List Import'!$A$1:$P$519, 5, FALSE), ""), "")</f>
        <v>Beverages</v>
      </c>
      <c r="H278" s="69" t="str">
        <f>_xlfn.IFNA(IF('Interactive Selection Sheet'!F160= "", VLOOKUP('Interactive Selection Sheet'!$G160, 'Master List Import'!$A$1:$P$519, 6, FALSE), ""), "")</f>
        <v>Both</v>
      </c>
      <c r="I278" s="72">
        <f>_xlfn.IFNA(IF('Interactive Selection Sheet'!F160= "", VLOOKUP('Interactive Selection Sheet'!$G160, 'Master List Import'!$A$1:$P$519, 7, FALSE), ""), "")</f>
        <v>0.95</v>
      </c>
      <c r="J278" s="69" t="str">
        <f>_xlfn.IFNA(IF('Interactive Selection Sheet'!F160= "", VLOOKUP('Interactive Selection Sheet'!$G160, 'Master List Import'!$A$1:$P$519, 8, FALSE), ""), "")</f>
        <v>REI</v>
      </c>
      <c r="K278" s="69" t="str">
        <f>_xlfn.IFNA(IF('Interactive Selection Sheet'!F160= "", VLOOKUP('Interactive Selection Sheet'!$G160, 'Master List Import'!$A$1:$P$519, 9, FALSE), ""), "")</f>
        <v>028124</v>
      </c>
      <c r="L278" s="69">
        <f>_xlfn.IFNA(IF('Interactive Selection Sheet'!F160= "", VLOOKUP('Interactive Selection Sheet'!$G160, 'Master List Import'!$A$1:$P$519, 10, FALSE), ""), "")</f>
        <v>0</v>
      </c>
      <c r="M278" s="69">
        <f>_xlfn.IFNA(IF('Interactive Selection Sheet'!F160= "", VLOOKUP('Interactive Selection Sheet'!$G160, 'Master List Import'!$A$1:$P$519, 11, FALSE), ""), "")</f>
        <v>0</v>
      </c>
      <c r="N278" s="69">
        <f>_xlfn.IFNA(IF('Interactive Selection Sheet'!F160= "", VLOOKUP('Interactive Selection Sheet'!$G160, 'Master List Import'!$A$1:$P$519, 12, FALSE), ""), "")</f>
        <v>12</v>
      </c>
      <c r="O278" s="69">
        <f>_xlfn.IFNA(IF('Interactive Selection Sheet'!F160= "", VLOOKUP('Interactive Selection Sheet'!$G160, 'Master List Import'!$A$1:$P$519, 13, FALSE), ""), "")</f>
        <v>6303</v>
      </c>
      <c r="P278" s="69" t="str">
        <f>_xlfn.IFNA(IF('Interactive Selection Sheet'!F160= "", VLOOKUP('Interactive Selection Sheet'!$G160, 'Master List Import'!$A$1:$P$519, 14, FALSE), ""), "")</f>
        <v>Wyler's Green Tropical Dream (10ct)</v>
      </c>
      <c r="Q278" s="69">
        <f>_xlfn.IFNA(IF('Interactive Selection Sheet'!F160= "", VLOOKUP('Interactive Selection Sheet'!$G160, 'Master List Import'!$A$1:$P$519, 15, FALSE), ""), "")</f>
        <v>1</v>
      </c>
      <c r="R278" s="74">
        <f>_xlfn.IFNA(IF('Interactive Selection Sheet'!F160= "", VLOOKUP('Interactive Selection Sheet'!$G160, 'Master List Import'!$A$1:$P$519, 16, FALSE), ""), "")</f>
        <v>3.5</v>
      </c>
    </row>
    <row r="279" spans="1:18" ht="21.75" customHeight="1" x14ac:dyDescent="0.25">
      <c r="A279" s="69">
        <f>_xlfn.IFNA(IF('Interactive Selection Sheet'!F161= "", VLOOKUP('Interactive Selection Sheet'!$G161, 'Master List Import'!$A$1:$P$519, 2, FALSE), ""), "")</f>
        <v>6311</v>
      </c>
      <c r="B279" s="69" t="str">
        <f>_xlfn.IFNA(IF('Interactive Selection Sheet'!F161= "", VLOOKUP('Interactive Selection Sheet'!$G161, 'Master List Import'!$A$1:$P$519, 3, FALSE), ""), "")</f>
        <v>Wyler's Island Punch - Blue Ocean Breeze, 10ct - 12/cs</v>
      </c>
      <c r="C279" s="76">
        <f>IF('Interactive Selection Sheet'!$T$2="", "", IF(B279="","",'Interactive Selection Sheet'!$T$2))</f>
        <v>3.5000000000000003E-2</v>
      </c>
      <c r="D279" s="70">
        <f>IF(B279 = "", "", 'Interactive Selection Sheet'!$P$2)</f>
        <v>4.4999999999999998E-2</v>
      </c>
      <c r="E279" s="70">
        <f>IF(B279="","", 'Interactive Selection Sheet'!$R$2)</f>
        <v>0.02</v>
      </c>
      <c r="F279" s="69" t="str">
        <f>_xlfn.IFNA(IF('Interactive Selection Sheet'!F161= "", VLOOKUP('Interactive Selection Sheet'!$G161, 'Master List Import'!$A$1:$P$519, 4, FALSE), ""), "")</f>
        <v>Beverages</v>
      </c>
      <c r="G279" s="69" t="str">
        <f>_xlfn.IFNA(IF('Interactive Selection Sheet'!F161= "", VLOOKUP('Interactive Selection Sheet'!$G161, 'Master List Import'!$A$1:$P$519, 5, FALSE), ""), "")</f>
        <v>Beverages</v>
      </c>
      <c r="H279" s="69" t="str">
        <f>_xlfn.IFNA(IF('Interactive Selection Sheet'!F161= "", VLOOKUP('Interactive Selection Sheet'!$G161, 'Master List Import'!$A$1:$P$519, 6, FALSE), ""), "")</f>
        <v>Both</v>
      </c>
      <c r="I279" s="72">
        <f>_xlfn.IFNA(IF('Interactive Selection Sheet'!F161= "", VLOOKUP('Interactive Selection Sheet'!$G161, 'Master List Import'!$A$1:$P$519, 7, FALSE), ""), "")</f>
        <v>0.95</v>
      </c>
      <c r="J279" s="69" t="str">
        <f>_xlfn.IFNA(IF('Interactive Selection Sheet'!F161= "", VLOOKUP('Interactive Selection Sheet'!$G161, 'Master List Import'!$A$1:$P$519, 8, FALSE), ""), "")</f>
        <v>REI</v>
      </c>
      <c r="K279" s="69" t="str">
        <f>_xlfn.IFNA(IF('Interactive Selection Sheet'!F161= "", VLOOKUP('Interactive Selection Sheet'!$G161, 'Master List Import'!$A$1:$P$519, 9, FALSE), ""), "")</f>
        <v>028125</v>
      </c>
      <c r="L279" s="69">
        <f>_xlfn.IFNA(IF('Interactive Selection Sheet'!F161= "", VLOOKUP('Interactive Selection Sheet'!$G161, 'Master List Import'!$A$1:$P$519, 10, FALSE), ""), "")</f>
        <v>0</v>
      </c>
      <c r="M279" s="69">
        <f>_xlfn.IFNA(IF('Interactive Selection Sheet'!F161= "", VLOOKUP('Interactive Selection Sheet'!$G161, 'Master List Import'!$A$1:$P$519, 11, FALSE), ""), "")</f>
        <v>0</v>
      </c>
      <c r="N279" s="69">
        <f>_xlfn.IFNA(IF('Interactive Selection Sheet'!F161= "", VLOOKUP('Interactive Selection Sheet'!$G161, 'Master List Import'!$A$1:$P$519, 12, FALSE), ""), "")</f>
        <v>12</v>
      </c>
      <c r="O279" s="69">
        <f>_xlfn.IFNA(IF('Interactive Selection Sheet'!F161= "", VLOOKUP('Interactive Selection Sheet'!$G161, 'Master List Import'!$A$1:$P$519, 13, FALSE), ""), "")</f>
        <v>6311</v>
      </c>
      <c r="P279" s="69" t="str">
        <f>_xlfn.IFNA(IF('Interactive Selection Sheet'!F161= "", VLOOKUP('Interactive Selection Sheet'!$G161, 'Master List Import'!$A$1:$P$519, 14, FALSE), ""), "")</f>
        <v>Wyler's Blue Ocean Breeze (10ct)</v>
      </c>
      <c r="Q279" s="69">
        <f>_xlfn.IFNA(IF('Interactive Selection Sheet'!F161= "", VLOOKUP('Interactive Selection Sheet'!$G161, 'Master List Import'!$A$1:$P$519, 15, FALSE), ""), "")</f>
        <v>1</v>
      </c>
      <c r="R279" s="74">
        <f>_xlfn.IFNA(IF('Interactive Selection Sheet'!F161= "", VLOOKUP('Interactive Selection Sheet'!$G161, 'Master List Import'!$A$1:$P$519, 16, FALSE), ""), "")</f>
        <v>3.5</v>
      </c>
    </row>
    <row r="280" spans="1:18" ht="21.75" customHeight="1" x14ac:dyDescent="0.25">
      <c r="A280" s="69">
        <f>_xlfn.IFNA(IF('Interactive Selection Sheet'!F162= "", VLOOKUP('Interactive Selection Sheet'!$G162, 'Master List Import'!$A$1:$P$519, 2, FALSE), ""), "")</f>
        <v>6312</v>
      </c>
      <c r="B280" s="69" t="str">
        <f>_xlfn.IFNA(IF('Interactive Selection Sheet'!F162= "", VLOOKUP('Interactive Selection Sheet'!$G162, 'Master List Import'!$A$1:$P$519, 3, FALSE), ""), "")</f>
        <v>Wyler's Island Punch - Radical Lemon Berry, 10ct - 12/cs</v>
      </c>
      <c r="C280" s="76">
        <f>IF('Interactive Selection Sheet'!$T$2="", "", IF(B280="","",'Interactive Selection Sheet'!$T$2))</f>
        <v>3.5000000000000003E-2</v>
      </c>
      <c r="D280" s="70">
        <f>IF(B280 = "", "", 'Interactive Selection Sheet'!$P$2)</f>
        <v>4.4999999999999998E-2</v>
      </c>
      <c r="E280" s="70">
        <f>IF(B280="","", 'Interactive Selection Sheet'!$R$2)</f>
        <v>0.02</v>
      </c>
      <c r="F280" s="69" t="str">
        <f>_xlfn.IFNA(IF('Interactive Selection Sheet'!F162= "", VLOOKUP('Interactive Selection Sheet'!$G162, 'Master List Import'!$A$1:$P$519, 4, FALSE), ""), "")</f>
        <v>Beverages</v>
      </c>
      <c r="G280" s="69" t="str">
        <f>_xlfn.IFNA(IF('Interactive Selection Sheet'!F162= "", VLOOKUP('Interactive Selection Sheet'!$G162, 'Master List Import'!$A$1:$P$519, 5, FALSE), ""), "")</f>
        <v>Beverages</v>
      </c>
      <c r="H280" s="69" t="str">
        <f>_xlfn.IFNA(IF('Interactive Selection Sheet'!F162= "", VLOOKUP('Interactive Selection Sheet'!$G162, 'Master List Import'!$A$1:$P$519, 6, FALSE), ""), "")</f>
        <v>Both</v>
      </c>
      <c r="I280" s="72">
        <f>_xlfn.IFNA(IF('Interactive Selection Sheet'!F162= "", VLOOKUP('Interactive Selection Sheet'!$G162, 'Master List Import'!$A$1:$P$519, 7, FALSE), ""), "")</f>
        <v>0.95</v>
      </c>
      <c r="J280" s="69" t="str">
        <f>_xlfn.IFNA(IF('Interactive Selection Sheet'!F162= "", VLOOKUP('Interactive Selection Sheet'!$G162, 'Master List Import'!$A$1:$P$519, 8, FALSE), ""), "")</f>
        <v>REI</v>
      </c>
      <c r="K280" s="69" t="str">
        <f>_xlfn.IFNA(IF('Interactive Selection Sheet'!F162= "", VLOOKUP('Interactive Selection Sheet'!$G162, 'Master List Import'!$A$1:$P$519, 9, FALSE), ""), "")</f>
        <v>028126</v>
      </c>
      <c r="L280" s="69">
        <f>_xlfn.IFNA(IF('Interactive Selection Sheet'!F162= "", VLOOKUP('Interactive Selection Sheet'!$G162, 'Master List Import'!$A$1:$P$519, 10, FALSE), ""), "")</f>
        <v>0</v>
      </c>
      <c r="M280" s="69">
        <f>_xlfn.IFNA(IF('Interactive Selection Sheet'!F162= "", VLOOKUP('Interactive Selection Sheet'!$G162, 'Master List Import'!$A$1:$P$519, 11, FALSE), ""), "")</f>
        <v>0</v>
      </c>
      <c r="N280" s="69">
        <f>_xlfn.IFNA(IF('Interactive Selection Sheet'!F162= "", VLOOKUP('Interactive Selection Sheet'!$G162, 'Master List Import'!$A$1:$P$519, 12, FALSE), ""), "")</f>
        <v>12</v>
      </c>
      <c r="O280" s="69">
        <f>_xlfn.IFNA(IF('Interactive Selection Sheet'!F162= "", VLOOKUP('Interactive Selection Sheet'!$G162, 'Master List Import'!$A$1:$P$519, 13, FALSE), ""), "")</f>
        <v>6312</v>
      </c>
      <c r="P280" s="69" t="str">
        <f>_xlfn.IFNA(IF('Interactive Selection Sheet'!F162= "", VLOOKUP('Interactive Selection Sheet'!$G162, 'Master List Import'!$A$1:$P$519, 14, FALSE), ""), "")</f>
        <v>Wyler's Radical Lemon Berry (10ct)</v>
      </c>
      <c r="Q280" s="69">
        <f>_xlfn.IFNA(IF('Interactive Selection Sheet'!F162= "", VLOOKUP('Interactive Selection Sheet'!$G162, 'Master List Import'!$A$1:$P$519, 15, FALSE), ""), "")</f>
        <v>1</v>
      </c>
      <c r="R280" s="74">
        <f>_xlfn.IFNA(IF('Interactive Selection Sheet'!F162= "", VLOOKUP('Interactive Selection Sheet'!$G162, 'Master List Import'!$A$1:$P$519, 16, FALSE), ""), "")</f>
        <v>3.5</v>
      </c>
    </row>
    <row r="281" spans="1:18" ht="21.75" customHeight="1" x14ac:dyDescent="0.25">
      <c r="A281" s="69">
        <f>_xlfn.IFNA(IF('Interactive Selection Sheet'!F163= "", VLOOKUP('Interactive Selection Sheet'!$G163, 'Master List Import'!$A$1:$P$519, 2, FALSE), ""), "")</f>
        <v>6320</v>
      </c>
      <c r="B281" s="69" t="str">
        <f>_xlfn.IFNA(IF('Interactive Selection Sheet'!F163= "", VLOOKUP('Interactive Selection Sheet'!$G163, 'Master List Import'!$A$1:$P$519, 3, FALSE), ""), "")</f>
        <v>Kool-Aid On the Go, Tropical Punch, 0.37oz - 72/cs</v>
      </c>
      <c r="C281" s="76">
        <f>IF('Interactive Selection Sheet'!$T$2="", "", IF(B281="","",'Interactive Selection Sheet'!$T$2))</f>
        <v>3.5000000000000003E-2</v>
      </c>
      <c r="D281" s="70">
        <f>IF(B281 = "", "", 'Interactive Selection Sheet'!$P$2)</f>
        <v>4.4999999999999998E-2</v>
      </c>
      <c r="E281" s="70">
        <f>IF(B281="","", 'Interactive Selection Sheet'!$R$2)</f>
        <v>0.02</v>
      </c>
      <c r="F281" s="69" t="str">
        <f>_xlfn.IFNA(IF('Interactive Selection Sheet'!F163= "", VLOOKUP('Interactive Selection Sheet'!$G163, 'Master List Import'!$A$1:$P$519, 4, FALSE), ""), "")</f>
        <v>Beverages</v>
      </c>
      <c r="G281" s="69" t="str">
        <f>_xlfn.IFNA(IF('Interactive Selection Sheet'!F163= "", VLOOKUP('Interactive Selection Sheet'!$G163, 'Master List Import'!$A$1:$P$519, 5, FALSE), ""), "")</f>
        <v>Beverages</v>
      </c>
      <c r="H281" s="69" t="str">
        <f>_xlfn.IFNA(IF('Interactive Selection Sheet'!F163= "", VLOOKUP('Interactive Selection Sheet'!$G163, 'Master List Import'!$A$1:$P$519, 6, FALSE), ""), "")</f>
        <v>Both</v>
      </c>
      <c r="I281" s="72">
        <f>_xlfn.IFNA(IF('Interactive Selection Sheet'!F163= "", VLOOKUP('Interactive Selection Sheet'!$G163, 'Master List Import'!$A$1:$P$519, 7, FALSE), ""), "")</f>
        <v>0.23330000000000001</v>
      </c>
      <c r="J281" s="69" t="str">
        <f>_xlfn.IFNA(IF('Interactive Selection Sheet'!F163= "", VLOOKUP('Interactive Selection Sheet'!$G163, 'Master List Import'!$A$1:$P$519, 8, FALSE), ""), "")</f>
        <v>REI</v>
      </c>
      <c r="K281" s="69" t="str">
        <f>_xlfn.IFNA(IF('Interactive Selection Sheet'!F163= "", VLOOKUP('Interactive Selection Sheet'!$G163, 'Master List Import'!$A$1:$P$519, 9, FALSE), ""), "")</f>
        <v>28000</v>
      </c>
      <c r="L281" s="69">
        <f>_xlfn.IFNA(IF('Interactive Selection Sheet'!F163= "", VLOOKUP('Interactive Selection Sheet'!$G163, 'Master List Import'!$A$1:$P$519, 10, FALSE), ""), "")</f>
        <v>0</v>
      </c>
      <c r="M281" s="69">
        <f>_xlfn.IFNA(IF('Interactive Selection Sheet'!F163= "", VLOOKUP('Interactive Selection Sheet'!$G163, 'Master List Import'!$A$1:$P$519, 11, FALSE), ""), "")</f>
        <v>0</v>
      </c>
      <c r="N281" s="69">
        <f>_xlfn.IFNA(IF('Interactive Selection Sheet'!F163= "", VLOOKUP('Interactive Selection Sheet'!$G163, 'Master List Import'!$A$1:$P$519, 12, FALSE), ""), "")</f>
        <v>72</v>
      </c>
      <c r="O281" s="69">
        <f>_xlfn.IFNA(IF('Interactive Selection Sheet'!F163= "", VLOOKUP('Interactive Selection Sheet'!$G163, 'Master List Import'!$A$1:$P$519, 13, FALSE), ""), "")</f>
        <v>6320</v>
      </c>
      <c r="P281" s="69" t="str">
        <f>_xlfn.IFNA(IF('Interactive Selection Sheet'!F163= "", VLOOKUP('Interactive Selection Sheet'!$G163, 'Master List Import'!$A$1:$P$519, 14, FALSE), ""), "")</f>
        <v>Kool-Aid Singles, Tropical Punch</v>
      </c>
      <c r="Q281" s="69">
        <f>_xlfn.IFNA(IF('Interactive Selection Sheet'!F163= "", VLOOKUP('Interactive Selection Sheet'!$G163, 'Master List Import'!$A$1:$P$519, 15, FALSE), ""), "")</f>
        <v>1</v>
      </c>
      <c r="R281" s="74">
        <f>_xlfn.IFNA(IF('Interactive Selection Sheet'!F163= "", VLOOKUP('Interactive Selection Sheet'!$G163, 'Master List Import'!$A$1:$P$519, 16, FALSE), ""), "")</f>
        <v>1</v>
      </c>
    </row>
    <row r="282" spans="1:18" ht="21.75" customHeight="1" x14ac:dyDescent="0.25">
      <c r="A282" s="69">
        <f>_xlfn.IFNA(IF('Interactive Selection Sheet'!F164= "", VLOOKUP('Interactive Selection Sheet'!$G164, 'Master List Import'!$A$1:$P$519, 2, FALSE), ""), "")</f>
        <v>6321</v>
      </c>
      <c r="B282" s="69" t="str">
        <f>_xlfn.IFNA(IF('Interactive Selection Sheet'!F164= "", VLOOKUP('Interactive Selection Sheet'!$G164, 'Master List Import'!$A$1:$P$519, 3, FALSE), ""), "")</f>
        <v>Kool-Aid On the Go, Sour Shockin' Blue Raspberry, 0.37oz - 72/cs</v>
      </c>
      <c r="C282" s="76">
        <f>IF('Interactive Selection Sheet'!$T$2="", "", IF(B282="","",'Interactive Selection Sheet'!$T$2))</f>
        <v>3.5000000000000003E-2</v>
      </c>
      <c r="D282" s="70">
        <f>IF(B282 = "", "", 'Interactive Selection Sheet'!$P$2)</f>
        <v>4.4999999999999998E-2</v>
      </c>
      <c r="E282" s="70">
        <f>IF(B282="","", 'Interactive Selection Sheet'!$R$2)</f>
        <v>0.02</v>
      </c>
      <c r="F282" s="69" t="str">
        <f>_xlfn.IFNA(IF('Interactive Selection Sheet'!F164= "", VLOOKUP('Interactive Selection Sheet'!$G164, 'Master List Import'!$A$1:$P$519, 4, FALSE), ""), "")</f>
        <v>Beverages</v>
      </c>
      <c r="G282" s="69" t="str">
        <f>_xlfn.IFNA(IF('Interactive Selection Sheet'!F164= "", VLOOKUP('Interactive Selection Sheet'!$G164, 'Master List Import'!$A$1:$P$519, 5, FALSE), ""), "")</f>
        <v>Beverages</v>
      </c>
      <c r="H282" s="69" t="str">
        <f>_xlfn.IFNA(IF('Interactive Selection Sheet'!F164= "", VLOOKUP('Interactive Selection Sheet'!$G164, 'Master List Import'!$A$1:$P$519, 6, FALSE), ""), "")</f>
        <v>Both</v>
      </c>
      <c r="I282" s="72">
        <f>_xlfn.IFNA(IF('Interactive Selection Sheet'!F164= "", VLOOKUP('Interactive Selection Sheet'!$G164, 'Master List Import'!$A$1:$P$519, 7, FALSE), ""), "")</f>
        <v>0.23330000000000001</v>
      </c>
      <c r="J282" s="69" t="str">
        <f>_xlfn.IFNA(IF('Interactive Selection Sheet'!F164= "", VLOOKUP('Interactive Selection Sheet'!$G164, 'Master List Import'!$A$1:$P$519, 8, FALSE), ""), "")</f>
        <v>REI</v>
      </c>
      <c r="K282" s="69" t="str">
        <f>_xlfn.IFNA(IF('Interactive Selection Sheet'!F164= "", VLOOKUP('Interactive Selection Sheet'!$G164, 'Master List Import'!$A$1:$P$519, 9, FALSE), ""), "")</f>
        <v>28001</v>
      </c>
      <c r="L282" s="69">
        <f>_xlfn.IFNA(IF('Interactive Selection Sheet'!F164= "", VLOOKUP('Interactive Selection Sheet'!$G164, 'Master List Import'!$A$1:$P$519, 10, FALSE), ""), "")</f>
        <v>0</v>
      </c>
      <c r="M282" s="69">
        <f>_xlfn.IFNA(IF('Interactive Selection Sheet'!F164= "", VLOOKUP('Interactive Selection Sheet'!$G164, 'Master List Import'!$A$1:$P$519, 11, FALSE), ""), "")</f>
        <v>0</v>
      </c>
      <c r="N282" s="69">
        <f>_xlfn.IFNA(IF('Interactive Selection Sheet'!F164= "", VLOOKUP('Interactive Selection Sheet'!$G164, 'Master List Import'!$A$1:$P$519, 12, FALSE), ""), "")</f>
        <v>72</v>
      </c>
      <c r="O282" s="69">
        <f>_xlfn.IFNA(IF('Interactive Selection Sheet'!F164= "", VLOOKUP('Interactive Selection Sheet'!$G164, 'Master List Import'!$A$1:$P$519, 13, FALSE), ""), "")</f>
        <v>6321</v>
      </c>
      <c r="P282" s="69" t="str">
        <f>_xlfn.IFNA(IF('Interactive Selection Sheet'!F164= "", VLOOKUP('Interactive Selection Sheet'!$G164, 'Master List Import'!$A$1:$P$519, 14, FALSE), ""), "")</f>
        <v>Kool-Aid Singles, Sour Blue Raspberry</v>
      </c>
      <c r="Q282" s="69">
        <f>_xlfn.IFNA(IF('Interactive Selection Sheet'!F164= "", VLOOKUP('Interactive Selection Sheet'!$G164, 'Master List Import'!$A$1:$P$519, 15, FALSE), ""), "")</f>
        <v>1</v>
      </c>
      <c r="R282" s="74">
        <f>_xlfn.IFNA(IF('Interactive Selection Sheet'!F164= "", VLOOKUP('Interactive Selection Sheet'!$G164, 'Master List Import'!$A$1:$P$519, 16, FALSE), ""), "")</f>
        <v>1</v>
      </c>
    </row>
    <row r="283" spans="1:18" ht="21.75" customHeight="1" x14ac:dyDescent="0.25">
      <c r="A283" s="69">
        <f>_xlfn.IFNA(IF('Interactive Selection Sheet'!F165= "", VLOOKUP('Interactive Selection Sheet'!$G165, 'Master List Import'!$A$1:$P$519, 2, FALSE), ""), "")</f>
        <v>6322</v>
      </c>
      <c r="B283" s="69" t="str">
        <f>_xlfn.IFNA(IF('Interactive Selection Sheet'!F165= "", VLOOKUP('Interactive Selection Sheet'!$G165, 'Master List Import'!$A$1:$P$519, 3, FALSE), ""), "")</f>
        <v>Kool-Aid On the Go, Sour Snappin' Green Apple, 0.37oz - 72/cs</v>
      </c>
      <c r="C283" s="76">
        <f>IF('Interactive Selection Sheet'!$T$2="", "", IF(B283="","",'Interactive Selection Sheet'!$T$2))</f>
        <v>3.5000000000000003E-2</v>
      </c>
      <c r="D283" s="70">
        <f>IF(B283 = "", "", 'Interactive Selection Sheet'!$P$2)</f>
        <v>4.4999999999999998E-2</v>
      </c>
      <c r="E283" s="70">
        <f>IF(B283="","", 'Interactive Selection Sheet'!$R$2)</f>
        <v>0.02</v>
      </c>
      <c r="F283" s="69" t="str">
        <f>_xlfn.IFNA(IF('Interactive Selection Sheet'!F165= "", VLOOKUP('Interactive Selection Sheet'!$G165, 'Master List Import'!$A$1:$P$519, 4, FALSE), ""), "")</f>
        <v>Beverages</v>
      </c>
      <c r="G283" s="69" t="str">
        <f>_xlfn.IFNA(IF('Interactive Selection Sheet'!F165= "", VLOOKUP('Interactive Selection Sheet'!$G165, 'Master List Import'!$A$1:$P$519, 5, FALSE), ""), "")</f>
        <v>Beverages</v>
      </c>
      <c r="H283" s="69" t="str">
        <f>_xlfn.IFNA(IF('Interactive Selection Sheet'!F165= "", VLOOKUP('Interactive Selection Sheet'!$G165, 'Master List Import'!$A$1:$P$519, 6, FALSE), ""), "")</f>
        <v>Both</v>
      </c>
      <c r="I283" s="72">
        <f>_xlfn.IFNA(IF('Interactive Selection Sheet'!F165= "", VLOOKUP('Interactive Selection Sheet'!$G165, 'Master List Import'!$A$1:$P$519, 7, FALSE), ""), "")</f>
        <v>0.23330000000000001</v>
      </c>
      <c r="J283" s="69" t="str">
        <f>_xlfn.IFNA(IF('Interactive Selection Sheet'!F165= "", VLOOKUP('Interactive Selection Sheet'!$G165, 'Master List Import'!$A$1:$P$519, 8, FALSE), ""), "")</f>
        <v>REI</v>
      </c>
      <c r="K283" s="69" t="str">
        <f>_xlfn.IFNA(IF('Interactive Selection Sheet'!F165= "", VLOOKUP('Interactive Selection Sheet'!$G165, 'Master List Import'!$A$1:$P$519, 9, FALSE), ""), "")</f>
        <v>28002</v>
      </c>
      <c r="L283" s="69">
        <f>_xlfn.IFNA(IF('Interactive Selection Sheet'!F165= "", VLOOKUP('Interactive Selection Sheet'!$G165, 'Master List Import'!$A$1:$P$519, 10, FALSE), ""), "")</f>
        <v>0</v>
      </c>
      <c r="M283" s="69">
        <f>_xlfn.IFNA(IF('Interactive Selection Sheet'!F165= "", VLOOKUP('Interactive Selection Sheet'!$G165, 'Master List Import'!$A$1:$P$519, 11, FALSE), ""), "")</f>
        <v>0</v>
      </c>
      <c r="N283" s="69">
        <f>_xlfn.IFNA(IF('Interactive Selection Sheet'!F165= "", VLOOKUP('Interactive Selection Sheet'!$G165, 'Master List Import'!$A$1:$P$519, 12, FALSE), ""), "")</f>
        <v>72</v>
      </c>
      <c r="O283" s="69">
        <f>_xlfn.IFNA(IF('Interactive Selection Sheet'!F165= "", VLOOKUP('Interactive Selection Sheet'!$G165, 'Master List Import'!$A$1:$P$519, 13, FALSE), ""), "")</f>
        <v>6322</v>
      </c>
      <c r="P283" s="69" t="str">
        <f>_xlfn.IFNA(IF('Interactive Selection Sheet'!F165= "", VLOOKUP('Interactive Selection Sheet'!$G165, 'Master List Import'!$A$1:$P$519, 14, FALSE), ""), "")</f>
        <v>Kool-Aid Singles, Sour Green Apple</v>
      </c>
      <c r="Q283" s="69">
        <f>_xlfn.IFNA(IF('Interactive Selection Sheet'!F165= "", VLOOKUP('Interactive Selection Sheet'!$G165, 'Master List Import'!$A$1:$P$519, 15, FALSE), ""), "")</f>
        <v>1</v>
      </c>
      <c r="R283" s="74">
        <f>_xlfn.IFNA(IF('Interactive Selection Sheet'!F165= "", VLOOKUP('Interactive Selection Sheet'!$G165, 'Master List Import'!$A$1:$P$519, 16, FALSE), ""), "")</f>
        <v>1</v>
      </c>
    </row>
    <row r="284" spans="1:18" ht="21.75" customHeight="1" x14ac:dyDescent="0.25">
      <c r="A284" s="69">
        <f>_xlfn.IFNA(IF('Interactive Selection Sheet'!F166= "", VLOOKUP('Interactive Selection Sheet'!$G166, 'Master List Import'!$A$1:$P$519, 2, FALSE), ""), "")</f>
        <v>6343</v>
      </c>
      <c r="B284" s="69" t="str">
        <f>_xlfn.IFNA(IF('Interactive Selection Sheet'!F166= "", VLOOKUP('Interactive Selection Sheet'!$G166, 'Master List Import'!$A$1:$P$519, 3, FALSE), ""), "")</f>
        <v>Crush Strawberry, 6ct - 12/cs</v>
      </c>
      <c r="C284" s="76">
        <f>IF('Interactive Selection Sheet'!$T$2="", "", IF(B284="","",'Interactive Selection Sheet'!$T$2))</f>
        <v>3.5000000000000003E-2</v>
      </c>
      <c r="D284" s="70">
        <f>IF(B284 = "", "", 'Interactive Selection Sheet'!$P$2)</f>
        <v>4.4999999999999998E-2</v>
      </c>
      <c r="E284" s="70">
        <f>IF(B284="","", 'Interactive Selection Sheet'!$R$2)</f>
        <v>0.02</v>
      </c>
      <c r="F284" s="69" t="str">
        <f>_xlfn.IFNA(IF('Interactive Selection Sheet'!F166= "", VLOOKUP('Interactive Selection Sheet'!$G166, 'Master List Import'!$A$1:$P$519, 4, FALSE), ""), "")</f>
        <v>Beverages</v>
      </c>
      <c r="G284" s="69" t="str">
        <f>_xlfn.IFNA(IF('Interactive Selection Sheet'!F166= "", VLOOKUP('Interactive Selection Sheet'!$G166, 'Master List Import'!$A$1:$P$519, 5, FALSE), ""), "")</f>
        <v>Beverages</v>
      </c>
      <c r="H284" s="69" t="str">
        <f>_xlfn.IFNA(IF('Interactive Selection Sheet'!F166= "", VLOOKUP('Interactive Selection Sheet'!$G166, 'Master List Import'!$A$1:$P$519, 6, FALSE), ""), "")</f>
        <v>Both</v>
      </c>
      <c r="I284" s="72">
        <f>_xlfn.IFNA(IF('Interactive Selection Sheet'!F166= "", VLOOKUP('Interactive Selection Sheet'!$G166, 'Master List Import'!$A$1:$P$519, 7, FALSE), ""), "")</f>
        <v>0.95</v>
      </c>
      <c r="J284" s="69" t="str">
        <f>_xlfn.IFNA(IF('Interactive Selection Sheet'!F166= "", VLOOKUP('Interactive Selection Sheet'!$G166, 'Master List Import'!$A$1:$P$519, 8, FALSE), ""), "")</f>
        <v>REI</v>
      </c>
      <c r="K284" s="69" t="str">
        <f>_xlfn.IFNA(IF('Interactive Selection Sheet'!F166= "", VLOOKUP('Interactive Selection Sheet'!$G166, 'Master List Import'!$A$1:$P$519, 9, FALSE), ""), "")</f>
        <v>028101</v>
      </c>
      <c r="L284" s="69">
        <f>_xlfn.IFNA(IF('Interactive Selection Sheet'!F166= "", VLOOKUP('Interactive Selection Sheet'!$G166, 'Master List Import'!$A$1:$P$519, 10, FALSE), ""), "")</f>
        <v>0</v>
      </c>
      <c r="M284" s="69">
        <f>_xlfn.IFNA(IF('Interactive Selection Sheet'!F166= "", VLOOKUP('Interactive Selection Sheet'!$G166, 'Master List Import'!$A$1:$P$519, 11, FALSE), ""), "")</f>
        <v>0</v>
      </c>
      <c r="N284" s="69">
        <f>_xlfn.IFNA(IF('Interactive Selection Sheet'!F166= "", VLOOKUP('Interactive Selection Sheet'!$G166, 'Master List Import'!$A$1:$P$519, 12, FALSE), ""), "")</f>
        <v>12</v>
      </c>
      <c r="O284" s="69">
        <f>_xlfn.IFNA(IF('Interactive Selection Sheet'!F166= "", VLOOKUP('Interactive Selection Sheet'!$G166, 'Master List Import'!$A$1:$P$519, 13, FALSE), ""), "")</f>
        <v>6343</v>
      </c>
      <c r="P284" s="69" t="str">
        <f>_xlfn.IFNA(IF('Interactive Selection Sheet'!F166= "", VLOOKUP('Interactive Selection Sheet'!$G166, 'Master List Import'!$A$1:$P$519, 14, FALSE), ""), "")</f>
        <v>Crush Strawberry Drink Mix (6ct)</v>
      </c>
      <c r="Q284" s="69">
        <f>_xlfn.IFNA(IF('Interactive Selection Sheet'!F166= "", VLOOKUP('Interactive Selection Sheet'!$G166, 'Master List Import'!$A$1:$P$519, 15, FALSE), ""), "")</f>
        <v>1</v>
      </c>
      <c r="R284" s="74">
        <f>_xlfn.IFNA(IF('Interactive Selection Sheet'!F166= "", VLOOKUP('Interactive Selection Sheet'!$G166, 'Master List Import'!$A$1:$P$519, 16, FALSE), ""), "")</f>
        <v>3.5</v>
      </c>
    </row>
    <row r="285" spans="1:18" ht="21.75" customHeight="1" x14ac:dyDescent="0.25">
      <c r="A285" s="69">
        <f>_xlfn.IFNA(IF('Interactive Selection Sheet'!F167= "", VLOOKUP('Interactive Selection Sheet'!$G167, 'Master List Import'!$A$1:$P$519, 2, FALSE), ""), "")</f>
        <v>6350</v>
      </c>
      <c r="B285" s="69" t="str">
        <f>_xlfn.IFNA(IF('Interactive Selection Sheet'!F167= "", VLOOKUP('Interactive Selection Sheet'!$G167, 'Master List Import'!$A$1:$P$519, 3, FALSE), ""), "")</f>
        <v>Orchard Park Tea w/Lemon Drink Mix, 24oz - 12/cs</v>
      </c>
      <c r="C285" s="76">
        <f>IF('Interactive Selection Sheet'!$T$2="", "", IF(B285="","",'Interactive Selection Sheet'!$T$2))</f>
        <v>3.5000000000000003E-2</v>
      </c>
      <c r="D285" s="70">
        <f>IF(B285 = "", "", 'Interactive Selection Sheet'!$P$2)</f>
        <v>4.4999999999999998E-2</v>
      </c>
      <c r="E285" s="70">
        <f>IF(B285="","", 'Interactive Selection Sheet'!$R$2)</f>
        <v>0.02</v>
      </c>
      <c r="F285" s="69" t="str">
        <f>_xlfn.IFNA(IF('Interactive Selection Sheet'!F167= "", VLOOKUP('Interactive Selection Sheet'!$G167, 'Master List Import'!$A$1:$P$519, 4, FALSE), ""), "")</f>
        <v>Beverages</v>
      </c>
      <c r="G285" s="69" t="str">
        <f>_xlfn.IFNA(IF('Interactive Selection Sheet'!F167= "", VLOOKUP('Interactive Selection Sheet'!$G167, 'Master List Import'!$A$1:$P$519, 5, FALSE), ""), "")</f>
        <v>Beverages</v>
      </c>
      <c r="H285" s="69" t="str">
        <f>_xlfn.IFNA(IF('Interactive Selection Sheet'!F167= "", VLOOKUP('Interactive Selection Sheet'!$G167, 'Master List Import'!$A$1:$P$519, 6, FALSE), ""), "")</f>
        <v>Both</v>
      </c>
      <c r="I285" s="72">
        <f>_xlfn.IFNA(IF('Interactive Selection Sheet'!F167= "", VLOOKUP('Interactive Selection Sheet'!$G167, 'Master List Import'!$A$1:$P$519, 7, FALSE), ""), "")</f>
        <v>2.19</v>
      </c>
      <c r="J285" s="69" t="str">
        <f>_xlfn.IFNA(IF('Interactive Selection Sheet'!F167= "", VLOOKUP('Interactive Selection Sheet'!$G167, 'Master List Import'!$A$1:$P$519, 8, FALSE), ""), "")</f>
        <v>REI</v>
      </c>
      <c r="K285" s="69" t="str">
        <f>_xlfn.IFNA(IF('Interactive Selection Sheet'!F167= "", VLOOKUP('Interactive Selection Sheet'!$G167, 'Master List Import'!$A$1:$P$519, 9, FALSE), ""), "")</f>
        <v>029763</v>
      </c>
      <c r="L285" s="69">
        <f>_xlfn.IFNA(IF('Interactive Selection Sheet'!F167= "", VLOOKUP('Interactive Selection Sheet'!$G167, 'Master List Import'!$A$1:$P$519, 10, FALSE), ""), "")</f>
        <v>0</v>
      </c>
      <c r="M285" s="69">
        <f>_xlfn.IFNA(IF('Interactive Selection Sheet'!F167= "", VLOOKUP('Interactive Selection Sheet'!$G167, 'Master List Import'!$A$1:$P$519, 11, FALSE), ""), "")</f>
        <v>0</v>
      </c>
      <c r="N285" s="69">
        <f>_xlfn.IFNA(IF('Interactive Selection Sheet'!F167= "", VLOOKUP('Interactive Selection Sheet'!$G167, 'Master List Import'!$A$1:$P$519, 12, FALSE), ""), "")</f>
        <v>12</v>
      </c>
      <c r="O285" s="69">
        <f>_xlfn.IFNA(IF('Interactive Selection Sheet'!F167= "", VLOOKUP('Interactive Selection Sheet'!$G167, 'Master List Import'!$A$1:$P$519, 13, FALSE), ""), "")</f>
        <v>6350</v>
      </c>
      <c r="P285" s="69" t="str">
        <f>_xlfn.IFNA(IF('Interactive Selection Sheet'!F167= "", VLOOKUP('Interactive Selection Sheet'!$G167, 'Master List Import'!$A$1:$P$519, 14, FALSE), ""), "")</f>
        <v>Instant Tea w/Lemon (24oz)</v>
      </c>
      <c r="Q285" s="69">
        <f>_xlfn.IFNA(IF('Interactive Selection Sheet'!F167= "", VLOOKUP('Interactive Selection Sheet'!$G167, 'Master List Import'!$A$1:$P$519, 15, FALSE), ""), "")</f>
        <v>1</v>
      </c>
      <c r="R285" s="74">
        <f>_xlfn.IFNA(IF('Interactive Selection Sheet'!F167= "", VLOOKUP('Interactive Selection Sheet'!$G167, 'Master List Import'!$A$1:$P$519, 16, FALSE), ""), "")</f>
        <v>8</v>
      </c>
    </row>
    <row r="286" spans="1:18" ht="21.75" customHeight="1" x14ac:dyDescent="0.25">
      <c r="A286" s="69">
        <f>_xlfn.IFNA(IF('Interactive Selection Sheet'!$K158= "", VLOOKUP('Interactive Selection Sheet'!$L158, 'Master List Import'!$A$1:$P$519, 2, FALSE), ""), "")</f>
        <v>6400</v>
      </c>
      <c r="B286" s="69" t="str">
        <f>_xlfn.IFNA(IF('Interactive Selection Sheet'!$K158= "", VLOOKUP('Interactive Selection Sheet'!$L158, 'Master List Import'!$A$1:$P$519, 3, FALSE), ""), "")</f>
        <v>Folgers Classic Roast Instant Coffee, 8oz jar - 6/cs</v>
      </c>
      <c r="C286" s="76">
        <f>IF('Interactive Selection Sheet'!$T$2="", "", IF(B286="","",'Interactive Selection Sheet'!$T$2))</f>
        <v>3.5000000000000003E-2</v>
      </c>
      <c r="D286" s="70">
        <f>IF(B286 = "", "", 'Interactive Selection Sheet'!$P$2)</f>
        <v>4.4999999999999998E-2</v>
      </c>
      <c r="E286" s="70">
        <f>IF(B286="","", 'Interactive Selection Sheet'!$R$2)</f>
        <v>0.02</v>
      </c>
      <c r="F286" s="69" t="str">
        <f>_xlfn.IFNA(IF('Interactive Selection Sheet'!K158= "", VLOOKUP('Interactive Selection Sheet'!$L158, 'Master List Import'!$A$1:$P$519, 4, FALSE), ""), "")</f>
        <v>Beverages</v>
      </c>
      <c r="G286" s="69" t="str">
        <f>_xlfn.IFNA(IF('Interactive Selection Sheet'!K158= "", VLOOKUP('Interactive Selection Sheet'!$L158, 'Master List Import'!$A$1:$P$519, 5, FALSE), ""), "")</f>
        <v>Beverages</v>
      </c>
      <c r="H286" s="69" t="str">
        <f>_xlfn.IFNA(IF('Interactive Selection Sheet'!K158= "", VLOOKUP('Interactive Selection Sheet'!$L158, 'Master List Import'!$A$1:$P$519, 6, FALSE), ""), "")</f>
        <v>Both</v>
      </c>
      <c r="I286" s="72">
        <f>_xlfn.IFNA(IF('Interactive Selection Sheet'!K158= "", VLOOKUP('Interactive Selection Sheet'!$L158, 'Master List Import'!$A$1:$P$519, 7, FALSE), ""), "")</f>
        <v>5.09</v>
      </c>
      <c r="J286" s="69" t="str">
        <f>_xlfn.IFNA(IF('Interactive Selection Sheet'!K158= "", VLOOKUP('Interactive Selection Sheet'!$L158, 'Master List Import'!$A$1:$P$519, 8, FALSE), ""), "")</f>
        <v>REI</v>
      </c>
      <c r="K286" s="69" t="str">
        <f>_xlfn.IFNA(IF('Interactive Selection Sheet'!K158= "", VLOOKUP('Interactive Selection Sheet'!$L158, 'Master List Import'!$A$1:$P$519, 9, FALSE), ""), "")</f>
        <v>220319</v>
      </c>
      <c r="L286" s="69">
        <f>_xlfn.IFNA(IF('Interactive Selection Sheet'!K158= "", VLOOKUP('Interactive Selection Sheet'!$L158, 'Master List Import'!$A$1:$P$519, 10, FALSE), ""), "")</f>
        <v>0</v>
      </c>
      <c r="M286" s="69">
        <f>_xlfn.IFNA(IF('Interactive Selection Sheet'!K158= "", VLOOKUP('Interactive Selection Sheet'!$L158, 'Master List Import'!$A$1:$P$519, 11, FALSE), ""), "")</f>
        <v>0</v>
      </c>
      <c r="N286" s="69">
        <f>_xlfn.IFNA(IF('Interactive Selection Sheet'!K158= "", VLOOKUP('Interactive Selection Sheet'!$L158, 'Master List Import'!$A$1:$P$519, 12, FALSE), ""), "")</f>
        <v>6</v>
      </c>
      <c r="O286" s="69">
        <f>_xlfn.IFNA(IF('Interactive Selection Sheet'!K158= "", VLOOKUP('Interactive Selection Sheet'!$L158, 'Master List Import'!$A$1:$P$519, 13, FALSE), ""), "")</f>
        <v>6400</v>
      </c>
      <c r="P286" s="69" t="str">
        <f>_xlfn.IFNA(IF('Interactive Selection Sheet'!K158= "", VLOOKUP('Interactive Selection Sheet'!$L158, 'Master List Import'!$A$1:$P$519, 14, FALSE), ""), "")</f>
        <v>Folgers Jar - Instant Coffee (8oz)</v>
      </c>
      <c r="Q286" s="69">
        <f>_xlfn.IFNA(IF('Interactive Selection Sheet'!K158= "", VLOOKUP('Interactive Selection Sheet'!$L158, 'Master List Import'!$A$1:$P$519, 15, FALSE), ""), "")</f>
        <v>1</v>
      </c>
      <c r="R286" s="74">
        <f>_xlfn.IFNA(IF('Interactive Selection Sheet'!K158= "", VLOOKUP('Interactive Selection Sheet'!$L158, 'Master List Import'!$A$1:$P$519, 16, FALSE), ""), "")</f>
        <v>16.25</v>
      </c>
    </row>
    <row r="287" spans="1:18" ht="21.75" customHeight="1" x14ac:dyDescent="0.25">
      <c r="A287" s="69">
        <f>_xlfn.IFNA(IF('Interactive Selection Sheet'!$K159= "", VLOOKUP('Interactive Selection Sheet'!$L159, 'Master List Import'!$A$1:$P$519, 2, FALSE), ""), "")</f>
        <v>6401</v>
      </c>
      <c r="B287" s="69" t="str">
        <f>_xlfn.IFNA(IF('Interactive Selection Sheet'!$K159= "", VLOOKUP('Interactive Selection Sheet'!$L159, 'Master List Import'!$A$1:$P$519, 3, FALSE), ""), "")</f>
        <v>Folgers Instant Traditional Roast Pouch, 4oz - 24/cs</v>
      </c>
      <c r="C287" s="76">
        <f>IF('Interactive Selection Sheet'!$T$2="", "", IF(B287="","",'Interactive Selection Sheet'!$T$2))</f>
        <v>3.5000000000000003E-2</v>
      </c>
      <c r="D287" s="70">
        <f>IF(B287 = "", "", 'Interactive Selection Sheet'!$P$2)</f>
        <v>4.4999999999999998E-2</v>
      </c>
      <c r="E287" s="70">
        <f>IF(B287="","", 'Interactive Selection Sheet'!$R$2)</f>
        <v>0.02</v>
      </c>
      <c r="F287" s="69" t="str">
        <f>_xlfn.IFNA(IF('Interactive Selection Sheet'!K159= "", VLOOKUP('Interactive Selection Sheet'!$L159, 'Master List Import'!$A$1:$P$519, 4, FALSE), ""), "")</f>
        <v>Beverages</v>
      </c>
      <c r="G287" s="69" t="str">
        <f>_xlfn.IFNA(IF('Interactive Selection Sheet'!K159= "", VLOOKUP('Interactive Selection Sheet'!$L159, 'Master List Import'!$A$1:$P$519, 5, FALSE), ""), "")</f>
        <v>Beverages</v>
      </c>
      <c r="H287" s="69" t="str">
        <f>_xlfn.IFNA(IF('Interactive Selection Sheet'!K159= "", VLOOKUP('Interactive Selection Sheet'!$L159, 'Master List Import'!$A$1:$P$519, 6, FALSE), ""), "")</f>
        <v>Both</v>
      </c>
      <c r="I287" s="72">
        <f>_xlfn.IFNA(IF('Interactive Selection Sheet'!K159= "", VLOOKUP('Interactive Selection Sheet'!$L159, 'Master List Import'!$A$1:$P$519, 7, FALSE), ""), "")</f>
        <v>3</v>
      </c>
      <c r="J287" s="69" t="str">
        <f>_xlfn.IFNA(IF('Interactive Selection Sheet'!K159= "", VLOOKUP('Interactive Selection Sheet'!$L159, 'Master List Import'!$A$1:$P$519, 8, FALSE), ""), "")</f>
        <v>REI</v>
      </c>
      <c r="K287" s="69" t="str">
        <f>_xlfn.IFNA(IF('Interactive Selection Sheet'!K159= "", VLOOKUP('Interactive Selection Sheet'!$L159, 'Master List Import'!$A$1:$P$519, 9, FALSE), ""), "")</f>
        <v>220340</v>
      </c>
      <c r="L287" s="69">
        <f>_xlfn.IFNA(IF('Interactive Selection Sheet'!K159= "", VLOOKUP('Interactive Selection Sheet'!$L159, 'Master List Import'!$A$1:$P$519, 10, FALSE), ""), "")</f>
        <v>0</v>
      </c>
      <c r="M287" s="69">
        <f>_xlfn.IFNA(IF('Interactive Selection Sheet'!K159= "", VLOOKUP('Interactive Selection Sheet'!$L159, 'Master List Import'!$A$1:$P$519, 11, FALSE), ""), "")</f>
        <v>0</v>
      </c>
      <c r="N287" s="69">
        <f>_xlfn.IFNA(IF('Interactive Selection Sheet'!K159= "", VLOOKUP('Interactive Selection Sheet'!$L159, 'Master List Import'!$A$1:$P$519, 12, FALSE), ""), "")</f>
        <v>24</v>
      </c>
      <c r="O287" s="69">
        <f>_xlfn.IFNA(IF('Interactive Selection Sheet'!K159= "", VLOOKUP('Interactive Selection Sheet'!$L159, 'Master List Import'!$A$1:$P$519, 13, FALSE), ""), "")</f>
        <v>6401</v>
      </c>
      <c r="P287" s="69" t="str">
        <f>_xlfn.IFNA(IF('Interactive Selection Sheet'!K159= "", VLOOKUP('Interactive Selection Sheet'!$L159, 'Master List Import'!$A$1:$P$519, 14, FALSE), ""), "")</f>
        <v>Folgers Pouch - Instant Coffee (4oz)</v>
      </c>
      <c r="Q287" s="69">
        <f>_xlfn.IFNA(IF('Interactive Selection Sheet'!K159= "", VLOOKUP('Interactive Selection Sheet'!$L159, 'Master List Import'!$A$1:$P$519, 15, FALSE), ""), "")</f>
        <v>1</v>
      </c>
      <c r="R287" s="74">
        <f>_xlfn.IFNA(IF('Interactive Selection Sheet'!K159= "", VLOOKUP('Interactive Selection Sheet'!$L159, 'Master List Import'!$A$1:$P$519, 16, FALSE), ""), "")</f>
        <v>9.5</v>
      </c>
    </row>
    <row r="288" spans="1:18" ht="21.75" customHeight="1" x14ac:dyDescent="0.25">
      <c r="A288" s="69">
        <f>_xlfn.IFNA(IF('Interactive Selection Sheet'!$K160= "", VLOOKUP('Interactive Selection Sheet'!$L160, 'Master List Import'!$A$1:$P$519, 2, FALSE), ""), "")</f>
        <v>6410</v>
      </c>
      <c r="B288" s="69" t="str">
        <f>_xlfn.IFNA(IF('Interactive Selection Sheet'!$K160= "", VLOOKUP('Interactive Selection Sheet'!$L160, 'Master List Import'!$A$1:$P$519, 3, FALSE), ""), "")</f>
        <v>Cafe Bustelo Instant Coffee, 3.5oz pouch - 24/cs</v>
      </c>
      <c r="C288" s="76">
        <f>IF('Interactive Selection Sheet'!$T$2="", "", IF(B288="","",'Interactive Selection Sheet'!$T$2))</f>
        <v>3.5000000000000003E-2</v>
      </c>
      <c r="D288" s="70">
        <f>IF(B288 = "", "", 'Interactive Selection Sheet'!$P$2)</f>
        <v>4.4999999999999998E-2</v>
      </c>
      <c r="E288" s="70">
        <f>IF(B288="","", 'Interactive Selection Sheet'!$R$2)</f>
        <v>0.02</v>
      </c>
      <c r="F288" s="69" t="str">
        <f>_xlfn.IFNA(IF('Interactive Selection Sheet'!K160= "", VLOOKUP('Interactive Selection Sheet'!$L160, 'Master List Import'!$A$1:$P$519, 4, FALSE), ""), "")</f>
        <v>Beverages</v>
      </c>
      <c r="G288" s="69" t="str">
        <f>_xlfn.IFNA(IF('Interactive Selection Sheet'!K160= "", VLOOKUP('Interactive Selection Sheet'!$L160, 'Master List Import'!$A$1:$P$519, 5, FALSE), ""), "")</f>
        <v>Beverages</v>
      </c>
      <c r="H288" s="69" t="str">
        <f>_xlfn.IFNA(IF('Interactive Selection Sheet'!K160= "", VLOOKUP('Interactive Selection Sheet'!$L160, 'Master List Import'!$A$1:$P$519, 6, FALSE), ""), "")</f>
        <v>Both</v>
      </c>
      <c r="I288" s="72">
        <f>_xlfn.IFNA(IF('Interactive Selection Sheet'!K160= "", VLOOKUP('Interactive Selection Sheet'!$L160, 'Master List Import'!$A$1:$P$519, 7, FALSE), ""), "")</f>
        <v>2.57</v>
      </c>
      <c r="J288" s="69" t="str">
        <f>_xlfn.IFNA(IF('Interactive Selection Sheet'!K160= "", VLOOKUP('Interactive Selection Sheet'!$L160, 'Master List Import'!$A$1:$P$519, 8, FALSE), ""), "")</f>
        <v>REI</v>
      </c>
      <c r="K288" s="69" t="str">
        <f>_xlfn.IFNA(IF('Interactive Selection Sheet'!K160= "", VLOOKUP('Interactive Selection Sheet'!$L160, 'Master List Import'!$A$1:$P$519, 9, FALSE), ""), "")</f>
        <v>220433</v>
      </c>
      <c r="L288" s="69">
        <f>_xlfn.IFNA(IF('Interactive Selection Sheet'!K160= "", VLOOKUP('Interactive Selection Sheet'!$L160, 'Master List Import'!$A$1:$P$519, 10, FALSE), ""), "")</f>
        <v>0</v>
      </c>
      <c r="M288" s="69">
        <f>_xlfn.IFNA(IF('Interactive Selection Sheet'!K160= "", VLOOKUP('Interactive Selection Sheet'!$L160, 'Master List Import'!$A$1:$P$519, 11, FALSE), ""), "")</f>
        <v>0</v>
      </c>
      <c r="N288" s="69">
        <f>_xlfn.IFNA(IF('Interactive Selection Sheet'!K160= "", VLOOKUP('Interactive Selection Sheet'!$L160, 'Master List Import'!$A$1:$P$519, 12, FALSE), ""), "")</f>
        <v>24</v>
      </c>
      <c r="O288" s="69">
        <f>_xlfn.IFNA(IF('Interactive Selection Sheet'!K160= "", VLOOKUP('Interactive Selection Sheet'!$L160, 'Master List Import'!$A$1:$P$519, 13, FALSE), ""), "")</f>
        <v>6410</v>
      </c>
      <c r="P288" s="69" t="str">
        <f>_xlfn.IFNA(IF('Interactive Selection Sheet'!K160= "", VLOOKUP('Interactive Selection Sheet'!$L160, 'Master List Import'!$A$1:$P$519, 14, FALSE), ""), "")</f>
        <v>Cafe Bustelo Instant Coffee (3.5oz)</v>
      </c>
      <c r="Q288" s="69">
        <f>_xlfn.IFNA(IF('Interactive Selection Sheet'!K160= "", VLOOKUP('Interactive Selection Sheet'!$L160, 'Master List Import'!$A$1:$P$519, 15, FALSE), ""), "")</f>
        <v>1</v>
      </c>
      <c r="R288" s="74">
        <f>_xlfn.IFNA(IF('Interactive Selection Sheet'!K160= "", VLOOKUP('Interactive Selection Sheet'!$L160, 'Master List Import'!$A$1:$P$519, 16, FALSE), ""), "")</f>
        <v>8.5500000000000007</v>
      </c>
    </row>
    <row r="289" spans="1:18" ht="21.75" customHeight="1" x14ac:dyDescent="0.25">
      <c r="A289" s="69">
        <f>_xlfn.IFNA(IF('Interactive Selection Sheet'!$K161= "", VLOOKUP('Interactive Selection Sheet'!$L161, 'Master List Import'!$A$1:$P$519, 2, FALSE), ""), "")</f>
        <v>6411</v>
      </c>
      <c r="B289" s="69" t="str">
        <f>_xlfn.IFNA(IF('Interactive Selection Sheet'!$K161= "", VLOOKUP('Interactive Selection Sheet'!$L161, 'Master List Import'!$A$1:$P$519, 3, FALSE), ""), "")</f>
        <v>Cafe Genial Instant Coffee w/Cinnamon, 3oz - 40/cs</v>
      </c>
      <c r="C289" s="76">
        <f>IF('Interactive Selection Sheet'!$T$2="", "", IF(B289="","",'Interactive Selection Sheet'!$T$2))</f>
        <v>3.5000000000000003E-2</v>
      </c>
      <c r="D289" s="70">
        <f>IF(B289 = "", "", 'Interactive Selection Sheet'!$P$2)</f>
        <v>4.4999999999999998E-2</v>
      </c>
      <c r="E289" s="70">
        <f>IF(B289="","", 'Interactive Selection Sheet'!$R$2)</f>
        <v>0.02</v>
      </c>
      <c r="F289" s="69" t="str">
        <f>_xlfn.IFNA(IF('Interactive Selection Sheet'!K161= "", VLOOKUP('Interactive Selection Sheet'!$L161, 'Master List Import'!$A$1:$P$519, 4, FALSE), ""), "")</f>
        <v>Seasonal</v>
      </c>
      <c r="G289" s="69" t="str">
        <f>_xlfn.IFNA(IF('Interactive Selection Sheet'!K161= "", VLOOKUP('Interactive Selection Sheet'!$L161, 'Master List Import'!$A$1:$P$519, 5, FALSE), ""), "")</f>
        <v>Seasonal</v>
      </c>
      <c r="H289" s="69" t="str">
        <f>_xlfn.IFNA(IF('Interactive Selection Sheet'!K161= "", VLOOKUP('Interactive Selection Sheet'!$L161, 'Master List Import'!$A$1:$P$519, 6, FALSE), ""), "")</f>
        <v>Both</v>
      </c>
      <c r="I289" s="72">
        <f>_xlfn.IFNA(IF('Interactive Selection Sheet'!K161= "", VLOOKUP('Interactive Selection Sheet'!$L161, 'Master List Import'!$A$1:$P$519, 7, FALSE), ""), "")</f>
        <v>1.5</v>
      </c>
      <c r="J289" s="69" t="str">
        <f>_xlfn.IFNA(IF('Interactive Selection Sheet'!K161= "", VLOOKUP('Interactive Selection Sheet'!$L161, 'Master List Import'!$A$1:$P$519, 8, FALSE), ""), "")</f>
        <v>REI</v>
      </c>
      <c r="K289" s="69" t="str">
        <f>_xlfn.IFNA(IF('Interactive Selection Sheet'!K161= "", VLOOKUP('Interactive Selection Sheet'!$L161, 'Master List Import'!$A$1:$P$519, 9, FALSE), ""), "")</f>
        <v>220435</v>
      </c>
      <c r="L289" s="69">
        <f>_xlfn.IFNA(IF('Interactive Selection Sheet'!K161= "", VLOOKUP('Interactive Selection Sheet'!$L161, 'Master List Import'!$A$1:$P$519, 10, FALSE), ""), "")</f>
        <v>0</v>
      </c>
      <c r="M289" s="69">
        <f>_xlfn.IFNA(IF('Interactive Selection Sheet'!K161= "", VLOOKUP('Interactive Selection Sheet'!$L161, 'Master List Import'!$A$1:$P$519, 11, FALSE), ""), "")</f>
        <v>0</v>
      </c>
      <c r="N289" s="69">
        <f>_xlfn.IFNA(IF('Interactive Selection Sheet'!K161= "", VLOOKUP('Interactive Selection Sheet'!$L161, 'Master List Import'!$A$1:$P$519, 12, FALSE), ""), "")</f>
        <v>40</v>
      </c>
      <c r="O289" s="69">
        <f>_xlfn.IFNA(IF('Interactive Selection Sheet'!K161= "", VLOOKUP('Interactive Selection Sheet'!$L161, 'Master List Import'!$A$1:$P$519, 13, FALSE), ""), "")</f>
        <v>6411</v>
      </c>
      <c r="P289" s="69" t="str">
        <f>_xlfn.IFNA(IF('Interactive Selection Sheet'!K161= "", VLOOKUP('Interactive Selection Sheet'!$L161, 'Master List Import'!$A$1:$P$519, 14, FALSE), ""), "")</f>
        <v>Café Genial Instant Coffee w/Cinnamon</v>
      </c>
      <c r="Q289" s="69">
        <f>_xlfn.IFNA(IF('Interactive Selection Sheet'!K161= "", VLOOKUP('Interactive Selection Sheet'!$L161, 'Master List Import'!$A$1:$P$519, 15, FALSE), ""), "")</f>
        <v>1</v>
      </c>
      <c r="R289" s="74">
        <f>_xlfn.IFNA(IF('Interactive Selection Sheet'!K161= "", VLOOKUP('Interactive Selection Sheet'!$L161, 'Master List Import'!$A$1:$P$519, 16, FALSE), ""), "")</f>
        <v>5.25</v>
      </c>
    </row>
    <row r="290" spans="1:18" ht="21.75" customHeight="1" x14ac:dyDescent="0.25">
      <c r="A290" s="69">
        <f>_xlfn.IFNA(IF('Interactive Selection Sheet'!$K162= "", VLOOKUP('Interactive Selection Sheet'!$L162, 'Master List Import'!$A$1:$P$519, 2, FALSE), ""), "")</f>
        <v>6420</v>
      </c>
      <c r="B290" s="69" t="str">
        <f>_xlfn.IFNA(IF('Interactive Selection Sheet'!$K162= "", VLOOKUP('Interactive Selection Sheet'!$L162, 'Master List Import'!$A$1:$P$519, 3, FALSE), ""), "")</f>
        <v>Boston's Best Spray Dried Coffee, 4oz pouch - 64/cs</v>
      </c>
      <c r="C290" s="76">
        <f>IF('Interactive Selection Sheet'!$T$2="", "", IF(B290="","",'Interactive Selection Sheet'!$T$2))</f>
        <v>3.5000000000000003E-2</v>
      </c>
      <c r="D290" s="70">
        <f>IF(B290 = "", "", 'Interactive Selection Sheet'!$P$2)</f>
        <v>4.4999999999999998E-2</v>
      </c>
      <c r="E290" s="70">
        <f>IF(B290="","", 'Interactive Selection Sheet'!$R$2)</f>
        <v>0.02</v>
      </c>
      <c r="F290" s="69" t="str">
        <f>_xlfn.IFNA(IF('Interactive Selection Sheet'!K162= "", VLOOKUP('Interactive Selection Sheet'!$L162, 'Master List Import'!$A$1:$P$519, 4, FALSE), ""), "")</f>
        <v>Beverages</v>
      </c>
      <c r="G290" s="69" t="str">
        <f>_xlfn.IFNA(IF('Interactive Selection Sheet'!K162= "", VLOOKUP('Interactive Selection Sheet'!$L162, 'Master List Import'!$A$1:$P$519, 5, FALSE), ""), "")</f>
        <v>Beverages</v>
      </c>
      <c r="H290" s="69" t="str">
        <f>_xlfn.IFNA(IF('Interactive Selection Sheet'!K162= "", VLOOKUP('Interactive Selection Sheet'!$L162, 'Master List Import'!$A$1:$P$519, 6, FALSE), ""), "")</f>
        <v>Both</v>
      </c>
      <c r="I290" s="72">
        <f>_xlfn.IFNA(IF('Interactive Selection Sheet'!K162= "", VLOOKUP('Interactive Selection Sheet'!$L162, 'Master List Import'!$A$1:$P$519, 7, FALSE), ""), "")</f>
        <v>1.06</v>
      </c>
      <c r="J290" s="69" t="str">
        <f>_xlfn.IFNA(IF('Interactive Selection Sheet'!K162= "", VLOOKUP('Interactive Selection Sheet'!$L162, 'Master List Import'!$A$1:$P$519, 8, FALSE), ""), "")</f>
        <v>REI</v>
      </c>
      <c r="K290" s="69" t="str">
        <f>_xlfn.IFNA(IF('Interactive Selection Sheet'!K162= "", VLOOKUP('Interactive Selection Sheet'!$L162, 'Master List Import'!$A$1:$P$519, 9, FALSE), ""), "")</f>
        <v>220499</v>
      </c>
      <c r="L290" s="69">
        <f>_xlfn.IFNA(IF('Interactive Selection Sheet'!K162= "", VLOOKUP('Interactive Selection Sheet'!$L162, 'Master List Import'!$A$1:$P$519, 10, FALSE), ""), "")</f>
        <v>0</v>
      </c>
      <c r="M290" s="69">
        <f>_xlfn.IFNA(IF('Interactive Selection Sheet'!K162= "", VLOOKUP('Interactive Selection Sheet'!$L162, 'Master List Import'!$A$1:$P$519, 11, FALSE), ""), "")</f>
        <v>0</v>
      </c>
      <c r="N290" s="69">
        <f>_xlfn.IFNA(IF('Interactive Selection Sheet'!K162= "", VLOOKUP('Interactive Selection Sheet'!$L162, 'Master List Import'!$A$1:$P$519, 12, FALSE), ""), "")</f>
        <v>64</v>
      </c>
      <c r="O290" s="69">
        <f>_xlfn.IFNA(IF('Interactive Selection Sheet'!K162= "", VLOOKUP('Interactive Selection Sheet'!$L162, 'Master List Import'!$A$1:$P$519, 13, FALSE), ""), "")</f>
        <v>6420</v>
      </c>
      <c r="P290" s="69" t="str">
        <f>_xlfn.IFNA(IF('Interactive Selection Sheet'!K162= "", VLOOKUP('Interactive Selection Sheet'!$L162, 'Master List Import'!$A$1:$P$519, 14, FALSE), ""), "")</f>
        <v>Boston's Best Instant Coffee (4oz)</v>
      </c>
      <c r="Q290" s="69">
        <f>_xlfn.IFNA(IF('Interactive Selection Sheet'!K162= "", VLOOKUP('Interactive Selection Sheet'!$L162, 'Master List Import'!$A$1:$P$519, 15, FALSE), ""), "")</f>
        <v>1</v>
      </c>
      <c r="R290" s="74">
        <f>_xlfn.IFNA(IF('Interactive Selection Sheet'!K162= "", VLOOKUP('Interactive Selection Sheet'!$L162, 'Master List Import'!$A$1:$P$519, 16, FALSE), ""), "")</f>
        <v>3.6</v>
      </c>
    </row>
    <row r="291" spans="1:18" ht="21.75" customHeight="1" x14ac:dyDescent="0.25">
      <c r="A291" s="69">
        <f>_xlfn.IFNA(IF('Interactive Selection Sheet'!$K163= "", VLOOKUP('Interactive Selection Sheet'!$L163, 'Master List Import'!$A$1:$P$519, 2, FALSE), ""), "")</f>
        <v>6421</v>
      </c>
      <c r="B291" s="69" t="str">
        <f>_xlfn.IFNA(IF('Interactive Selection Sheet'!$K163= "", VLOOKUP('Interactive Selection Sheet'!$L163, 'Master List Import'!$A$1:$P$519, 3, FALSE), ""), "")</f>
        <v>Flavor Fix Freeze Dried Coffee, 3oz - 24/cs</v>
      </c>
      <c r="C291" s="76">
        <f>IF('Interactive Selection Sheet'!$T$2="", "", IF(B291="","",'Interactive Selection Sheet'!$T$2))</f>
        <v>3.5000000000000003E-2</v>
      </c>
      <c r="D291" s="70">
        <f>IF(B291 = "", "", 'Interactive Selection Sheet'!$P$2)</f>
        <v>4.4999999999999998E-2</v>
      </c>
      <c r="E291" s="70">
        <f>IF(B291="","", 'Interactive Selection Sheet'!$R$2)</f>
        <v>0.02</v>
      </c>
      <c r="F291" s="69" t="str">
        <f>_xlfn.IFNA(IF('Interactive Selection Sheet'!K163= "", VLOOKUP('Interactive Selection Sheet'!$L163, 'Master List Import'!$A$1:$P$519, 4, FALSE), ""), "")</f>
        <v>Beverages</v>
      </c>
      <c r="G291" s="69" t="str">
        <f>_xlfn.IFNA(IF('Interactive Selection Sheet'!K163= "", VLOOKUP('Interactive Selection Sheet'!$L163, 'Master List Import'!$A$1:$P$519, 5, FALSE), ""), "")</f>
        <v>Beverages</v>
      </c>
      <c r="H291" s="69" t="str">
        <f>_xlfn.IFNA(IF('Interactive Selection Sheet'!K163= "", VLOOKUP('Interactive Selection Sheet'!$L163, 'Master List Import'!$A$1:$P$519, 6, FALSE), ""), "")</f>
        <v>Both</v>
      </c>
      <c r="I291" s="72">
        <f>_xlfn.IFNA(IF('Interactive Selection Sheet'!K163= "", VLOOKUP('Interactive Selection Sheet'!$L163, 'Master List Import'!$A$1:$P$519, 7, FALSE), ""), "")</f>
        <v>1.45</v>
      </c>
      <c r="J291" s="69" t="str">
        <f>_xlfn.IFNA(IF('Interactive Selection Sheet'!K163= "", VLOOKUP('Interactive Selection Sheet'!$L163, 'Master List Import'!$A$1:$P$519, 8, FALSE), ""), "")</f>
        <v>REI</v>
      </c>
      <c r="K291" s="69" t="str">
        <f>_xlfn.IFNA(IF('Interactive Selection Sheet'!K163= "", VLOOKUP('Interactive Selection Sheet'!$L163, 'Master List Import'!$A$1:$P$519, 9, FALSE), ""), "")</f>
        <v>222460</v>
      </c>
      <c r="L291" s="69">
        <f>_xlfn.IFNA(IF('Interactive Selection Sheet'!K163= "", VLOOKUP('Interactive Selection Sheet'!$L163, 'Master List Import'!$A$1:$P$519, 10, FALSE), ""), "")</f>
        <v>0</v>
      </c>
      <c r="M291" s="69">
        <f>_xlfn.IFNA(IF('Interactive Selection Sheet'!K163= "", VLOOKUP('Interactive Selection Sheet'!$L163, 'Master List Import'!$A$1:$P$519, 11, FALSE), ""), "")</f>
        <v>0</v>
      </c>
      <c r="N291" s="69">
        <f>_xlfn.IFNA(IF('Interactive Selection Sheet'!K163= "", VLOOKUP('Interactive Selection Sheet'!$L163, 'Master List Import'!$A$1:$P$519, 12, FALSE), ""), "")</f>
        <v>24</v>
      </c>
      <c r="O291" s="69">
        <f>_xlfn.IFNA(IF('Interactive Selection Sheet'!K163= "", VLOOKUP('Interactive Selection Sheet'!$L163, 'Master List Import'!$A$1:$P$519, 13, FALSE), ""), "")</f>
        <v>6421</v>
      </c>
      <c r="P291" s="69" t="str">
        <f>_xlfn.IFNA(IF('Interactive Selection Sheet'!K163= "", VLOOKUP('Interactive Selection Sheet'!$L163, 'Master List Import'!$A$1:$P$519, 14, FALSE), ""), "")</f>
        <v>Flavor Fix Freeze Dried Coffee (3oz)</v>
      </c>
      <c r="Q291" s="69">
        <f>_xlfn.IFNA(IF('Interactive Selection Sheet'!K163= "", VLOOKUP('Interactive Selection Sheet'!$L163, 'Master List Import'!$A$1:$P$519, 15, FALSE), ""), "")</f>
        <v>1</v>
      </c>
      <c r="R291" s="74">
        <f>_xlfn.IFNA(IF('Interactive Selection Sheet'!K163= "", VLOOKUP('Interactive Selection Sheet'!$L163, 'Master List Import'!$A$1:$P$519, 16, FALSE), ""), "")</f>
        <v>6.05</v>
      </c>
    </row>
    <row r="292" spans="1:18" ht="21.75" customHeight="1" x14ac:dyDescent="0.25">
      <c r="A292" s="69">
        <f>_xlfn.IFNA(IF('Interactive Selection Sheet'!F168= "", VLOOKUP('Interactive Selection Sheet'!$G168, 'Master List Import'!$A$1:$P$519, 2, FALSE), ""), "")</f>
        <v>6440</v>
      </c>
      <c r="B292" s="69" t="str">
        <f>_xlfn.IFNA(IF('Interactive Selection Sheet'!F168= "", VLOOKUP('Interactive Selection Sheet'!$G168, 'Master List Import'!$A$1:$P$519, 3, FALSE), ""), "")</f>
        <v>Swiss Miss Hot Cocoa Mix, 1.38oz pack - 50/cs</v>
      </c>
      <c r="C292" s="76">
        <f>IF('Interactive Selection Sheet'!$T$2="", "", IF(B292="","",'Interactive Selection Sheet'!$T$2))</f>
        <v>3.5000000000000003E-2</v>
      </c>
      <c r="D292" s="70">
        <f>IF(B292 = "", "", 'Interactive Selection Sheet'!$P$2)</f>
        <v>4.4999999999999998E-2</v>
      </c>
      <c r="E292" s="70">
        <f>IF(B292="","", 'Interactive Selection Sheet'!$R$2)</f>
        <v>0.02</v>
      </c>
      <c r="F292" s="69" t="str">
        <f>_xlfn.IFNA(IF('Interactive Selection Sheet'!F168= "", VLOOKUP('Interactive Selection Sheet'!$G168, 'Master List Import'!$A$1:$P$519, 4, FALSE), ""), "")</f>
        <v>Beverages</v>
      </c>
      <c r="G292" s="69" t="str">
        <f>_xlfn.IFNA(IF('Interactive Selection Sheet'!F168= "", VLOOKUP('Interactive Selection Sheet'!$G168, 'Master List Import'!$A$1:$P$519, 5, FALSE), ""), "")</f>
        <v>Beverages</v>
      </c>
      <c r="H292" s="69" t="str">
        <f>_xlfn.IFNA(IF('Interactive Selection Sheet'!F168= "", VLOOKUP('Interactive Selection Sheet'!$G168, 'Master List Import'!$A$1:$P$519, 6, FALSE), ""), "")</f>
        <v>Both</v>
      </c>
      <c r="I292" s="72">
        <f>_xlfn.IFNA(IF('Interactive Selection Sheet'!F168= "", VLOOKUP('Interactive Selection Sheet'!$G168, 'Master List Import'!$A$1:$P$519, 7, FALSE), ""), "")</f>
        <v>0.16200000000000001</v>
      </c>
      <c r="J292" s="69" t="str">
        <f>_xlfn.IFNA(IF('Interactive Selection Sheet'!F168= "", VLOOKUP('Interactive Selection Sheet'!$G168, 'Master List Import'!$A$1:$P$519, 8, FALSE), ""), "")</f>
        <v>REI</v>
      </c>
      <c r="K292" s="69" t="str">
        <f>_xlfn.IFNA(IF('Interactive Selection Sheet'!F168= "", VLOOKUP('Interactive Selection Sheet'!$G168, 'Master List Import'!$A$1:$P$519, 9, FALSE), ""), "")</f>
        <v>231327</v>
      </c>
      <c r="L292" s="69">
        <f>_xlfn.IFNA(IF('Interactive Selection Sheet'!F168= "", VLOOKUP('Interactive Selection Sheet'!$G168, 'Master List Import'!$A$1:$P$519, 10, FALSE), ""), "")</f>
        <v>0</v>
      </c>
      <c r="M292" s="69">
        <f>_xlfn.IFNA(IF('Interactive Selection Sheet'!F168= "", VLOOKUP('Interactive Selection Sheet'!$G168, 'Master List Import'!$A$1:$P$519, 11, FALSE), ""), "")</f>
        <v>0</v>
      </c>
      <c r="N292" s="69">
        <f>_xlfn.IFNA(IF('Interactive Selection Sheet'!F168= "", VLOOKUP('Interactive Selection Sheet'!$G168, 'Master List Import'!$A$1:$P$519, 12, FALSE), ""), "")</f>
        <v>50</v>
      </c>
      <c r="O292" s="69">
        <f>_xlfn.IFNA(IF('Interactive Selection Sheet'!F168= "", VLOOKUP('Interactive Selection Sheet'!$G168, 'Master List Import'!$A$1:$P$519, 13, FALSE), ""), "")</f>
        <v>6440</v>
      </c>
      <c r="P292" s="69" t="str">
        <f>_xlfn.IFNA(IF('Interactive Selection Sheet'!F168= "", VLOOKUP('Interactive Selection Sheet'!$G168, 'Master List Import'!$A$1:$P$519, 14, FALSE), ""), "")</f>
        <v>Swiss Miss Hot Cocoa Mix</v>
      </c>
      <c r="Q292" s="69">
        <f>_xlfn.IFNA(IF('Interactive Selection Sheet'!F168= "", VLOOKUP('Interactive Selection Sheet'!$G168, 'Master List Import'!$A$1:$P$519, 15, FALSE), ""), "")</f>
        <v>1</v>
      </c>
      <c r="R292" s="74">
        <f>_xlfn.IFNA(IF('Interactive Selection Sheet'!F168= "", VLOOKUP('Interactive Selection Sheet'!$G168, 'Master List Import'!$A$1:$P$519, 16, FALSE), ""), "")</f>
        <v>0.55000000000000004</v>
      </c>
    </row>
    <row r="293" spans="1:18" ht="21.75" customHeight="1" x14ac:dyDescent="0.25">
      <c r="A293" s="69">
        <f>_xlfn.IFNA(IF('Interactive Selection Sheet'!F169= "", VLOOKUP('Interactive Selection Sheet'!$G169, 'Master List Import'!$A$1:$P$519, 2, FALSE), ""), "")</f>
        <v>6441</v>
      </c>
      <c r="B293" s="69" t="str">
        <f>_xlfn.IFNA(IF('Interactive Selection Sheet'!F169= "", VLOOKUP('Interactive Selection Sheet'!$G169, 'Master List Import'!$A$1:$P$519, 3, FALSE), ""), "")</f>
        <v>Cafe Style Mocha Cappuccino, 0.81oz - 300/cs</v>
      </c>
      <c r="C293" s="76">
        <f>IF('Interactive Selection Sheet'!$T$2="", "", IF(B293="","",'Interactive Selection Sheet'!$T$2))</f>
        <v>3.5000000000000003E-2</v>
      </c>
      <c r="D293" s="70">
        <f>IF(B293 = "", "", 'Interactive Selection Sheet'!$P$2)</f>
        <v>4.4999999999999998E-2</v>
      </c>
      <c r="E293" s="70">
        <f>IF(B293="","", 'Interactive Selection Sheet'!$R$2)</f>
        <v>0.02</v>
      </c>
      <c r="F293" s="69" t="str">
        <f>_xlfn.IFNA(IF('Interactive Selection Sheet'!F169= "", VLOOKUP('Interactive Selection Sheet'!$G169, 'Master List Import'!$A$1:$P$519, 4, FALSE), ""), "")</f>
        <v>Beverages</v>
      </c>
      <c r="G293" s="69" t="str">
        <f>_xlfn.IFNA(IF('Interactive Selection Sheet'!F169= "", VLOOKUP('Interactive Selection Sheet'!$G169, 'Master List Import'!$A$1:$P$519, 5, FALSE), ""), "")</f>
        <v>Beverages</v>
      </c>
      <c r="H293" s="69" t="str">
        <f>_xlfn.IFNA(IF('Interactive Selection Sheet'!F169= "", VLOOKUP('Interactive Selection Sheet'!$G169, 'Master List Import'!$A$1:$P$519, 6, FALSE), ""), "")</f>
        <v>Both</v>
      </c>
      <c r="I293" s="72">
        <f>_xlfn.IFNA(IF('Interactive Selection Sheet'!F169= "", VLOOKUP('Interactive Selection Sheet'!$G169, 'Master List Import'!$A$1:$P$519, 7, FALSE), ""), "")</f>
        <v>0.19</v>
      </c>
      <c r="J293" s="69" t="str">
        <f>_xlfn.IFNA(IF('Interactive Selection Sheet'!F169= "", VLOOKUP('Interactive Selection Sheet'!$G169, 'Master List Import'!$A$1:$P$519, 8, FALSE), ""), "")</f>
        <v>REI</v>
      </c>
      <c r="K293" s="69" t="str">
        <f>_xlfn.IFNA(IF('Interactive Selection Sheet'!F169= "", VLOOKUP('Interactive Selection Sheet'!$G169, 'Master List Import'!$A$1:$P$519, 9, FALSE), ""), "")</f>
        <v>217110</v>
      </c>
      <c r="L293" s="69">
        <f>_xlfn.IFNA(IF('Interactive Selection Sheet'!F169= "", VLOOKUP('Interactive Selection Sheet'!$G169, 'Master List Import'!$A$1:$P$519, 10, FALSE), ""), "")</f>
        <v>0</v>
      </c>
      <c r="M293" s="69">
        <f>_xlfn.IFNA(IF('Interactive Selection Sheet'!F169= "", VLOOKUP('Interactive Selection Sheet'!$G169, 'Master List Import'!$A$1:$P$519, 11, FALSE), ""), "")</f>
        <v>0</v>
      </c>
      <c r="N293" s="69">
        <f>_xlfn.IFNA(IF('Interactive Selection Sheet'!F169= "", VLOOKUP('Interactive Selection Sheet'!$G169, 'Master List Import'!$A$1:$P$519, 12, FALSE), ""), "")</f>
        <v>300</v>
      </c>
      <c r="O293" s="69">
        <f>_xlfn.IFNA(IF('Interactive Selection Sheet'!F169= "", VLOOKUP('Interactive Selection Sheet'!$G169, 'Master List Import'!$A$1:$P$519, 13, FALSE), ""), "")</f>
        <v>6441</v>
      </c>
      <c r="P293" s="69" t="str">
        <f>_xlfn.IFNA(IF('Interactive Selection Sheet'!F169= "", VLOOKUP('Interactive Selection Sheet'!$G169, 'Master List Import'!$A$1:$P$519, 14, FALSE), ""), "")</f>
        <v>Cafe Style Mocha Cappuccino Mix</v>
      </c>
      <c r="Q293" s="69">
        <f>_xlfn.IFNA(IF('Interactive Selection Sheet'!F169= "", VLOOKUP('Interactive Selection Sheet'!$G169, 'Master List Import'!$A$1:$P$519, 15, FALSE), ""), "")</f>
        <v>1</v>
      </c>
      <c r="R293" s="74">
        <f>_xlfn.IFNA(IF('Interactive Selection Sheet'!F169= "", VLOOKUP('Interactive Selection Sheet'!$G169, 'Master List Import'!$A$1:$P$519, 16, FALSE), ""), "")</f>
        <v>0.75</v>
      </c>
    </row>
    <row r="294" spans="1:18" ht="21.75" customHeight="1" x14ac:dyDescent="0.25">
      <c r="A294" s="69">
        <f>_xlfn.IFNA(IF('Interactive Selection Sheet'!F170= "", VLOOKUP('Interactive Selection Sheet'!$G170, 'Master List Import'!$A$1:$P$519, 2, FALSE), ""), "")</f>
        <v>6442</v>
      </c>
      <c r="B294" s="69" t="str">
        <f>_xlfn.IFNA(IF('Interactive Selection Sheet'!F170= "", VLOOKUP('Interactive Selection Sheet'!$G170, 'Master List Import'!$A$1:$P$519, 3, FALSE), ""), "")</f>
        <v>Victorian Inn Cappuccino French Vanilla 6/10ct</v>
      </c>
      <c r="C294" s="76">
        <f>IF('Interactive Selection Sheet'!$T$2="", "", IF(B294="","",'Interactive Selection Sheet'!$T$2))</f>
        <v>3.5000000000000003E-2</v>
      </c>
      <c r="D294" s="70">
        <f>IF(B294 = "", "", 'Interactive Selection Sheet'!$P$2)</f>
        <v>4.4999999999999998E-2</v>
      </c>
      <c r="E294" s="70">
        <f>IF(B294="","", 'Interactive Selection Sheet'!$R$2)</f>
        <v>0.02</v>
      </c>
      <c r="F294" s="69" t="str">
        <f>_xlfn.IFNA(IF('Interactive Selection Sheet'!F170= "", VLOOKUP('Interactive Selection Sheet'!$G170, 'Master List Import'!$A$1:$P$519, 4, FALSE), ""), "")</f>
        <v>Beverages</v>
      </c>
      <c r="G294" s="69" t="str">
        <f>_xlfn.IFNA(IF('Interactive Selection Sheet'!F170= "", VLOOKUP('Interactive Selection Sheet'!$G170, 'Master List Import'!$A$1:$P$519, 5, FALSE), ""), "")</f>
        <v>Beverages</v>
      </c>
      <c r="H294" s="69" t="str">
        <f>_xlfn.IFNA(IF('Interactive Selection Sheet'!F170= "", VLOOKUP('Interactive Selection Sheet'!$G170, 'Master List Import'!$A$1:$P$519, 6, FALSE), ""), "")</f>
        <v>Both</v>
      </c>
      <c r="I294" s="72">
        <f>_xlfn.IFNA(IF('Interactive Selection Sheet'!F170= "", VLOOKUP('Interactive Selection Sheet'!$G170, 'Master List Import'!$A$1:$P$519, 7, FALSE), ""), "")</f>
        <v>0.49</v>
      </c>
      <c r="J294" s="69" t="str">
        <f>_xlfn.IFNA(IF('Interactive Selection Sheet'!F170= "", VLOOKUP('Interactive Selection Sheet'!$G170, 'Master List Import'!$A$1:$P$519, 8, FALSE), ""), "")</f>
        <v>REI</v>
      </c>
      <c r="K294" s="69" t="str">
        <f>_xlfn.IFNA(IF('Interactive Selection Sheet'!F170= "", VLOOKUP('Interactive Selection Sheet'!$G170, 'Master List Import'!$A$1:$P$519, 9, FALSE), ""), "")</f>
        <v>217130</v>
      </c>
      <c r="L294" s="69">
        <f>_xlfn.IFNA(IF('Interactive Selection Sheet'!F170= "", VLOOKUP('Interactive Selection Sheet'!$G170, 'Master List Import'!$A$1:$P$519, 10, FALSE), ""), "")</f>
        <v>0</v>
      </c>
      <c r="M294" s="69">
        <f>_xlfn.IFNA(IF('Interactive Selection Sheet'!F170= "", VLOOKUP('Interactive Selection Sheet'!$G170, 'Master List Import'!$A$1:$P$519, 11, FALSE), ""), "")</f>
        <v>0</v>
      </c>
      <c r="N294" s="69">
        <f>_xlfn.IFNA(IF('Interactive Selection Sheet'!F170= "", VLOOKUP('Interactive Selection Sheet'!$G170, 'Master List Import'!$A$1:$P$519, 12, FALSE), ""), "")</f>
        <v>60</v>
      </c>
      <c r="O294" s="69">
        <f>_xlfn.IFNA(IF('Interactive Selection Sheet'!F170= "", VLOOKUP('Interactive Selection Sheet'!$G170, 'Master List Import'!$A$1:$P$519, 13, FALSE), ""), "")</f>
        <v>6442</v>
      </c>
      <c r="P294" s="69" t="str">
        <f>_xlfn.IFNA(IF('Interactive Selection Sheet'!F170= "", VLOOKUP('Interactive Selection Sheet'!$G170, 'Master List Import'!$A$1:$P$519, 14, FALSE), ""), "")</f>
        <v>French Vanilla Cappuccino Mix</v>
      </c>
      <c r="Q294" s="69">
        <f>_xlfn.IFNA(IF('Interactive Selection Sheet'!F170= "", VLOOKUP('Interactive Selection Sheet'!$G170, 'Master List Import'!$A$1:$P$519, 15, FALSE), ""), "")</f>
        <v>1</v>
      </c>
      <c r="R294" s="74">
        <f>_xlfn.IFNA(IF('Interactive Selection Sheet'!F170= "", VLOOKUP('Interactive Selection Sheet'!$G170, 'Master List Import'!$A$1:$P$519, 16, FALSE), ""), "")</f>
        <v>1.85</v>
      </c>
    </row>
    <row r="295" spans="1:18" ht="21.75" customHeight="1" x14ac:dyDescent="0.25">
      <c r="A295" s="69">
        <f>_xlfn.IFNA(IF('Interactive Selection Sheet'!F171= "", VLOOKUP('Interactive Selection Sheet'!$G171, 'Master List Import'!$A$1:$P$519, 2, FALSE), ""), "")</f>
        <v>6443</v>
      </c>
      <c r="B295" s="69" t="str">
        <f>_xlfn.IFNA(IF('Interactive Selection Sheet'!F171= "", VLOOKUP('Interactive Selection Sheet'!$G171, 'Master List Import'!$A$1:$P$519, 3, FALSE), ""), "")</f>
        <v>Victorian Inn Cappuccino Salted Caramel 6/10/35g</v>
      </c>
      <c r="C295" s="76">
        <f>IF('Interactive Selection Sheet'!$T$2="", "", IF(B295="","",'Interactive Selection Sheet'!$T$2))</f>
        <v>3.5000000000000003E-2</v>
      </c>
      <c r="D295" s="70">
        <f>IF(B295 = "", "", 'Interactive Selection Sheet'!$P$2)</f>
        <v>4.4999999999999998E-2</v>
      </c>
      <c r="E295" s="70">
        <f>IF(B295="","", 'Interactive Selection Sheet'!$R$2)</f>
        <v>0.02</v>
      </c>
      <c r="F295" s="69" t="str">
        <f>_xlfn.IFNA(IF('Interactive Selection Sheet'!F171= "", VLOOKUP('Interactive Selection Sheet'!$G171, 'Master List Import'!$A$1:$P$519, 4, FALSE), ""), "")</f>
        <v>Beverages</v>
      </c>
      <c r="G295" s="69" t="str">
        <f>_xlfn.IFNA(IF('Interactive Selection Sheet'!F171= "", VLOOKUP('Interactive Selection Sheet'!$G171, 'Master List Import'!$A$1:$P$519, 5, FALSE), ""), "")</f>
        <v>Beverages</v>
      </c>
      <c r="H295" s="69" t="str">
        <f>_xlfn.IFNA(IF('Interactive Selection Sheet'!F171= "", VLOOKUP('Interactive Selection Sheet'!$G171, 'Master List Import'!$A$1:$P$519, 6, FALSE), ""), "")</f>
        <v>Both</v>
      </c>
      <c r="I295" s="72">
        <f>_xlfn.IFNA(IF('Interactive Selection Sheet'!F171= "", VLOOKUP('Interactive Selection Sheet'!$G171, 'Master List Import'!$A$1:$P$519, 7, FALSE), ""), "")</f>
        <v>0.49</v>
      </c>
      <c r="J295" s="69" t="str">
        <f>_xlfn.IFNA(IF('Interactive Selection Sheet'!F171= "", VLOOKUP('Interactive Selection Sheet'!$G171, 'Master List Import'!$A$1:$P$519, 8, FALSE), ""), "")</f>
        <v>REI</v>
      </c>
      <c r="K295" s="69" t="str">
        <f>_xlfn.IFNA(IF('Interactive Selection Sheet'!F171= "", VLOOKUP('Interactive Selection Sheet'!$G171, 'Master List Import'!$A$1:$P$519, 9, FALSE), ""), "")</f>
        <v>217131</v>
      </c>
      <c r="L295" s="69">
        <f>_xlfn.IFNA(IF('Interactive Selection Sheet'!F171= "", VLOOKUP('Interactive Selection Sheet'!$G171, 'Master List Import'!$A$1:$P$519, 10, FALSE), ""), "")</f>
        <v>0</v>
      </c>
      <c r="M295" s="69">
        <f>_xlfn.IFNA(IF('Interactive Selection Sheet'!F171= "", VLOOKUP('Interactive Selection Sheet'!$G171, 'Master List Import'!$A$1:$P$519, 11, FALSE), ""), "")</f>
        <v>0</v>
      </c>
      <c r="N295" s="69">
        <f>_xlfn.IFNA(IF('Interactive Selection Sheet'!F171= "", VLOOKUP('Interactive Selection Sheet'!$G171, 'Master List Import'!$A$1:$P$519, 12, FALSE), ""), "")</f>
        <v>60</v>
      </c>
      <c r="O295" s="69">
        <f>_xlfn.IFNA(IF('Interactive Selection Sheet'!F171= "", VLOOKUP('Interactive Selection Sheet'!$G171, 'Master List Import'!$A$1:$P$519, 13, FALSE), ""), "")</f>
        <v>6443</v>
      </c>
      <c r="P295" s="69" t="str">
        <f>_xlfn.IFNA(IF('Interactive Selection Sheet'!F171= "", VLOOKUP('Interactive Selection Sheet'!$G171, 'Master List Import'!$A$1:$P$519, 14, FALSE), ""), "")</f>
        <v>Salted Caramel Cappuccino Mix</v>
      </c>
      <c r="Q295" s="69">
        <f>_xlfn.IFNA(IF('Interactive Selection Sheet'!F171= "", VLOOKUP('Interactive Selection Sheet'!$G171, 'Master List Import'!$A$1:$P$519, 15, FALSE), ""), "")</f>
        <v>1</v>
      </c>
      <c r="R295" s="74">
        <f>_xlfn.IFNA(IF('Interactive Selection Sheet'!F171= "", VLOOKUP('Interactive Selection Sheet'!$G171, 'Master List Import'!$A$1:$P$519, 16, FALSE), ""), "")</f>
        <v>1.85</v>
      </c>
    </row>
    <row r="296" spans="1:18" ht="21.75" customHeight="1" x14ac:dyDescent="0.25">
      <c r="A296" s="69">
        <f>_xlfn.IFNA(IF('Interactive Selection Sheet'!F172= "", VLOOKUP('Interactive Selection Sheet'!$G172, 'Master List Import'!$A$1:$P$519, 2, FALSE), ""), "")</f>
        <v>6450</v>
      </c>
      <c r="B296" s="69" t="str">
        <f>_xlfn.IFNA(IF('Interactive Selection Sheet'!F172= "", VLOOKUP('Interactive Selection Sheet'!$G172, 'Master List Import'!$A$1:$P$519, 3, FALSE), ""), "")</f>
        <v>Instant Milk, Dry Mix, 1qt bag - 12/3/cs</v>
      </c>
      <c r="C296" s="76">
        <f>IF('Interactive Selection Sheet'!$T$2="", "", IF(B296="","",'Interactive Selection Sheet'!$T$2))</f>
        <v>3.5000000000000003E-2</v>
      </c>
      <c r="D296" s="70">
        <f>IF(B296 = "", "", 'Interactive Selection Sheet'!$P$2)</f>
        <v>4.4999999999999998E-2</v>
      </c>
      <c r="E296" s="70">
        <f>IF(B296="","", 'Interactive Selection Sheet'!$R$2)</f>
        <v>0.02</v>
      </c>
      <c r="F296" s="69" t="str">
        <f>_xlfn.IFNA(IF('Interactive Selection Sheet'!F172= "", VLOOKUP('Interactive Selection Sheet'!$G172, 'Master List Import'!$A$1:$P$519, 4, FALSE), ""), "")</f>
        <v>Beverages</v>
      </c>
      <c r="G296" s="69" t="str">
        <f>_xlfn.IFNA(IF('Interactive Selection Sheet'!F172= "", VLOOKUP('Interactive Selection Sheet'!$G172, 'Master List Import'!$A$1:$P$519, 5, FALSE), ""), "")</f>
        <v>Beverages</v>
      </c>
      <c r="H296" s="69" t="str">
        <f>_xlfn.IFNA(IF('Interactive Selection Sheet'!F172= "", VLOOKUP('Interactive Selection Sheet'!$G172, 'Master List Import'!$A$1:$P$519, 6, FALSE), ""), "")</f>
        <v>Both</v>
      </c>
      <c r="I296" s="72">
        <f>_xlfn.IFNA(IF('Interactive Selection Sheet'!F172= "", VLOOKUP('Interactive Selection Sheet'!$G172, 'Master List Import'!$A$1:$P$519, 7, FALSE), ""), "")</f>
        <v>1.0832999999999999</v>
      </c>
      <c r="J296" s="69" t="str">
        <f>_xlfn.IFNA(IF('Interactive Selection Sheet'!F172= "", VLOOKUP('Interactive Selection Sheet'!$G172, 'Master List Import'!$A$1:$P$519, 8, FALSE), ""), "")</f>
        <v>REI</v>
      </c>
      <c r="K296" s="69" t="str">
        <f>_xlfn.IFNA(IF('Interactive Selection Sheet'!F172= "", VLOOKUP('Interactive Selection Sheet'!$G172, 'Master List Import'!$A$1:$P$519, 9, FALSE), ""), "")</f>
        <v>216309</v>
      </c>
      <c r="L296" s="69">
        <f>_xlfn.IFNA(IF('Interactive Selection Sheet'!F172= "", VLOOKUP('Interactive Selection Sheet'!$G172, 'Master List Import'!$A$1:$P$519, 10, FALSE), ""), "")</f>
        <v>0</v>
      </c>
      <c r="M296" s="69">
        <f>_xlfn.IFNA(IF('Interactive Selection Sheet'!F172= "", VLOOKUP('Interactive Selection Sheet'!$G172, 'Master List Import'!$A$1:$P$519, 11, FALSE), ""), "")</f>
        <v>0</v>
      </c>
      <c r="N296" s="69">
        <f>_xlfn.IFNA(IF('Interactive Selection Sheet'!F172= "", VLOOKUP('Interactive Selection Sheet'!$G172, 'Master List Import'!$A$1:$P$519, 12, FALSE), ""), "")</f>
        <v>36</v>
      </c>
      <c r="O296" s="69">
        <f>_xlfn.IFNA(IF('Interactive Selection Sheet'!F172= "", VLOOKUP('Interactive Selection Sheet'!$G172, 'Master List Import'!$A$1:$P$519, 13, FALSE), ""), "")</f>
        <v>6450</v>
      </c>
      <c r="P296" s="69" t="str">
        <f>_xlfn.IFNA(IF('Interactive Selection Sheet'!F172= "", VLOOKUP('Interactive Selection Sheet'!$G172, 'Master List Import'!$A$1:$P$519, 14, FALSE), ""), "")</f>
        <v>Instant Milk Mix (1qt)</v>
      </c>
      <c r="Q296" s="69">
        <f>_xlfn.IFNA(IF('Interactive Selection Sheet'!F172= "", VLOOKUP('Interactive Selection Sheet'!$G172, 'Master List Import'!$A$1:$P$519, 15, FALSE), ""), "")</f>
        <v>1</v>
      </c>
      <c r="R296" s="74">
        <f>_xlfn.IFNA(IF('Interactive Selection Sheet'!F172= "", VLOOKUP('Interactive Selection Sheet'!$G172, 'Master List Import'!$A$1:$P$519, 16, FALSE), ""), "")</f>
        <v>3.4</v>
      </c>
    </row>
    <row r="297" spans="1:18" ht="21.75" customHeight="1" x14ac:dyDescent="0.25">
      <c r="A297" s="69">
        <f>_xlfn.IFNA(IF('Interactive Selection Sheet'!$K164= "", VLOOKUP('Interactive Selection Sheet'!$L164, 'Master List Import'!$A$1:$P$519, 2, FALSE), ""), "")</f>
        <v>6460</v>
      </c>
      <c r="B297" s="69" t="str">
        <f>_xlfn.IFNA(IF('Interactive Selection Sheet'!$K164= "", VLOOKUP('Interactive Selection Sheet'!$L164, 'Master List Import'!$A$1:$P$519, 3, FALSE), ""), "")</f>
        <v>Folgers Classic Roast Coffee Singles, 7ct box - 12/7/cs</v>
      </c>
      <c r="C297" s="76">
        <f>IF('Interactive Selection Sheet'!$T$2="", "", IF(B297="","",'Interactive Selection Sheet'!$T$2))</f>
        <v>3.5000000000000003E-2</v>
      </c>
      <c r="D297" s="70">
        <f>IF(B297 = "", "", 'Interactive Selection Sheet'!$P$2)</f>
        <v>4.4999999999999998E-2</v>
      </c>
      <c r="E297" s="70">
        <f>IF(B297="","", 'Interactive Selection Sheet'!$R$2)</f>
        <v>0.02</v>
      </c>
      <c r="F297" s="69" t="str">
        <f>_xlfn.IFNA(IF('Interactive Selection Sheet'!K164= "", VLOOKUP('Interactive Selection Sheet'!$L164, 'Master List Import'!$A$1:$P$519, 4, FALSE), ""), "")</f>
        <v>Beverages</v>
      </c>
      <c r="G297" s="69" t="str">
        <f>_xlfn.IFNA(IF('Interactive Selection Sheet'!K164= "", VLOOKUP('Interactive Selection Sheet'!$L164, 'Master List Import'!$A$1:$P$519, 5, FALSE), ""), "")</f>
        <v>Beverages</v>
      </c>
      <c r="H297" s="69" t="str">
        <f>_xlfn.IFNA(IF('Interactive Selection Sheet'!K164= "", VLOOKUP('Interactive Selection Sheet'!$L164, 'Master List Import'!$A$1:$P$519, 6, FALSE), ""), "")</f>
        <v>Both</v>
      </c>
      <c r="I297" s="72">
        <f>_xlfn.IFNA(IF('Interactive Selection Sheet'!K164= "", VLOOKUP('Interactive Selection Sheet'!$L164, 'Master List Import'!$A$1:$P$519, 7, FALSE), ""), "")</f>
        <v>0.14280000000000001</v>
      </c>
      <c r="J297" s="69" t="str">
        <f>_xlfn.IFNA(IF('Interactive Selection Sheet'!K164= "", VLOOKUP('Interactive Selection Sheet'!$L164, 'Master List Import'!$A$1:$P$519, 8, FALSE), ""), "")</f>
        <v>REI</v>
      </c>
      <c r="K297" s="69" t="str">
        <f>_xlfn.IFNA(IF('Interactive Selection Sheet'!K164= "", VLOOKUP('Interactive Selection Sheet'!$L164, 'Master List Import'!$A$1:$P$519, 9, FALSE), ""), "")</f>
        <v>220335</v>
      </c>
      <c r="L297" s="69">
        <f>_xlfn.IFNA(IF('Interactive Selection Sheet'!K164= "", VLOOKUP('Interactive Selection Sheet'!$L164, 'Master List Import'!$A$1:$P$519, 10, FALSE), ""), "")</f>
        <v>0</v>
      </c>
      <c r="M297" s="69">
        <f>_xlfn.IFNA(IF('Interactive Selection Sheet'!K164= "", VLOOKUP('Interactive Selection Sheet'!$L164, 'Master List Import'!$A$1:$P$519, 11, FALSE), ""), "")</f>
        <v>0</v>
      </c>
      <c r="N297" s="69">
        <f>_xlfn.IFNA(IF('Interactive Selection Sheet'!K164= "", VLOOKUP('Interactive Selection Sheet'!$L164, 'Master List Import'!$A$1:$P$519, 12, FALSE), ""), "")</f>
        <v>84</v>
      </c>
      <c r="O297" s="69">
        <f>_xlfn.IFNA(IF('Interactive Selection Sheet'!K164= "", VLOOKUP('Interactive Selection Sheet'!$L164, 'Master List Import'!$A$1:$P$519, 13, FALSE), ""), "")</f>
        <v>6460</v>
      </c>
      <c r="P297" s="69" t="str">
        <f>_xlfn.IFNA(IF('Interactive Selection Sheet'!K164= "", VLOOKUP('Interactive Selection Sheet'!$L164, 'Master List Import'!$A$1:$P$519, 14, FALSE), ""), "")</f>
        <v>Folgers Single Serve Packets (7ct)</v>
      </c>
      <c r="Q297" s="69">
        <f>_xlfn.IFNA(IF('Interactive Selection Sheet'!K164= "", VLOOKUP('Interactive Selection Sheet'!$L164, 'Master List Import'!$A$1:$P$519, 15, FALSE), ""), "")</f>
        <v>7</v>
      </c>
      <c r="R297" s="74">
        <f>_xlfn.IFNA(IF('Interactive Selection Sheet'!K164= "", VLOOKUP('Interactive Selection Sheet'!$L164, 'Master List Import'!$A$1:$P$519, 16, FALSE), ""), "")</f>
        <v>3.5</v>
      </c>
    </row>
    <row r="298" spans="1:18" ht="21.75" customHeight="1" x14ac:dyDescent="0.25">
      <c r="A298" s="69">
        <f>_xlfn.IFNA(IF('Interactive Selection Sheet'!$K165= "", VLOOKUP('Interactive Selection Sheet'!$L165, 'Master List Import'!$A$1:$P$519, 2, FALSE), ""), "")</f>
        <v>6460</v>
      </c>
      <c r="B298" s="69" t="str">
        <f>_xlfn.IFNA(IF('Interactive Selection Sheet'!$K165= "", VLOOKUP('Interactive Selection Sheet'!$L165, 'Master List Import'!$A$1:$P$519, 3, FALSE), ""), "")</f>
        <v>Single Stick Folgers Classic Roast Coffee</v>
      </c>
      <c r="C298" s="76">
        <f>IF('Interactive Selection Sheet'!$T$2="", "", IF(B298="","",'Interactive Selection Sheet'!$T$2))</f>
        <v>3.5000000000000003E-2</v>
      </c>
      <c r="D298" s="70">
        <f>IF(B298 = "", "", 'Interactive Selection Sheet'!$P$2)</f>
        <v>4.4999999999999998E-2</v>
      </c>
      <c r="E298" s="70">
        <f>IF(B298="","", 'Interactive Selection Sheet'!$R$2)</f>
        <v>0.02</v>
      </c>
      <c r="F298" s="69" t="str">
        <f>_xlfn.IFNA(IF('Interactive Selection Sheet'!K165= "", VLOOKUP('Interactive Selection Sheet'!$L165, 'Master List Import'!$A$1:$P$519, 4, FALSE), ""), "")</f>
        <v>Beverages</v>
      </c>
      <c r="G298" s="69" t="str">
        <f>_xlfn.IFNA(IF('Interactive Selection Sheet'!K165= "", VLOOKUP('Interactive Selection Sheet'!$L165, 'Master List Import'!$A$1:$P$519, 5, FALSE), ""), "")</f>
        <v>Beverages</v>
      </c>
      <c r="H298" s="69" t="str">
        <f>_xlfn.IFNA(IF('Interactive Selection Sheet'!K165= "", VLOOKUP('Interactive Selection Sheet'!$L165, 'Master List Import'!$A$1:$P$519, 6, FALSE), ""), "")</f>
        <v>Both</v>
      </c>
      <c r="I298" s="72">
        <f>_xlfn.IFNA(IF('Interactive Selection Sheet'!K165= "", VLOOKUP('Interactive Selection Sheet'!$L165, 'Master List Import'!$A$1:$P$519, 7, FALSE), ""), "")</f>
        <v>0.1429</v>
      </c>
      <c r="J298" s="69" t="str">
        <f>_xlfn.IFNA(IF('Interactive Selection Sheet'!K165= "", VLOOKUP('Interactive Selection Sheet'!$L165, 'Master List Import'!$A$1:$P$519, 8, FALSE), ""), "")</f>
        <v>REI</v>
      </c>
      <c r="K298" s="69" t="str">
        <f>_xlfn.IFNA(IF('Interactive Selection Sheet'!K165= "", VLOOKUP('Interactive Selection Sheet'!$L165, 'Master List Import'!$A$1:$P$519, 9, FALSE), ""), "")</f>
        <v>220335-1</v>
      </c>
      <c r="L298" s="69">
        <f>_xlfn.IFNA(IF('Interactive Selection Sheet'!K165= "", VLOOKUP('Interactive Selection Sheet'!$L165, 'Master List Import'!$A$1:$P$519, 10, FALSE), ""), "")</f>
        <v>0</v>
      </c>
      <c r="M298" s="69">
        <f>_xlfn.IFNA(IF('Interactive Selection Sheet'!K165= "", VLOOKUP('Interactive Selection Sheet'!$L165, 'Master List Import'!$A$1:$P$519, 11, FALSE), ""), "")</f>
        <v>0</v>
      </c>
      <c r="N298" s="69">
        <f>_xlfn.IFNA(IF('Interactive Selection Sheet'!K165= "", VLOOKUP('Interactive Selection Sheet'!$L165, 'Master List Import'!$A$1:$P$519, 12, FALSE), ""), "")</f>
        <v>1</v>
      </c>
      <c r="O298" s="69">
        <f>_xlfn.IFNA(IF('Interactive Selection Sheet'!K165= "", VLOOKUP('Interactive Selection Sheet'!$L165, 'Master List Import'!$A$1:$P$519, 13, FALSE), ""), "")</f>
        <v>6461</v>
      </c>
      <c r="P298" s="69" t="str">
        <f>_xlfn.IFNA(IF('Interactive Selection Sheet'!K165= "", VLOOKUP('Interactive Selection Sheet'!$L165, 'Master List Import'!$A$1:$P$519, 14, FALSE), ""), "")</f>
        <v>Single Stick Folgers (1ct)</v>
      </c>
      <c r="Q298" s="69">
        <f>_xlfn.IFNA(IF('Interactive Selection Sheet'!K165= "", VLOOKUP('Interactive Selection Sheet'!$L165, 'Master List Import'!$A$1:$P$519, 15, FALSE), ""), "")</f>
        <v>1</v>
      </c>
      <c r="R298" s="74">
        <f>_xlfn.IFNA(IF('Interactive Selection Sheet'!K165= "", VLOOKUP('Interactive Selection Sheet'!$L165, 'Master List Import'!$A$1:$P$519, 16, FALSE), ""), "")</f>
        <v>1</v>
      </c>
    </row>
    <row r="299" spans="1:18" ht="21.75" customHeight="1" x14ac:dyDescent="0.25">
      <c r="A299" s="69">
        <f>_xlfn.IFNA(IF('Interactive Selection Sheet'!$K170= "", VLOOKUP('Interactive Selection Sheet'!$L170, 'Master List Import'!$A$1:$P$519, 2, FALSE), ""), "")</f>
        <v>6520</v>
      </c>
      <c r="B299" s="69" t="str">
        <f>_xlfn.IFNA(IF('Interactive Selection Sheet'!$K170= "", VLOOKUP('Interactive Selection Sheet'!$L170, 'Master List Import'!$A$1:$P$519, 3, FALSE), ""), "")</f>
        <v>Sugar Twin Sweetener, 100pk - 12/100/cs</v>
      </c>
      <c r="C299" s="76">
        <f>IF('Interactive Selection Sheet'!$T$2="", "", IF(B299="","",'Interactive Selection Sheet'!$T$2))</f>
        <v>3.5000000000000003E-2</v>
      </c>
      <c r="D299" s="70">
        <f>IF(B299 = "", "", 'Interactive Selection Sheet'!$P$2)</f>
        <v>4.4999999999999998E-2</v>
      </c>
      <c r="E299" s="70">
        <f>IF(B299="","", 'Interactive Selection Sheet'!$R$2)</f>
        <v>0.02</v>
      </c>
      <c r="F299" s="69" t="str">
        <f>_xlfn.IFNA(IF('Interactive Selection Sheet'!K170= "", VLOOKUP('Interactive Selection Sheet'!$L170, 'Master List Import'!$A$1:$P$519, 4, FALSE), ""), "")</f>
        <v>Sugar Substitute</v>
      </c>
      <c r="G299" s="69" t="str">
        <f>_xlfn.IFNA(IF('Interactive Selection Sheet'!K170= "", VLOOKUP('Interactive Selection Sheet'!$L170, 'Master List Import'!$A$1:$P$519, 5, FALSE), ""), "")</f>
        <v>Sugar Substitute</v>
      </c>
      <c r="H299" s="69" t="str">
        <f>_xlfn.IFNA(IF('Interactive Selection Sheet'!K170= "", VLOOKUP('Interactive Selection Sheet'!$L170, 'Master List Import'!$A$1:$P$519, 6, FALSE), ""), "")</f>
        <v>Both</v>
      </c>
      <c r="I299" s="72">
        <f>_xlfn.IFNA(IF('Interactive Selection Sheet'!K170= "", VLOOKUP('Interactive Selection Sheet'!$L170, 'Master List Import'!$A$1:$P$519, 7, FALSE), ""), "")</f>
        <v>1.32E-2</v>
      </c>
      <c r="J299" s="69" t="str">
        <f>_xlfn.IFNA(IF('Interactive Selection Sheet'!K170= "", VLOOKUP('Interactive Selection Sheet'!$L170, 'Master List Import'!$A$1:$P$519, 8, FALSE), ""), "")</f>
        <v>REI</v>
      </c>
      <c r="K299" s="69" t="str">
        <f>_xlfn.IFNA(IF('Interactive Selection Sheet'!K170= "", VLOOKUP('Interactive Selection Sheet'!$L170, 'Master List Import'!$A$1:$P$519, 9, FALSE), ""), "")</f>
        <v>252080</v>
      </c>
      <c r="L299" s="69">
        <f>_xlfn.IFNA(IF('Interactive Selection Sheet'!K170= "", VLOOKUP('Interactive Selection Sheet'!$L170, 'Master List Import'!$A$1:$P$519, 10, FALSE), ""), "")</f>
        <v>0</v>
      </c>
      <c r="M299" s="69">
        <f>_xlfn.IFNA(IF('Interactive Selection Sheet'!K170= "", VLOOKUP('Interactive Selection Sheet'!$L170, 'Master List Import'!$A$1:$P$519, 11, FALSE), ""), "")</f>
        <v>0</v>
      </c>
      <c r="N299" s="69">
        <f>_xlfn.IFNA(IF('Interactive Selection Sheet'!K170= "", VLOOKUP('Interactive Selection Sheet'!$L170, 'Master List Import'!$A$1:$P$519, 12, FALSE), ""), "")</f>
        <v>1200</v>
      </c>
      <c r="O299" s="69">
        <f>_xlfn.IFNA(IF('Interactive Selection Sheet'!K170= "", VLOOKUP('Interactive Selection Sheet'!$L170, 'Master List Import'!$A$1:$P$519, 13, FALSE), ""), "")</f>
        <v>6520</v>
      </c>
      <c r="P299" s="69" t="str">
        <f>_xlfn.IFNA(IF('Interactive Selection Sheet'!K170= "", VLOOKUP('Interactive Selection Sheet'!$L170, 'Master List Import'!$A$1:$P$519, 14, FALSE), ""), "")</f>
        <v>Sugar Twin Sweetener Box (100pk)</v>
      </c>
      <c r="Q299" s="69">
        <f>_xlfn.IFNA(IF('Interactive Selection Sheet'!K170= "", VLOOKUP('Interactive Selection Sheet'!$L170, 'Master List Import'!$A$1:$P$519, 15, FALSE), ""), "")</f>
        <v>100</v>
      </c>
      <c r="R299" s="74">
        <f>_xlfn.IFNA(IF('Interactive Selection Sheet'!K170= "", VLOOKUP('Interactive Selection Sheet'!$L170, 'Master List Import'!$A$1:$P$519, 16, FALSE), ""), "")</f>
        <v>4.4000000000000004</v>
      </c>
    </row>
    <row r="300" spans="1:18" ht="21.75" customHeight="1" x14ac:dyDescent="0.25">
      <c r="A300" s="69">
        <f>_xlfn.IFNA(IF('Interactive Selection Sheet'!$K172= "", VLOOKUP('Interactive Selection Sheet'!$L172, 'Master List Import'!$A$1:$P$519, 2, FALSE), ""), "")</f>
        <v>6530</v>
      </c>
      <c r="B300" s="69" t="str">
        <f>_xlfn.IFNA(IF('Interactive Selection Sheet'!$K172= "", VLOOKUP('Interactive Selection Sheet'!$L172, 'Master List Import'!$A$1:$P$519, 3, FALSE), ""), "")</f>
        <v>Creamer, 2.5gm packets - 1000/cs</v>
      </c>
      <c r="C300" s="76">
        <f>IF('Interactive Selection Sheet'!$T$2="", "", IF(B300="","",'Interactive Selection Sheet'!$T$2))</f>
        <v>3.5000000000000003E-2</v>
      </c>
      <c r="D300" s="70">
        <f>IF(B300 = "", "", 'Interactive Selection Sheet'!$P$2)</f>
        <v>4.4999999999999998E-2</v>
      </c>
      <c r="E300" s="70">
        <f>IF(B300="","", 'Interactive Selection Sheet'!$R$2)</f>
        <v>0.02</v>
      </c>
      <c r="F300" s="69" t="str">
        <f>_xlfn.IFNA(IF('Interactive Selection Sheet'!K172= "", VLOOKUP('Interactive Selection Sheet'!$L172, 'Master List Import'!$A$1:$P$519, 4, FALSE), ""), "")</f>
        <v>Creamer</v>
      </c>
      <c r="G300" s="69" t="str">
        <f>_xlfn.IFNA(IF('Interactive Selection Sheet'!K172= "", VLOOKUP('Interactive Selection Sheet'!$L172, 'Master List Import'!$A$1:$P$519, 5, FALSE), ""), "")</f>
        <v>Creamer</v>
      </c>
      <c r="H300" s="69" t="str">
        <f>_xlfn.IFNA(IF('Interactive Selection Sheet'!K172= "", VLOOKUP('Interactive Selection Sheet'!$L172, 'Master List Import'!$A$1:$P$519, 6, FALSE), ""), "")</f>
        <v>Both</v>
      </c>
      <c r="I300" s="72">
        <f>_xlfn.IFNA(IF('Interactive Selection Sheet'!K172= "", VLOOKUP('Interactive Selection Sheet'!$L172, 'Master List Import'!$A$1:$P$519, 7, FALSE), ""), "")</f>
        <v>1.8100000000000002E-2</v>
      </c>
      <c r="J300" s="69" t="str">
        <f>_xlfn.IFNA(IF('Interactive Selection Sheet'!K172= "", VLOOKUP('Interactive Selection Sheet'!$L172, 'Master List Import'!$A$1:$P$519, 8, FALSE), ""), "")</f>
        <v>REI</v>
      </c>
      <c r="K300" s="69" t="str">
        <f>_xlfn.IFNA(IF('Interactive Selection Sheet'!K172= "", VLOOKUP('Interactive Selection Sheet'!$L172, 'Master List Import'!$A$1:$P$519, 9, FALSE), ""), "")</f>
        <v>BULK22</v>
      </c>
      <c r="L300" s="69">
        <f>_xlfn.IFNA(IF('Interactive Selection Sheet'!K172= "", VLOOKUP('Interactive Selection Sheet'!$L172, 'Master List Import'!$A$1:$P$519, 10, FALSE), ""), "")</f>
        <v>0</v>
      </c>
      <c r="M300" s="69">
        <f>_xlfn.IFNA(IF('Interactive Selection Sheet'!K172= "", VLOOKUP('Interactive Selection Sheet'!$L172, 'Master List Import'!$A$1:$P$519, 11, FALSE), ""), "")</f>
        <v>0</v>
      </c>
      <c r="N300" s="69">
        <f>_xlfn.IFNA(IF('Interactive Selection Sheet'!K172= "", VLOOKUP('Interactive Selection Sheet'!$L172, 'Master List Import'!$A$1:$P$519, 12, FALSE), ""), "")</f>
        <v>1000</v>
      </c>
      <c r="O300" s="69">
        <f>_xlfn.IFNA(IF('Interactive Selection Sheet'!K172= "", VLOOKUP('Interactive Selection Sheet'!$L172, 'Master List Import'!$A$1:$P$519, 13, FALSE), ""), "")</f>
        <v>6530</v>
      </c>
      <c r="P300" s="69" t="str">
        <f>_xlfn.IFNA(IF('Interactive Selection Sheet'!K172= "", VLOOKUP('Interactive Selection Sheet'!$L172, 'Master List Import'!$A$1:$P$519, 14, FALSE), ""), "")</f>
        <v>Creamer Packet</v>
      </c>
      <c r="Q300" s="69">
        <f>_xlfn.IFNA(IF('Interactive Selection Sheet'!K172= "", VLOOKUP('Interactive Selection Sheet'!$L172, 'Master List Import'!$A$1:$P$519, 15, FALSE), ""), "")</f>
        <v>1</v>
      </c>
      <c r="R300" s="74">
        <f>_xlfn.IFNA(IF('Interactive Selection Sheet'!K172= "", VLOOKUP('Interactive Selection Sheet'!$L172, 'Master List Import'!$A$1:$P$519, 16, FALSE), ""), "")</f>
        <v>0.1</v>
      </c>
    </row>
    <row r="301" spans="1:18" ht="21.75" customHeight="1" x14ac:dyDescent="0.25">
      <c r="A301" s="69">
        <f>_xlfn.IFNA(IF('Interactive Selection Sheet'!$K173= "", VLOOKUP('Interactive Selection Sheet'!$L173, 'Master List Import'!$A$1:$P$519, 2, FALSE), ""), "")</f>
        <v>6531</v>
      </c>
      <c r="B301" s="69" t="str">
        <f>_xlfn.IFNA(IF('Interactive Selection Sheet'!$K173= "", VLOOKUP('Interactive Selection Sheet'!$L173, 'Master List Import'!$A$1:$P$519, 3, FALSE), ""), "")</f>
        <v>N-Joy Coffee Creamer, 16oz - 8/cs</v>
      </c>
      <c r="C301" s="76">
        <f>IF('Interactive Selection Sheet'!$T$2="", "", IF(B301="","",'Interactive Selection Sheet'!$T$2))</f>
        <v>3.5000000000000003E-2</v>
      </c>
      <c r="D301" s="70">
        <f>IF(B301 = "", "", 'Interactive Selection Sheet'!$P$2)</f>
        <v>4.4999999999999998E-2</v>
      </c>
      <c r="E301" s="70">
        <f>IF(B301="","", 'Interactive Selection Sheet'!$R$2)</f>
        <v>0.02</v>
      </c>
      <c r="F301" s="69" t="str">
        <f>_xlfn.IFNA(IF('Interactive Selection Sheet'!K173= "", VLOOKUP('Interactive Selection Sheet'!$L173, 'Master List Import'!$A$1:$P$519, 4, FALSE), ""), "")</f>
        <v>Creamer</v>
      </c>
      <c r="G301" s="69" t="str">
        <f>_xlfn.IFNA(IF('Interactive Selection Sheet'!K173= "", VLOOKUP('Interactive Selection Sheet'!$L173, 'Master List Import'!$A$1:$P$519, 5, FALSE), ""), "")</f>
        <v>Creamer</v>
      </c>
      <c r="H301" s="69" t="str">
        <f>_xlfn.IFNA(IF('Interactive Selection Sheet'!K173= "", VLOOKUP('Interactive Selection Sheet'!$L173, 'Master List Import'!$A$1:$P$519, 6, FALSE), ""), "")</f>
        <v>Both</v>
      </c>
      <c r="I301" s="72">
        <f>_xlfn.IFNA(IF('Interactive Selection Sheet'!K173= "", VLOOKUP('Interactive Selection Sheet'!$L173, 'Master List Import'!$A$1:$P$519, 7, FALSE), ""), "")</f>
        <v>1.65</v>
      </c>
      <c r="J301" s="69" t="str">
        <f>_xlfn.IFNA(IF('Interactive Selection Sheet'!K173= "", VLOOKUP('Interactive Selection Sheet'!$L173, 'Master List Import'!$A$1:$P$519, 8, FALSE), ""), "")</f>
        <v>REI</v>
      </c>
      <c r="K301" s="69" t="str">
        <f>_xlfn.IFNA(IF('Interactive Selection Sheet'!K173= "", VLOOKUP('Interactive Selection Sheet'!$L173, 'Master List Import'!$A$1:$P$519, 9, FALSE), ""), "")</f>
        <v>216945</v>
      </c>
      <c r="L301" s="69">
        <f>_xlfn.IFNA(IF('Interactive Selection Sheet'!K173= "", VLOOKUP('Interactive Selection Sheet'!$L173, 'Master List Import'!$A$1:$P$519, 10, FALSE), ""), "")</f>
        <v>0</v>
      </c>
      <c r="M301" s="69">
        <f>_xlfn.IFNA(IF('Interactive Selection Sheet'!K173= "", VLOOKUP('Interactive Selection Sheet'!$L173, 'Master List Import'!$A$1:$P$519, 11, FALSE), ""), "")</f>
        <v>0</v>
      </c>
      <c r="N301" s="69">
        <f>_xlfn.IFNA(IF('Interactive Selection Sheet'!K173= "", VLOOKUP('Interactive Selection Sheet'!$L173, 'Master List Import'!$A$1:$P$519, 12, FALSE), ""), "")</f>
        <v>8</v>
      </c>
      <c r="O301" s="69">
        <f>_xlfn.IFNA(IF('Interactive Selection Sheet'!K173= "", VLOOKUP('Interactive Selection Sheet'!$L173, 'Master List Import'!$A$1:$P$519, 13, FALSE), ""), "")</f>
        <v>6531</v>
      </c>
      <c r="P301" s="69" t="str">
        <f>_xlfn.IFNA(IF('Interactive Selection Sheet'!K173= "", VLOOKUP('Interactive Selection Sheet'!$L173, 'Master List Import'!$A$1:$P$519, 14, FALSE), ""), "")</f>
        <v>Creamer Canister (16oz)</v>
      </c>
      <c r="Q301" s="69">
        <f>_xlfn.IFNA(IF('Interactive Selection Sheet'!K173= "", VLOOKUP('Interactive Selection Sheet'!$L173, 'Master List Import'!$A$1:$P$519, 15, FALSE), ""), "")</f>
        <v>1</v>
      </c>
      <c r="R301" s="74">
        <f>_xlfn.IFNA(IF('Interactive Selection Sheet'!K173= "", VLOOKUP('Interactive Selection Sheet'!$L173, 'Master List Import'!$A$1:$P$519, 16, FALSE), ""), "")</f>
        <v>5</v>
      </c>
    </row>
    <row r="302" spans="1:18" ht="21.75" customHeight="1" x14ac:dyDescent="0.25">
      <c r="A302" s="69">
        <f>_xlfn.IFNA(IF('Interactive Selection Sheet'!A177 = "", VLOOKUP('Interactive Selection Sheet'!$B177, 'Master List Import'!$A$1:$P$519, 2, FALSE), ""), "")</f>
        <v>6600</v>
      </c>
      <c r="B302" s="69" t="str">
        <f>_xlfn.IFNA(IF('Interactive Selection Sheet'!A177 = "", VLOOKUP('Interactive Selection Sheet'!$B177, 'Master List Import'!$A$1:$P$519, 3, FALSE), ""), "")</f>
        <v>Ketchup, 9gm packets - 1000/cs</v>
      </c>
      <c r="C302" s="76">
        <f>IF('Interactive Selection Sheet'!$T$2="", "", IF(B302="","",'Interactive Selection Sheet'!$T$2))</f>
        <v>3.5000000000000003E-2</v>
      </c>
      <c r="D302" s="70">
        <f>IF(B302 = "", "", 'Interactive Selection Sheet'!$P$2)</f>
        <v>4.4999999999999998E-2</v>
      </c>
      <c r="E302" s="70">
        <f>IF(B302="","", 'Interactive Selection Sheet'!$R$2)</f>
        <v>0.02</v>
      </c>
      <c r="F302" s="69" t="str">
        <f>_xlfn.IFNA(IF('Interactive Selection Sheet'!A177 = "", VLOOKUP('Interactive Selection Sheet'!$B177, 'Master List Import'!$A$1:$P$519, 4, FALSE), ""), "")</f>
        <v>Condiments/Seasonings</v>
      </c>
      <c r="G302" s="69" t="str">
        <f>_xlfn.IFNA(IF('Interactive Selection Sheet'!A177 = "", VLOOKUP('Interactive Selection Sheet'!$B177, 'Master List Import'!$A$1:$P$519, 5, FALSE), ""), "")</f>
        <v>Condiments/Seasonings</v>
      </c>
      <c r="H302" s="69" t="str">
        <f>_xlfn.IFNA(IF('Interactive Selection Sheet'!A177 = "", VLOOKUP('Interactive Selection Sheet'!$B177, 'Master List Import'!$A$1:$P$519, 6, FALSE), ""), "")</f>
        <v>Both</v>
      </c>
      <c r="I302" s="72">
        <f>_xlfn.IFNA(IF('Interactive Selection Sheet'!A177 = "", VLOOKUP('Interactive Selection Sheet'!$B177, 'Master List Import'!$A$1:$P$519, 7, FALSE), ""), "")</f>
        <v>2.1700000000000001E-2</v>
      </c>
      <c r="J302" s="69" t="str">
        <f>_xlfn.IFNA(IF('Interactive Selection Sheet'!A177 = "", VLOOKUP('Interactive Selection Sheet'!$B177, 'Master List Import'!$A$1:$P$519, 8, FALSE), ""), "")</f>
        <v>REI</v>
      </c>
      <c r="K302" s="69" t="str">
        <f>_xlfn.IFNA(IF('Interactive Selection Sheet'!A177 = "", VLOOKUP('Interactive Selection Sheet'!$B177, 'Master List Import'!$A$1:$P$519, 9, FALSE), ""), "")</f>
        <v>334201</v>
      </c>
      <c r="L302" s="69">
        <f>_xlfn.IFNA(IF('Interactive Selection Sheet'!A177 = "", VLOOKUP('Interactive Selection Sheet'!$B177, 'Master List Import'!$A$1:$P$519, 10, FALSE), ""), "")</f>
        <v>0</v>
      </c>
      <c r="M302" s="69">
        <f>_xlfn.IFNA(IF('Interactive Selection Sheet'!A177 = "", VLOOKUP('Interactive Selection Sheet'!$B177, 'Master List Import'!$A$1:$P$519, 11, FALSE), ""), "")</f>
        <v>0</v>
      </c>
      <c r="N302" s="69">
        <f>_xlfn.IFNA(IF('Interactive Selection Sheet'!A177 = "", VLOOKUP('Interactive Selection Sheet'!$B177, 'Master List Import'!$A$1:$P$519, 12, FALSE), ""), "")</f>
        <v>1000</v>
      </c>
      <c r="O302" s="69">
        <f>_xlfn.IFNA(IF('Interactive Selection Sheet'!A177 = "", VLOOKUP('Interactive Selection Sheet'!$B177, 'Master List Import'!$A$1:$P$519, 13, FALSE), ""), "")</f>
        <v>6600</v>
      </c>
      <c r="P302" s="69" t="str">
        <f>_xlfn.IFNA(IF('Interactive Selection Sheet'!A177 = "", VLOOKUP('Interactive Selection Sheet'!$B177, 'Master List Import'!$A$1:$P$519, 14, FALSE), ""), "")</f>
        <v>Ketchup Packet</v>
      </c>
      <c r="Q302" s="69">
        <f>_xlfn.IFNA(IF('Interactive Selection Sheet'!A177 = "", VLOOKUP('Interactive Selection Sheet'!$B177, 'Master List Import'!$A$1:$P$519, 15, FALSE), ""), "")</f>
        <v>1</v>
      </c>
      <c r="R302" s="74">
        <f>_xlfn.IFNA(IF('Interactive Selection Sheet'!A177 = "", VLOOKUP('Interactive Selection Sheet'!$B177, 'Master List Import'!$A$1:$P$519, 16, FALSE), ""), "")</f>
        <v>0.1</v>
      </c>
    </row>
    <row r="303" spans="1:18" ht="21.75" customHeight="1" x14ac:dyDescent="0.25">
      <c r="A303" s="69">
        <f>_xlfn.IFNA(IF('Interactive Selection Sheet'!A178 = "", VLOOKUP('Interactive Selection Sheet'!$B178, 'Master List Import'!$A$1:$P$519, 2, FALSE), ""), "")</f>
        <v>6601</v>
      </c>
      <c r="B303" s="69" t="str">
        <f>_xlfn.IFNA(IF('Interactive Selection Sheet'!A178 = "", VLOOKUP('Interactive Selection Sheet'!$B178, 'Master List Import'!$A$1:$P$519, 3, FALSE), ""), "")</f>
        <v>BBQ Sauce, 9gm packets - 200/cs</v>
      </c>
      <c r="C303" s="76">
        <f>IF('Interactive Selection Sheet'!$T$2="", "", IF(B303="","",'Interactive Selection Sheet'!$T$2))</f>
        <v>3.5000000000000003E-2</v>
      </c>
      <c r="D303" s="70">
        <f>IF(B303 = "", "", 'Interactive Selection Sheet'!$P$2)</f>
        <v>4.4999999999999998E-2</v>
      </c>
      <c r="E303" s="70">
        <f>IF(B303="","", 'Interactive Selection Sheet'!$R$2)</f>
        <v>0.02</v>
      </c>
      <c r="F303" s="69" t="str">
        <f>_xlfn.IFNA(IF('Interactive Selection Sheet'!A178 = "", VLOOKUP('Interactive Selection Sheet'!$B178, 'Master List Import'!$A$1:$P$519, 4, FALSE), ""), "")</f>
        <v>Condiments/Seasonings</v>
      </c>
      <c r="G303" s="69" t="str">
        <f>_xlfn.IFNA(IF('Interactive Selection Sheet'!A178 = "", VLOOKUP('Interactive Selection Sheet'!$B178, 'Master List Import'!$A$1:$P$519, 5, FALSE), ""), "")</f>
        <v>Condiments/Seasonings</v>
      </c>
      <c r="H303" s="69" t="str">
        <f>_xlfn.IFNA(IF('Interactive Selection Sheet'!A178 = "", VLOOKUP('Interactive Selection Sheet'!$B178, 'Master List Import'!$A$1:$P$519, 6, FALSE), ""), "")</f>
        <v>Both</v>
      </c>
      <c r="I303" s="72">
        <f>_xlfn.IFNA(IF('Interactive Selection Sheet'!A178 = "", VLOOKUP('Interactive Selection Sheet'!$B178, 'Master List Import'!$A$1:$P$519, 7, FALSE), ""), "")</f>
        <v>4.1799999999999997E-2</v>
      </c>
      <c r="J303" s="69" t="str">
        <f>_xlfn.IFNA(IF('Interactive Selection Sheet'!A178 = "", VLOOKUP('Interactive Selection Sheet'!$B178, 'Master List Import'!$A$1:$P$519, 8, FALSE), ""), "")</f>
        <v>REI</v>
      </c>
      <c r="K303" s="69" t="str">
        <f>_xlfn.IFNA(IF('Interactive Selection Sheet'!A178 = "", VLOOKUP('Interactive Selection Sheet'!$B178, 'Master List Import'!$A$1:$P$519, 9, FALSE), ""), "")</f>
        <v>BULK28</v>
      </c>
      <c r="L303" s="69">
        <f>_xlfn.IFNA(IF('Interactive Selection Sheet'!A178 = "", VLOOKUP('Interactive Selection Sheet'!$B178, 'Master List Import'!$A$1:$P$519, 10, FALSE), ""), "")</f>
        <v>0</v>
      </c>
      <c r="M303" s="69">
        <f>_xlfn.IFNA(IF('Interactive Selection Sheet'!A178 = "", VLOOKUP('Interactive Selection Sheet'!$B178, 'Master List Import'!$A$1:$P$519, 11, FALSE), ""), "")</f>
        <v>0</v>
      </c>
      <c r="N303" s="69">
        <f>_xlfn.IFNA(IF('Interactive Selection Sheet'!A178 = "", VLOOKUP('Interactive Selection Sheet'!$B178, 'Master List Import'!$A$1:$P$519, 12, FALSE), ""), "")</f>
        <v>200</v>
      </c>
      <c r="O303" s="69">
        <f>_xlfn.IFNA(IF('Interactive Selection Sheet'!A178 = "", VLOOKUP('Interactive Selection Sheet'!$B178, 'Master List Import'!$A$1:$P$519, 13, FALSE), ""), "")</f>
        <v>6601</v>
      </c>
      <c r="P303" s="69" t="str">
        <f>_xlfn.IFNA(IF('Interactive Selection Sheet'!A178 = "", VLOOKUP('Interactive Selection Sheet'!$B178, 'Master List Import'!$A$1:$P$519, 14, FALSE), ""), "")</f>
        <v>BBQ Sauce Packet</v>
      </c>
      <c r="Q303" s="69">
        <f>_xlfn.IFNA(IF('Interactive Selection Sheet'!A178 = "", VLOOKUP('Interactive Selection Sheet'!$B178, 'Master List Import'!$A$1:$P$519, 15, FALSE), ""), "")</f>
        <v>1</v>
      </c>
      <c r="R303" s="74">
        <f>_xlfn.IFNA(IF('Interactive Selection Sheet'!A178 = "", VLOOKUP('Interactive Selection Sheet'!$B178, 'Master List Import'!$A$1:$P$519, 16, FALSE), ""), "")</f>
        <v>0.15</v>
      </c>
    </row>
    <row r="304" spans="1:18" ht="21.75" customHeight="1" x14ac:dyDescent="0.25">
      <c r="A304" s="69">
        <f>_xlfn.IFNA(IF('Interactive Selection Sheet'!A179 = "", VLOOKUP('Interactive Selection Sheet'!$B179, 'Master List Import'!$A$1:$P$519, 2, FALSE), ""), "")</f>
        <v>6602</v>
      </c>
      <c r="B304" s="69" t="str">
        <f>_xlfn.IFNA(IF('Interactive Selection Sheet'!A179 = "", VLOOKUP('Interactive Selection Sheet'!$B179, 'Master List Import'!$A$1:$P$519, 3, FALSE), ""), "")</f>
        <v>Mayonnaise, 9gm packets - 500/cs</v>
      </c>
      <c r="C304" s="76">
        <f>IF('Interactive Selection Sheet'!$T$2="", "", IF(B304="","",'Interactive Selection Sheet'!$T$2))</f>
        <v>3.5000000000000003E-2</v>
      </c>
      <c r="D304" s="70">
        <f>IF(B304 = "", "", 'Interactive Selection Sheet'!$P$2)</f>
        <v>4.4999999999999998E-2</v>
      </c>
      <c r="E304" s="70">
        <f>IF(B304="","", 'Interactive Selection Sheet'!$R$2)</f>
        <v>0.02</v>
      </c>
      <c r="F304" s="69" t="str">
        <f>_xlfn.IFNA(IF('Interactive Selection Sheet'!A179 = "", VLOOKUP('Interactive Selection Sheet'!$B179, 'Master List Import'!$A$1:$P$519, 4, FALSE), ""), "")</f>
        <v>Condiments/Seasonings</v>
      </c>
      <c r="G304" s="69" t="str">
        <f>_xlfn.IFNA(IF('Interactive Selection Sheet'!A179 = "", VLOOKUP('Interactive Selection Sheet'!$B179, 'Master List Import'!$A$1:$P$519, 5, FALSE), ""), "")</f>
        <v>Condiments/Seasonings</v>
      </c>
      <c r="H304" s="69" t="str">
        <f>_xlfn.IFNA(IF('Interactive Selection Sheet'!A179 = "", VLOOKUP('Interactive Selection Sheet'!$B179, 'Master List Import'!$A$1:$P$519, 6, FALSE), ""), "")</f>
        <v>Both</v>
      </c>
      <c r="I304" s="72">
        <f>_xlfn.IFNA(IF('Interactive Selection Sheet'!A179 = "", VLOOKUP('Interactive Selection Sheet'!$B179, 'Master List Import'!$A$1:$P$519, 7, FALSE), ""), "")</f>
        <v>5.7000000000000002E-2</v>
      </c>
      <c r="J304" s="69" t="str">
        <f>_xlfn.IFNA(IF('Interactive Selection Sheet'!A179 = "", VLOOKUP('Interactive Selection Sheet'!$B179, 'Master List Import'!$A$1:$P$519, 8, FALSE), ""), "")</f>
        <v>REI</v>
      </c>
      <c r="K304" s="69" t="str">
        <f>_xlfn.IFNA(IF('Interactive Selection Sheet'!A179 = "", VLOOKUP('Interactive Selection Sheet'!$B179, 'Master List Import'!$A$1:$P$519, 9, FALSE), ""), "")</f>
        <v>BULK26</v>
      </c>
      <c r="L304" s="69">
        <f>_xlfn.IFNA(IF('Interactive Selection Sheet'!A179 = "", VLOOKUP('Interactive Selection Sheet'!$B179, 'Master List Import'!$A$1:$P$519, 10, FALSE), ""), "")</f>
        <v>0</v>
      </c>
      <c r="M304" s="69">
        <f>_xlfn.IFNA(IF('Interactive Selection Sheet'!A179 = "", VLOOKUP('Interactive Selection Sheet'!$B179, 'Master List Import'!$A$1:$P$519, 11, FALSE), ""), "")</f>
        <v>0</v>
      </c>
      <c r="N304" s="69">
        <f>_xlfn.IFNA(IF('Interactive Selection Sheet'!A179 = "", VLOOKUP('Interactive Selection Sheet'!$B179, 'Master List Import'!$A$1:$P$519, 12, FALSE), ""), "")</f>
        <v>500</v>
      </c>
      <c r="O304" s="69">
        <f>_xlfn.IFNA(IF('Interactive Selection Sheet'!A179 = "", VLOOKUP('Interactive Selection Sheet'!$B179, 'Master List Import'!$A$1:$P$519, 13, FALSE), ""), "")</f>
        <v>6602</v>
      </c>
      <c r="P304" s="69" t="str">
        <f>_xlfn.IFNA(IF('Interactive Selection Sheet'!A179 = "", VLOOKUP('Interactive Selection Sheet'!$B179, 'Master List Import'!$A$1:$P$519, 14, FALSE), ""), "")</f>
        <v>Mayonnaise Packet</v>
      </c>
      <c r="Q304" s="69">
        <f>_xlfn.IFNA(IF('Interactive Selection Sheet'!A179 = "", VLOOKUP('Interactive Selection Sheet'!$B179, 'Master List Import'!$A$1:$P$519, 15, FALSE), ""), "")</f>
        <v>1</v>
      </c>
      <c r="R304" s="74">
        <f>_xlfn.IFNA(IF('Interactive Selection Sheet'!A179 = "", VLOOKUP('Interactive Selection Sheet'!$B179, 'Master List Import'!$A$1:$P$519, 16, FALSE), ""), "")</f>
        <v>0.2</v>
      </c>
    </row>
    <row r="305" spans="1:18" ht="21.75" customHeight="1" x14ac:dyDescent="0.25">
      <c r="A305" s="69">
        <f>_xlfn.IFNA(IF('Interactive Selection Sheet'!A180 = "", VLOOKUP('Interactive Selection Sheet'!$B180, 'Master List Import'!$A$1:$P$519, 2, FALSE), ""), "")</f>
        <v>6603</v>
      </c>
      <c r="B305" s="69" t="str">
        <f>_xlfn.IFNA(IF('Interactive Selection Sheet'!A180 = "", VLOOKUP('Interactive Selection Sheet'!$B180, 'Master List Import'!$A$1:$P$519, 3, FALSE), ""), "")</f>
        <v>Mustard, 7gm packets - 500/cs</v>
      </c>
      <c r="C305" s="76">
        <f>IF('Interactive Selection Sheet'!$T$2="", "", IF(B305="","",'Interactive Selection Sheet'!$T$2))</f>
        <v>3.5000000000000003E-2</v>
      </c>
      <c r="D305" s="70">
        <f>IF(B305 = "", "", 'Interactive Selection Sheet'!$P$2)</f>
        <v>4.4999999999999998E-2</v>
      </c>
      <c r="E305" s="70">
        <f>IF(B305="","", 'Interactive Selection Sheet'!$R$2)</f>
        <v>0.02</v>
      </c>
      <c r="F305" s="69" t="str">
        <f>_xlfn.IFNA(IF('Interactive Selection Sheet'!A180 = "", VLOOKUP('Interactive Selection Sheet'!$B180, 'Master List Import'!$A$1:$P$519, 4, FALSE), ""), "")</f>
        <v>Condiments/Seasonings</v>
      </c>
      <c r="G305" s="69" t="str">
        <f>_xlfn.IFNA(IF('Interactive Selection Sheet'!A180 = "", VLOOKUP('Interactive Selection Sheet'!$B180, 'Master List Import'!$A$1:$P$519, 5, FALSE), ""), "")</f>
        <v>Condiments/Seasonings</v>
      </c>
      <c r="H305" s="69" t="str">
        <f>_xlfn.IFNA(IF('Interactive Selection Sheet'!A180 = "", VLOOKUP('Interactive Selection Sheet'!$B180, 'Master List Import'!$A$1:$P$519, 6, FALSE), ""), "")</f>
        <v>Both</v>
      </c>
      <c r="I305" s="72">
        <f>_xlfn.IFNA(IF('Interactive Selection Sheet'!A180 = "", VLOOKUP('Interactive Selection Sheet'!$B180, 'Master List Import'!$A$1:$P$519, 7, FALSE), ""), "")</f>
        <v>1.9699999999999999E-2</v>
      </c>
      <c r="J305" s="69" t="str">
        <f>_xlfn.IFNA(IF('Interactive Selection Sheet'!A180 = "", VLOOKUP('Interactive Selection Sheet'!$B180, 'Master List Import'!$A$1:$P$519, 8, FALSE), ""), "")</f>
        <v>REI</v>
      </c>
      <c r="K305" s="69" t="str">
        <f>_xlfn.IFNA(IF('Interactive Selection Sheet'!A180 = "", VLOOKUP('Interactive Selection Sheet'!$B180, 'Master List Import'!$A$1:$P$519, 9, FALSE), ""), "")</f>
        <v>334215</v>
      </c>
      <c r="L305" s="69">
        <f>_xlfn.IFNA(IF('Interactive Selection Sheet'!A180 = "", VLOOKUP('Interactive Selection Sheet'!$B180, 'Master List Import'!$A$1:$P$519, 10, FALSE), ""), "")</f>
        <v>0</v>
      </c>
      <c r="M305" s="69">
        <f>_xlfn.IFNA(IF('Interactive Selection Sheet'!A180 = "", VLOOKUP('Interactive Selection Sheet'!$B180, 'Master List Import'!$A$1:$P$519, 11, FALSE), ""), "")</f>
        <v>0</v>
      </c>
      <c r="N305" s="69">
        <f>_xlfn.IFNA(IF('Interactive Selection Sheet'!A180 = "", VLOOKUP('Interactive Selection Sheet'!$B180, 'Master List Import'!$A$1:$P$519, 12, FALSE), ""), "")</f>
        <v>500</v>
      </c>
      <c r="O305" s="69">
        <f>_xlfn.IFNA(IF('Interactive Selection Sheet'!A180 = "", VLOOKUP('Interactive Selection Sheet'!$B180, 'Master List Import'!$A$1:$P$519, 13, FALSE), ""), "")</f>
        <v>6603</v>
      </c>
      <c r="P305" s="69" t="str">
        <f>_xlfn.IFNA(IF('Interactive Selection Sheet'!A180 = "", VLOOKUP('Interactive Selection Sheet'!$B180, 'Master List Import'!$A$1:$P$519, 14, FALSE), ""), "")</f>
        <v>Mustard Packet</v>
      </c>
      <c r="Q305" s="69">
        <f>_xlfn.IFNA(IF('Interactive Selection Sheet'!A180 = "", VLOOKUP('Interactive Selection Sheet'!$B180, 'Master List Import'!$A$1:$P$519, 15, FALSE), ""), "")</f>
        <v>1</v>
      </c>
      <c r="R305" s="74">
        <f>_xlfn.IFNA(IF('Interactive Selection Sheet'!A180 = "", VLOOKUP('Interactive Selection Sheet'!$B180, 'Master List Import'!$A$1:$P$519, 16, FALSE), ""), "")</f>
        <v>0.1</v>
      </c>
    </row>
    <row r="306" spans="1:18" ht="21.75" customHeight="1" x14ac:dyDescent="0.25">
      <c r="A306" s="69">
        <f>_xlfn.IFNA(IF('Interactive Selection Sheet'!A181 = "", VLOOKUP('Interactive Selection Sheet'!$B181, 'Master List Import'!$A$1:$P$519, 2, FALSE), ""), "")</f>
        <v>6610</v>
      </c>
      <c r="B306" s="69" t="str">
        <f>_xlfn.IFNA(IF('Interactive Selection Sheet'!A181 = "", VLOOKUP('Interactive Selection Sheet'!$B181, 'Master List Import'!$A$1:$P$519, 3, FALSE), ""), "")</f>
        <v>Taco Sauce, 9gm packets - 200/cs</v>
      </c>
      <c r="C306" s="76">
        <f>IF('Interactive Selection Sheet'!$T$2="", "", IF(B306="","",'Interactive Selection Sheet'!$T$2))</f>
        <v>3.5000000000000003E-2</v>
      </c>
      <c r="D306" s="70">
        <f>IF(B306 = "", "", 'Interactive Selection Sheet'!$P$2)</f>
        <v>4.4999999999999998E-2</v>
      </c>
      <c r="E306" s="70">
        <f>IF(B306="","", 'Interactive Selection Sheet'!$R$2)</f>
        <v>0.02</v>
      </c>
      <c r="F306" s="69" t="str">
        <f>_xlfn.IFNA(IF('Interactive Selection Sheet'!A181 = "", VLOOKUP('Interactive Selection Sheet'!$B181, 'Master List Import'!$A$1:$P$519, 4, FALSE), ""), "")</f>
        <v>Condiments/Seasonings</v>
      </c>
      <c r="G306" s="69" t="str">
        <f>_xlfn.IFNA(IF('Interactive Selection Sheet'!A181 = "", VLOOKUP('Interactive Selection Sheet'!$B181, 'Master List Import'!$A$1:$P$519, 5, FALSE), ""), "")</f>
        <v>Condiments/Seasonings</v>
      </c>
      <c r="H306" s="69" t="str">
        <f>_xlfn.IFNA(IF('Interactive Selection Sheet'!A181 = "", VLOOKUP('Interactive Selection Sheet'!$B181, 'Master List Import'!$A$1:$P$519, 6, FALSE), ""), "")</f>
        <v>Both</v>
      </c>
      <c r="I306" s="72">
        <f>_xlfn.IFNA(IF('Interactive Selection Sheet'!A181 = "", VLOOKUP('Interactive Selection Sheet'!$B181, 'Master List Import'!$A$1:$P$519, 7, FALSE), ""), "")</f>
        <v>5.7700000000000001E-2</v>
      </c>
      <c r="J306" s="69" t="str">
        <f>_xlfn.IFNA(IF('Interactive Selection Sheet'!A181 = "", VLOOKUP('Interactive Selection Sheet'!$B181, 'Master List Import'!$A$1:$P$519, 8, FALSE), ""), "")</f>
        <v>Vistar</v>
      </c>
      <c r="K306" s="69" t="str">
        <f>_xlfn.IFNA(IF('Interactive Selection Sheet'!A181 = "", VLOOKUP('Interactive Selection Sheet'!$B181, 'Master List Import'!$A$1:$P$519, 9, FALSE), ""), "")</f>
        <v>BFSVENL283</v>
      </c>
      <c r="L306" s="69">
        <f>_xlfn.IFNA(IF('Interactive Selection Sheet'!A181 = "", VLOOKUP('Interactive Selection Sheet'!$B181, 'Master List Import'!$A$1:$P$519, 10, FALSE), ""), "")</f>
        <v>0</v>
      </c>
      <c r="M306" s="69">
        <f>_xlfn.IFNA(IF('Interactive Selection Sheet'!A181 = "", VLOOKUP('Interactive Selection Sheet'!$B181, 'Master List Import'!$A$1:$P$519, 11, FALSE), ""), "")</f>
        <v>0</v>
      </c>
      <c r="N306" s="69">
        <f>_xlfn.IFNA(IF('Interactive Selection Sheet'!A181 = "", VLOOKUP('Interactive Selection Sheet'!$B181, 'Master List Import'!$A$1:$P$519, 12, FALSE), ""), "")</f>
        <v>200</v>
      </c>
      <c r="O306" s="69">
        <f>_xlfn.IFNA(IF('Interactive Selection Sheet'!A181 = "", VLOOKUP('Interactive Selection Sheet'!$B181, 'Master List Import'!$A$1:$P$519, 13, FALSE), ""), "")</f>
        <v>6610</v>
      </c>
      <c r="P306" s="69" t="str">
        <f>_xlfn.IFNA(IF('Interactive Selection Sheet'!A181 = "", VLOOKUP('Interactive Selection Sheet'!$B181, 'Master List Import'!$A$1:$P$519, 14, FALSE), ""), "")</f>
        <v>Taco Sauce Packet</v>
      </c>
      <c r="Q306" s="69">
        <f>_xlfn.IFNA(IF('Interactive Selection Sheet'!A181 = "", VLOOKUP('Interactive Selection Sheet'!$B181, 'Master List Import'!$A$1:$P$519, 15, FALSE), ""), "")</f>
        <v>1</v>
      </c>
      <c r="R306" s="74">
        <f>_xlfn.IFNA(IF('Interactive Selection Sheet'!A181 = "", VLOOKUP('Interactive Selection Sheet'!$B181, 'Master List Import'!$A$1:$P$519, 16, FALSE), ""), "")</f>
        <v>0.2</v>
      </c>
    </row>
    <row r="307" spans="1:18" ht="21.75" customHeight="1" x14ac:dyDescent="0.25">
      <c r="A307" s="69">
        <f>_xlfn.IFNA(IF('Interactive Selection Sheet'!A182 = "", VLOOKUP('Interactive Selection Sheet'!$B182, 'Master List Import'!$A$1:$P$519, 2, FALSE), ""), "")</f>
        <v>6611</v>
      </c>
      <c r="B307" s="69" t="str">
        <f>_xlfn.IFNA(IF('Interactive Selection Sheet'!A182 = "", VLOOKUP('Interactive Selection Sheet'!$B182, 'Master List Import'!$A$1:$P$519, 3, FALSE), ""), "")</f>
        <v>O.F. Foods Louisiana Hot Sauce, 0.5oz packets - 300/cs</v>
      </c>
      <c r="C307" s="76">
        <f>IF('Interactive Selection Sheet'!$T$2="", "", IF(B307="","",'Interactive Selection Sheet'!$T$2))</f>
        <v>3.5000000000000003E-2</v>
      </c>
      <c r="D307" s="70">
        <f>IF(B307 = "", "", 'Interactive Selection Sheet'!$P$2)</f>
        <v>4.4999999999999998E-2</v>
      </c>
      <c r="E307" s="70">
        <f>IF(B307="","", 'Interactive Selection Sheet'!$R$2)</f>
        <v>0.02</v>
      </c>
      <c r="F307" s="69" t="str">
        <f>_xlfn.IFNA(IF('Interactive Selection Sheet'!A182 = "", VLOOKUP('Interactive Selection Sheet'!$B182, 'Master List Import'!$A$1:$P$519, 4, FALSE), ""), "")</f>
        <v>Condiments/Seasonings</v>
      </c>
      <c r="G307" s="69" t="str">
        <f>_xlfn.IFNA(IF('Interactive Selection Sheet'!A182 = "", VLOOKUP('Interactive Selection Sheet'!$B182, 'Master List Import'!$A$1:$P$519, 5, FALSE), ""), "")</f>
        <v>Condiments/Seasonings</v>
      </c>
      <c r="H307" s="69" t="str">
        <f>_xlfn.IFNA(IF('Interactive Selection Sheet'!A182 = "", VLOOKUP('Interactive Selection Sheet'!$B182, 'Master List Import'!$A$1:$P$519, 6, FALSE), ""), "")</f>
        <v>Both</v>
      </c>
      <c r="I307" s="72">
        <f>_xlfn.IFNA(IF('Interactive Selection Sheet'!A182 = "", VLOOKUP('Interactive Selection Sheet'!$B182, 'Master List Import'!$A$1:$P$519, 7, FALSE), ""), "")</f>
        <v>7.0000000000000007E-2</v>
      </c>
      <c r="J307" s="69" t="str">
        <f>_xlfn.IFNA(IF('Interactive Selection Sheet'!A182 = "", VLOOKUP('Interactive Selection Sheet'!$B182, 'Master List Import'!$A$1:$P$519, 8, FALSE), ""), "")</f>
        <v>REI</v>
      </c>
      <c r="K307" s="69" t="str">
        <f>_xlfn.IFNA(IF('Interactive Selection Sheet'!A182 = "", VLOOKUP('Interactive Selection Sheet'!$B182, 'Master List Import'!$A$1:$P$519, 9, FALSE), ""), "")</f>
        <v>334168</v>
      </c>
      <c r="L307" s="69">
        <f>_xlfn.IFNA(IF('Interactive Selection Sheet'!A182 = "", VLOOKUP('Interactive Selection Sheet'!$B182, 'Master List Import'!$A$1:$P$519, 10, FALSE), ""), "")</f>
        <v>0</v>
      </c>
      <c r="M307" s="69">
        <f>_xlfn.IFNA(IF('Interactive Selection Sheet'!A182 = "", VLOOKUP('Interactive Selection Sheet'!$B182, 'Master List Import'!$A$1:$P$519, 11, FALSE), ""), "")</f>
        <v>0</v>
      </c>
      <c r="N307" s="69">
        <f>_xlfn.IFNA(IF('Interactive Selection Sheet'!A182 = "", VLOOKUP('Interactive Selection Sheet'!$B182, 'Master List Import'!$A$1:$P$519, 12, FALSE), ""), "")</f>
        <v>300</v>
      </c>
      <c r="O307" s="69">
        <f>_xlfn.IFNA(IF('Interactive Selection Sheet'!A182 = "", VLOOKUP('Interactive Selection Sheet'!$B182, 'Master List Import'!$A$1:$P$519, 13, FALSE), ""), "")</f>
        <v>6611</v>
      </c>
      <c r="P307" s="69" t="str">
        <f>_xlfn.IFNA(IF('Interactive Selection Sheet'!A182 = "", VLOOKUP('Interactive Selection Sheet'!$B182, 'Master List Import'!$A$1:$P$519, 14, FALSE), ""), "")</f>
        <v>Squeeze Hot Sauce Packet</v>
      </c>
      <c r="Q307" s="69">
        <f>_xlfn.IFNA(IF('Interactive Selection Sheet'!A182 = "", VLOOKUP('Interactive Selection Sheet'!$B182, 'Master List Import'!$A$1:$P$519, 15, FALSE), ""), "")</f>
        <v>1</v>
      </c>
      <c r="R307" s="74">
        <f>_xlfn.IFNA(IF('Interactive Selection Sheet'!A182 = "", VLOOKUP('Interactive Selection Sheet'!$B182, 'Master List Import'!$A$1:$P$519, 16, FALSE), ""), "")</f>
        <v>0.3</v>
      </c>
    </row>
    <row r="308" spans="1:18" ht="21.75" customHeight="1" x14ac:dyDescent="0.25">
      <c r="A308" s="69">
        <f>_xlfn.IFNA(IF('Interactive Selection Sheet'!A183 = "", VLOOKUP('Interactive Selection Sheet'!$B183, 'Master List Import'!$A$1:$P$519, 2, FALSE), ""), "")</f>
        <v>6612</v>
      </c>
      <c r="B308" s="69" t="str">
        <f>_xlfn.IFNA(IF('Interactive Selection Sheet'!A183 = "", VLOOKUP('Interactive Selection Sheet'!$B183, 'Master List Import'!$A$1:$P$519, 3, FALSE), ""), "")</f>
        <v>O.F. Foods Cheese Jalapeno, 1oz packets - 200/cs</v>
      </c>
      <c r="C308" s="76">
        <f>IF('Interactive Selection Sheet'!$T$2="", "", IF(B308="","",'Interactive Selection Sheet'!$T$2))</f>
        <v>3.5000000000000003E-2</v>
      </c>
      <c r="D308" s="70">
        <f>IF(B308 = "", "", 'Interactive Selection Sheet'!$P$2)</f>
        <v>4.4999999999999998E-2</v>
      </c>
      <c r="E308" s="70">
        <f>IF(B308="","", 'Interactive Selection Sheet'!$R$2)</f>
        <v>0.02</v>
      </c>
      <c r="F308" s="69" t="str">
        <f>_xlfn.IFNA(IF('Interactive Selection Sheet'!A183 = "", VLOOKUP('Interactive Selection Sheet'!$B183, 'Master List Import'!$A$1:$P$519, 4, FALSE), ""), "")</f>
        <v>Condiments/Seasonings</v>
      </c>
      <c r="G308" s="69" t="str">
        <f>_xlfn.IFNA(IF('Interactive Selection Sheet'!A183 = "", VLOOKUP('Interactive Selection Sheet'!$B183, 'Master List Import'!$A$1:$P$519, 5, FALSE), ""), "")</f>
        <v>Condiments/Seasonings</v>
      </c>
      <c r="H308" s="69" t="str">
        <f>_xlfn.IFNA(IF('Interactive Selection Sheet'!A183 = "", VLOOKUP('Interactive Selection Sheet'!$B183, 'Master List Import'!$A$1:$P$519, 6, FALSE), ""), "")</f>
        <v>Both</v>
      </c>
      <c r="I308" s="72">
        <f>_xlfn.IFNA(IF('Interactive Selection Sheet'!A183 = "", VLOOKUP('Interactive Selection Sheet'!$B183, 'Master List Import'!$A$1:$P$519, 7, FALSE), ""), "")</f>
        <v>0.32</v>
      </c>
      <c r="J308" s="69" t="str">
        <f>_xlfn.IFNA(IF('Interactive Selection Sheet'!A183 = "", VLOOKUP('Interactive Selection Sheet'!$B183, 'Master List Import'!$A$1:$P$519, 8, FALSE), ""), "")</f>
        <v>REI</v>
      </c>
      <c r="K308" s="69" t="str">
        <f>_xlfn.IFNA(IF('Interactive Selection Sheet'!A183 = "", VLOOKUP('Interactive Selection Sheet'!$B183, 'Master List Import'!$A$1:$P$519, 9, FALSE), ""), "")</f>
        <v>334156</v>
      </c>
      <c r="L308" s="69">
        <f>_xlfn.IFNA(IF('Interactive Selection Sheet'!A183 = "", VLOOKUP('Interactive Selection Sheet'!$B183, 'Master List Import'!$A$1:$P$519, 10, FALSE), ""), "")</f>
        <v>0</v>
      </c>
      <c r="M308" s="69">
        <f>_xlfn.IFNA(IF('Interactive Selection Sheet'!A183 = "", VLOOKUP('Interactive Selection Sheet'!$B183, 'Master List Import'!$A$1:$P$519, 11, FALSE), ""), "")</f>
        <v>0</v>
      </c>
      <c r="N308" s="69">
        <f>_xlfn.IFNA(IF('Interactive Selection Sheet'!A183 = "", VLOOKUP('Interactive Selection Sheet'!$B183, 'Master List Import'!$A$1:$P$519, 12, FALSE), ""), "")</f>
        <v>200</v>
      </c>
      <c r="O308" s="69">
        <f>_xlfn.IFNA(IF('Interactive Selection Sheet'!A183 = "", VLOOKUP('Interactive Selection Sheet'!$B183, 'Master List Import'!$A$1:$P$519, 13, FALSE), ""), "")</f>
        <v>6612</v>
      </c>
      <c r="P308" s="69" t="str">
        <f>_xlfn.IFNA(IF('Interactive Selection Sheet'!A183 = "", VLOOKUP('Interactive Selection Sheet'!$B183, 'Master List Import'!$A$1:$P$519, 14, FALSE), ""), "")</f>
        <v>Squeeze Jalapeno Cheese Packet</v>
      </c>
      <c r="Q308" s="69">
        <f>_xlfn.IFNA(IF('Interactive Selection Sheet'!A183 = "", VLOOKUP('Interactive Selection Sheet'!$B183, 'Master List Import'!$A$1:$P$519, 15, FALSE), ""), "")</f>
        <v>1</v>
      </c>
      <c r="R308" s="74">
        <f>_xlfn.IFNA(IF('Interactive Selection Sheet'!A183 = "", VLOOKUP('Interactive Selection Sheet'!$B183, 'Master List Import'!$A$1:$P$519, 16, FALSE), ""), "")</f>
        <v>1.05</v>
      </c>
    </row>
    <row r="309" spans="1:18" ht="21.75" customHeight="1" x14ac:dyDescent="0.25">
      <c r="A309" s="69">
        <f>_xlfn.IFNA(IF('Interactive Selection Sheet'!A203 = "", VLOOKUP('Interactive Selection Sheet'!$B203, 'Master List Import'!$A$1:$P$519, 2, FALSE), ""), "")</f>
        <v>6613</v>
      </c>
      <c r="B309" s="69" t="str">
        <f>_xlfn.IFNA(IF('Interactive Selection Sheet'!A203 = "", VLOOKUP('Interactive Selection Sheet'!$B203, 'Master List Import'!$A$1:$P$519, 3, FALSE), ""), "")</f>
        <v>Tito's Sliced Jalapenos, 0.7oz packets - 300/cs</v>
      </c>
      <c r="C309" s="76">
        <f>IF('Interactive Selection Sheet'!$T$2="", "", IF(B309="","",'Interactive Selection Sheet'!$T$2))</f>
        <v>3.5000000000000003E-2</v>
      </c>
      <c r="D309" s="70">
        <f>IF(B309 = "", "", 'Interactive Selection Sheet'!$P$2)</f>
        <v>4.4999999999999998E-2</v>
      </c>
      <c r="E309" s="70">
        <f>IF(B309="","", 'Interactive Selection Sheet'!$R$2)</f>
        <v>0.02</v>
      </c>
      <c r="F309" s="69" t="str">
        <f>_xlfn.IFNA(IF('Interactive Selection Sheet'!A203 = "", VLOOKUP('Interactive Selection Sheet'!$B203, 'Master List Import'!$A$1:$P$519, 4, FALSE), ""), "")</f>
        <v>Condiments/Seasonings</v>
      </c>
      <c r="G309" s="69" t="str">
        <f>_xlfn.IFNA(IF('Interactive Selection Sheet'!A203 = "", VLOOKUP('Interactive Selection Sheet'!$B203, 'Master List Import'!$A$1:$P$519, 5, FALSE), ""), "")</f>
        <v>Condiments/Seasonings</v>
      </c>
      <c r="H309" s="69" t="str">
        <f>_xlfn.IFNA(IF('Interactive Selection Sheet'!A203 = "", VLOOKUP('Interactive Selection Sheet'!$B203, 'Master List Import'!$A$1:$P$519, 6, FALSE), ""), "")</f>
        <v>Both</v>
      </c>
      <c r="I309" s="72">
        <f>_xlfn.IFNA(IF('Interactive Selection Sheet'!A203 = "", VLOOKUP('Interactive Selection Sheet'!$B203, 'Master List Import'!$A$1:$P$519, 7, FALSE), ""), "")</f>
        <v>0.27500000000000002</v>
      </c>
      <c r="J309" s="69" t="str">
        <f>_xlfn.IFNA(IF('Interactive Selection Sheet'!A203 = "", VLOOKUP('Interactive Selection Sheet'!$B203, 'Master List Import'!$A$1:$P$519, 8, FALSE), ""), "")</f>
        <v>REI</v>
      </c>
      <c r="K309" s="69" t="str">
        <f>_xlfn.IFNA(IF('Interactive Selection Sheet'!A203 = "", VLOOKUP('Interactive Selection Sheet'!$B203, 'Master List Import'!$A$1:$P$519, 9, FALSE), ""), "")</f>
        <v>314199</v>
      </c>
      <c r="L309" s="69">
        <f>_xlfn.IFNA(IF('Interactive Selection Sheet'!A203 = "", VLOOKUP('Interactive Selection Sheet'!$B203, 'Master List Import'!$A$1:$P$519, 10, FALSE), ""), "")</f>
        <v>0</v>
      </c>
      <c r="M309" s="69">
        <f>_xlfn.IFNA(IF('Interactive Selection Sheet'!A203 = "", VLOOKUP('Interactive Selection Sheet'!$B203, 'Master List Import'!$A$1:$P$519, 11, FALSE), ""), "")</f>
        <v>0</v>
      </c>
      <c r="N309" s="69">
        <f>_xlfn.IFNA(IF('Interactive Selection Sheet'!A203 = "", VLOOKUP('Interactive Selection Sheet'!$B203, 'Master List Import'!$A$1:$P$519, 12, FALSE), ""), "")</f>
        <v>300</v>
      </c>
      <c r="O309" s="69">
        <f>_xlfn.IFNA(IF('Interactive Selection Sheet'!A203 = "", VLOOKUP('Interactive Selection Sheet'!$B203, 'Master List Import'!$A$1:$P$519, 13, FALSE), ""), "")</f>
        <v>6613</v>
      </c>
      <c r="P309" s="69" t="str">
        <f>_xlfn.IFNA(IF('Interactive Selection Sheet'!A203 = "", VLOOKUP('Interactive Selection Sheet'!$B203, 'Master List Import'!$A$1:$P$519, 14, FALSE), ""), "")</f>
        <v>Sliced Jalapenos Packet</v>
      </c>
      <c r="Q309" s="69">
        <f>_xlfn.IFNA(IF('Interactive Selection Sheet'!A203 = "", VLOOKUP('Interactive Selection Sheet'!$B203, 'Master List Import'!$A$1:$P$519, 15, FALSE), ""), "")</f>
        <v>1</v>
      </c>
      <c r="R309" s="74">
        <f>_xlfn.IFNA(IF('Interactive Selection Sheet'!A203 = "", VLOOKUP('Interactive Selection Sheet'!$B203, 'Master List Import'!$A$1:$P$519, 16, FALSE), ""), "")</f>
        <v>0.95</v>
      </c>
    </row>
    <row r="310" spans="1:18" ht="21.75" customHeight="1" x14ac:dyDescent="0.25">
      <c r="A310" s="69">
        <f>_xlfn.IFNA(IF('Interactive Selection Sheet'!A207 = "", VLOOKUP('Interactive Selection Sheet'!$B207, 'Master List Import'!$A$1:$P$519, 2, FALSE), ""), "")</f>
        <v>6630</v>
      </c>
      <c r="B310" s="69" t="str">
        <f>_xlfn.IFNA(IF('Interactive Selection Sheet'!A207 = "", VLOOKUP('Interactive Selection Sheet'!$B207, 'Master List Import'!$A$1:$P$519, 3, FALSE), ""), "")</f>
        <v>O.F. Foods Grape Jelly, 1oz packets - 200/cs</v>
      </c>
      <c r="C310" s="76">
        <f>IF('Interactive Selection Sheet'!$T$2="", "", IF(B310="","",'Interactive Selection Sheet'!$T$2))</f>
        <v>3.5000000000000003E-2</v>
      </c>
      <c r="D310" s="70">
        <f>IF(B310 = "", "", 'Interactive Selection Sheet'!$P$2)</f>
        <v>4.4999999999999998E-2</v>
      </c>
      <c r="E310" s="70">
        <f>IF(B310="","", 'Interactive Selection Sheet'!$R$2)</f>
        <v>0.02</v>
      </c>
      <c r="F310" s="69" t="str">
        <f>_xlfn.IFNA(IF('Interactive Selection Sheet'!A207 = "", VLOOKUP('Interactive Selection Sheet'!$B207, 'Master List Import'!$A$1:$P$519, 4, FALSE), ""), "")</f>
        <v>Condiments/Seasonings</v>
      </c>
      <c r="G310" s="69" t="str">
        <f>_xlfn.IFNA(IF('Interactive Selection Sheet'!A207 = "", VLOOKUP('Interactive Selection Sheet'!$B207, 'Master List Import'!$A$1:$P$519, 5, FALSE), ""), "")</f>
        <v>Condiments/Seasonings</v>
      </c>
      <c r="H310" s="69" t="str">
        <f>_xlfn.IFNA(IF('Interactive Selection Sheet'!A207 = "", VLOOKUP('Interactive Selection Sheet'!$B207, 'Master List Import'!$A$1:$P$519, 6, FALSE), ""), "")</f>
        <v>Both</v>
      </c>
      <c r="I310" s="72">
        <f>_xlfn.IFNA(IF('Interactive Selection Sheet'!A207 = "", VLOOKUP('Interactive Selection Sheet'!$B207, 'Master List Import'!$A$1:$P$519, 7, FALSE), ""), "")</f>
        <v>0.13500000000000001</v>
      </c>
      <c r="J310" s="69" t="str">
        <f>_xlfn.IFNA(IF('Interactive Selection Sheet'!A207 = "", VLOOKUP('Interactive Selection Sheet'!$B207, 'Master List Import'!$A$1:$P$519, 8, FALSE), ""), "")</f>
        <v>REI</v>
      </c>
      <c r="K310" s="69" t="str">
        <f>_xlfn.IFNA(IF('Interactive Selection Sheet'!A207 = "", VLOOKUP('Interactive Selection Sheet'!$B207, 'Master List Import'!$A$1:$P$519, 9, FALSE), ""), "")</f>
        <v>334120</v>
      </c>
      <c r="L310" s="69">
        <f>_xlfn.IFNA(IF('Interactive Selection Sheet'!A207 = "", VLOOKUP('Interactive Selection Sheet'!$B207, 'Master List Import'!$A$1:$P$519, 10, FALSE), ""), "")</f>
        <v>0</v>
      </c>
      <c r="M310" s="69">
        <f>_xlfn.IFNA(IF('Interactive Selection Sheet'!A207 = "", VLOOKUP('Interactive Selection Sheet'!$B207, 'Master List Import'!$A$1:$P$519, 11, FALSE), ""), "")</f>
        <v>0</v>
      </c>
      <c r="N310" s="69">
        <f>_xlfn.IFNA(IF('Interactive Selection Sheet'!A207 = "", VLOOKUP('Interactive Selection Sheet'!$B207, 'Master List Import'!$A$1:$P$519, 12, FALSE), ""), "")</f>
        <v>200</v>
      </c>
      <c r="O310" s="69">
        <f>_xlfn.IFNA(IF('Interactive Selection Sheet'!A207 = "", VLOOKUP('Interactive Selection Sheet'!$B207, 'Master List Import'!$A$1:$P$519, 13, FALSE), ""), "")</f>
        <v>6630</v>
      </c>
      <c r="P310" s="69" t="str">
        <f>_xlfn.IFNA(IF('Interactive Selection Sheet'!A207 = "", VLOOKUP('Interactive Selection Sheet'!$B207, 'Master List Import'!$A$1:$P$519, 14, FALSE), ""), "")</f>
        <v>Squeeze Grape Jelly Packet</v>
      </c>
      <c r="Q310" s="69">
        <f>_xlfn.IFNA(IF('Interactive Selection Sheet'!A207 = "", VLOOKUP('Interactive Selection Sheet'!$B207, 'Master List Import'!$A$1:$P$519, 15, FALSE), ""), "")</f>
        <v>1</v>
      </c>
      <c r="R310" s="74">
        <f>_xlfn.IFNA(IF('Interactive Selection Sheet'!A207 = "", VLOOKUP('Interactive Selection Sheet'!$B207, 'Master List Import'!$A$1:$P$519, 16, FALSE), ""), "")</f>
        <v>0.55000000000000004</v>
      </c>
    </row>
    <row r="311" spans="1:18" ht="21.75" customHeight="1" x14ac:dyDescent="0.25">
      <c r="A311" s="69">
        <f>_xlfn.IFNA(IF('Interactive Selection Sheet'!A208 = "", VLOOKUP('Interactive Selection Sheet'!$B208, 'Master List Import'!$A$1:$P$519, 2, FALSE), ""), "")</f>
        <v>6631</v>
      </c>
      <c r="B311" s="69" t="str">
        <f>_xlfn.IFNA(IF('Interactive Selection Sheet'!A208 = "", VLOOKUP('Interactive Selection Sheet'!$B208, 'Master List Import'!$A$1:$P$519, 3, FALSE), ""), "")</f>
        <v>O.F. Foods Strawberry Jelly, 1oz packets - 200/cs</v>
      </c>
      <c r="C311" s="76">
        <f>IF('Interactive Selection Sheet'!$T$2="", "", IF(B311="","",'Interactive Selection Sheet'!$T$2))</f>
        <v>3.5000000000000003E-2</v>
      </c>
      <c r="D311" s="70">
        <f>IF(B311 = "", "", 'Interactive Selection Sheet'!$P$2)</f>
        <v>4.4999999999999998E-2</v>
      </c>
      <c r="E311" s="70">
        <f>IF(B311="","", 'Interactive Selection Sheet'!$R$2)</f>
        <v>0.02</v>
      </c>
      <c r="F311" s="69" t="str">
        <f>_xlfn.IFNA(IF('Interactive Selection Sheet'!A208 = "", VLOOKUP('Interactive Selection Sheet'!$B208, 'Master List Import'!$A$1:$P$519, 4, FALSE), ""), "")</f>
        <v>Condiments/Seasonings</v>
      </c>
      <c r="G311" s="69" t="str">
        <f>_xlfn.IFNA(IF('Interactive Selection Sheet'!A208 = "", VLOOKUP('Interactive Selection Sheet'!$B208, 'Master List Import'!$A$1:$P$519, 5, FALSE), ""), "")</f>
        <v>Condiments/Seasonings</v>
      </c>
      <c r="H311" s="69" t="str">
        <f>_xlfn.IFNA(IF('Interactive Selection Sheet'!A208 = "", VLOOKUP('Interactive Selection Sheet'!$B208, 'Master List Import'!$A$1:$P$519, 6, FALSE), ""), "")</f>
        <v>Both</v>
      </c>
      <c r="I311" s="72">
        <f>_xlfn.IFNA(IF('Interactive Selection Sheet'!A208 = "", VLOOKUP('Interactive Selection Sheet'!$B208, 'Master List Import'!$A$1:$P$519, 7, FALSE), ""), "")</f>
        <v>0.12740000000000001</v>
      </c>
      <c r="J311" s="69" t="str">
        <f>_xlfn.IFNA(IF('Interactive Selection Sheet'!A208 = "", VLOOKUP('Interactive Selection Sheet'!$B208, 'Master List Import'!$A$1:$P$519, 8, FALSE), ""), "")</f>
        <v>REI</v>
      </c>
      <c r="K311" s="69" t="str">
        <f>_xlfn.IFNA(IF('Interactive Selection Sheet'!A208 = "", VLOOKUP('Interactive Selection Sheet'!$B208, 'Master List Import'!$A$1:$P$519, 9, FALSE), ""), "")</f>
        <v>334100</v>
      </c>
      <c r="L311" s="69">
        <f>_xlfn.IFNA(IF('Interactive Selection Sheet'!A208 = "", VLOOKUP('Interactive Selection Sheet'!$B208, 'Master List Import'!$A$1:$P$519, 10, FALSE), ""), "")</f>
        <v>0</v>
      </c>
      <c r="M311" s="69">
        <f>_xlfn.IFNA(IF('Interactive Selection Sheet'!A208 = "", VLOOKUP('Interactive Selection Sheet'!$B208, 'Master List Import'!$A$1:$P$519, 11, FALSE), ""), "")</f>
        <v>0</v>
      </c>
      <c r="N311" s="69">
        <f>_xlfn.IFNA(IF('Interactive Selection Sheet'!A208 = "", VLOOKUP('Interactive Selection Sheet'!$B208, 'Master List Import'!$A$1:$P$519, 12, FALSE), ""), "")</f>
        <v>200</v>
      </c>
      <c r="O311" s="69">
        <f>_xlfn.IFNA(IF('Interactive Selection Sheet'!A208 = "", VLOOKUP('Interactive Selection Sheet'!$B208, 'Master List Import'!$A$1:$P$519, 13, FALSE), ""), "")</f>
        <v>6631</v>
      </c>
      <c r="P311" s="69" t="str">
        <f>_xlfn.IFNA(IF('Interactive Selection Sheet'!A208 = "", VLOOKUP('Interactive Selection Sheet'!$B208, 'Master List Import'!$A$1:$P$519, 14, FALSE), ""), "")</f>
        <v>Squeeze Strawberry Jelly Packet</v>
      </c>
      <c r="Q311" s="69">
        <f>_xlfn.IFNA(IF('Interactive Selection Sheet'!A208 = "", VLOOKUP('Interactive Selection Sheet'!$B208, 'Master List Import'!$A$1:$P$519, 15, FALSE), ""), "")</f>
        <v>1</v>
      </c>
      <c r="R311" s="74">
        <f>_xlfn.IFNA(IF('Interactive Selection Sheet'!A208 = "", VLOOKUP('Interactive Selection Sheet'!$B208, 'Master List Import'!$A$1:$P$519, 16, FALSE), ""), "")</f>
        <v>0.5</v>
      </c>
    </row>
    <row r="312" spans="1:18" ht="21.75" customHeight="1" x14ac:dyDescent="0.25">
      <c r="A312" s="69">
        <f>_xlfn.IFNA(IF('Interactive Selection Sheet'!A184 = "", VLOOKUP('Interactive Selection Sheet'!$B184, 'Master List Import'!$A$1:$P$519, 2, FALSE), ""), "")</f>
        <v>6650</v>
      </c>
      <c r="B312" s="69" t="str">
        <f>_xlfn.IFNA(IF('Interactive Selection Sheet'!A184 = "", VLOOKUP('Interactive Selection Sheet'!$B184, 'Master List Import'!$A$1:$P$519, 3, FALSE), ""), "")</f>
        <v>O.F. Foods Hot Salsa, 15.5oz - 12/cs</v>
      </c>
      <c r="C312" s="76">
        <f>IF('Interactive Selection Sheet'!$T$2="", "", IF(B312="","",'Interactive Selection Sheet'!$T$2))</f>
        <v>3.5000000000000003E-2</v>
      </c>
      <c r="D312" s="70">
        <f>IF(B312 = "", "", 'Interactive Selection Sheet'!$P$2)</f>
        <v>4.4999999999999998E-2</v>
      </c>
      <c r="E312" s="70">
        <f>IF(B312="","", 'Interactive Selection Sheet'!$R$2)</f>
        <v>0.02</v>
      </c>
      <c r="F312" s="69" t="str">
        <f>_xlfn.IFNA(IF('Interactive Selection Sheet'!A184 = "", VLOOKUP('Interactive Selection Sheet'!$B184, 'Master List Import'!$A$1:$P$519, 4, FALSE), ""), "")</f>
        <v>Condiments/Seasonings</v>
      </c>
      <c r="G312" s="69" t="str">
        <f>_xlfn.IFNA(IF('Interactive Selection Sheet'!A184 = "", VLOOKUP('Interactive Selection Sheet'!$B184, 'Master List Import'!$A$1:$P$519, 5, FALSE), ""), "")</f>
        <v>Condiments/Seasonings</v>
      </c>
      <c r="H312" s="69" t="str">
        <f>_xlfn.IFNA(IF('Interactive Selection Sheet'!A184 = "", VLOOKUP('Interactive Selection Sheet'!$B184, 'Master List Import'!$A$1:$P$519, 6, FALSE), ""), "")</f>
        <v>Both</v>
      </c>
      <c r="I312" s="72">
        <f>_xlfn.IFNA(IF('Interactive Selection Sheet'!A184 = "", VLOOKUP('Interactive Selection Sheet'!$B184, 'Master List Import'!$A$1:$P$519, 7, FALSE), ""), "")</f>
        <v>1.55</v>
      </c>
      <c r="J312" s="69" t="str">
        <f>_xlfn.IFNA(IF('Interactive Selection Sheet'!A184 = "", VLOOKUP('Interactive Selection Sheet'!$B184, 'Master List Import'!$A$1:$P$519, 8, FALSE), ""), "")</f>
        <v>REI</v>
      </c>
      <c r="K312" s="69" t="str">
        <f>_xlfn.IFNA(IF('Interactive Selection Sheet'!A184 = "", VLOOKUP('Interactive Selection Sheet'!$B184, 'Master List Import'!$A$1:$P$519, 9, FALSE), ""), "")</f>
        <v>321156</v>
      </c>
      <c r="L312" s="69">
        <f>_xlfn.IFNA(IF('Interactive Selection Sheet'!A184 = "", VLOOKUP('Interactive Selection Sheet'!$B184, 'Master List Import'!$A$1:$P$519, 10, FALSE), ""), "")</f>
        <v>0</v>
      </c>
      <c r="M312" s="69">
        <f>_xlfn.IFNA(IF('Interactive Selection Sheet'!A184 = "", VLOOKUP('Interactive Selection Sheet'!$B184, 'Master List Import'!$A$1:$P$519, 11, FALSE), ""), "")</f>
        <v>0</v>
      </c>
      <c r="N312" s="69">
        <f>_xlfn.IFNA(IF('Interactive Selection Sheet'!A184 = "", VLOOKUP('Interactive Selection Sheet'!$B184, 'Master List Import'!$A$1:$P$519, 12, FALSE), ""), "")</f>
        <v>12</v>
      </c>
      <c r="O312" s="69">
        <f>_xlfn.IFNA(IF('Interactive Selection Sheet'!A184 = "", VLOOKUP('Interactive Selection Sheet'!$B184, 'Master List Import'!$A$1:$P$519, 13, FALSE), ""), "")</f>
        <v>6650</v>
      </c>
      <c r="P312" s="69" t="str">
        <f>_xlfn.IFNA(IF('Interactive Selection Sheet'!A184 = "", VLOOKUP('Interactive Selection Sheet'!$B184, 'Master List Import'!$A$1:$P$519, 14, FALSE), ""), "")</f>
        <v>Hot Salsa Squeeze (15.5oz)</v>
      </c>
      <c r="Q312" s="69">
        <f>_xlfn.IFNA(IF('Interactive Selection Sheet'!A184 = "", VLOOKUP('Interactive Selection Sheet'!$B184, 'Master List Import'!$A$1:$P$519, 15, FALSE), ""), "")</f>
        <v>1</v>
      </c>
      <c r="R312" s="74">
        <f>_xlfn.IFNA(IF('Interactive Selection Sheet'!A184 = "", VLOOKUP('Interactive Selection Sheet'!$B184, 'Master List Import'!$A$1:$P$519, 16, FALSE), ""), "")</f>
        <v>6</v>
      </c>
    </row>
    <row r="313" spans="1:18" ht="21.75" customHeight="1" x14ac:dyDescent="0.25">
      <c r="A313" s="69">
        <f>_xlfn.IFNA(IF('Interactive Selection Sheet'!A185 = "", VLOOKUP('Interactive Selection Sheet'!$B185, 'Master List Import'!$A$1:$P$519, 2, FALSE), ""), "")</f>
        <v>6651</v>
      </c>
      <c r="B313" s="69" t="str">
        <f>_xlfn.IFNA(IF('Interactive Selection Sheet'!A185 = "", VLOOKUP('Interactive Selection Sheet'!$B185, 'Master List Import'!$A$1:$P$519, 3, FALSE), ""), "")</f>
        <v>O.F. Foods Jalapeno Squeeze Cheese, 16oz - 12/cs</v>
      </c>
      <c r="C313" s="76">
        <f>IF('Interactive Selection Sheet'!$T$2="", "", IF(B313="","",'Interactive Selection Sheet'!$T$2))</f>
        <v>3.5000000000000003E-2</v>
      </c>
      <c r="D313" s="70">
        <f>IF(B313 = "", "", 'Interactive Selection Sheet'!$P$2)</f>
        <v>4.4999999999999998E-2</v>
      </c>
      <c r="E313" s="70">
        <f>IF(B313="","", 'Interactive Selection Sheet'!$R$2)</f>
        <v>0.02</v>
      </c>
      <c r="F313" s="69" t="str">
        <f>_xlfn.IFNA(IF('Interactive Selection Sheet'!A185 = "", VLOOKUP('Interactive Selection Sheet'!$B185, 'Master List Import'!$A$1:$P$519, 4, FALSE), ""), "")</f>
        <v>Condiments/Seasonings</v>
      </c>
      <c r="G313" s="69" t="str">
        <f>_xlfn.IFNA(IF('Interactive Selection Sheet'!A185 = "", VLOOKUP('Interactive Selection Sheet'!$B185, 'Master List Import'!$A$1:$P$519, 5, FALSE), ""), "")</f>
        <v>Condiments/Seasonings</v>
      </c>
      <c r="H313" s="69" t="str">
        <f>_xlfn.IFNA(IF('Interactive Selection Sheet'!A185 = "", VLOOKUP('Interactive Selection Sheet'!$B185, 'Master List Import'!$A$1:$P$519, 6, FALSE), ""), "")</f>
        <v>Both</v>
      </c>
      <c r="I313" s="72">
        <f>_xlfn.IFNA(IF('Interactive Selection Sheet'!A185 = "", VLOOKUP('Interactive Selection Sheet'!$B185, 'Master List Import'!$A$1:$P$519, 7, FALSE), ""), "")</f>
        <v>2.5</v>
      </c>
      <c r="J313" s="69" t="str">
        <f>_xlfn.IFNA(IF('Interactive Selection Sheet'!A185 = "", VLOOKUP('Interactive Selection Sheet'!$B185, 'Master List Import'!$A$1:$P$519, 8, FALSE), ""), "")</f>
        <v>REI</v>
      </c>
      <c r="K313" s="69" t="str">
        <f>_xlfn.IFNA(IF('Interactive Selection Sheet'!A185 = "", VLOOKUP('Interactive Selection Sheet'!$B185, 'Master List Import'!$A$1:$P$519, 9, FALSE), ""), "")</f>
        <v>206409</v>
      </c>
      <c r="L313" s="69">
        <f>_xlfn.IFNA(IF('Interactive Selection Sheet'!A185 = "", VLOOKUP('Interactive Selection Sheet'!$B185, 'Master List Import'!$A$1:$P$519, 10, FALSE), ""), "")</f>
        <v>0</v>
      </c>
      <c r="M313" s="69">
        <f>_xlfn.IFNA(IF('Interactive Selection Sheet'!A185 = "", VLOOKUP('Interactive Selection Sheet'!$B185, 'Master List Import'!$A$1:$P$519, 11, FALSE), ""), "")</f>
        <v>0</v>
      </c>
      <c r="N313" s="69">
        <f>_xlfn.IFNA(IF('Interactive Selection Sheet'!A185 = "", VLOOKUP('Interactive Selection Sheet'!$B185, 'Master List Import'!$A$1:$P$519, 12, FALSE), ""), "")</f>
        <v>12</v>
      </c>
      <c r="O313" s="69">
        <f>_xlfn.IFNA(IF('Interactive Selection Sheet'!A185 = "", VLOOKUP('Interactive Selection Sheet'!$B185, 'Master List Import'!$A$1:$P$519, 13, FALSE), ""), "")</f>
        <v>6651</v>
      </c>
      <c r="P313" s="69" t="str">
        <f>_xlfn.IFNA(IF('Interactive Selection Sheet'!A185 = "", VLOOKUP('Interactive Selection Sheet'!$B185, 'Master List Import'!$A$1:$P$519, 14, FALSE), ""), "")</f>
        <v>Jalapeno Squeeze Cheese (16oz)</v>
      </c>
      <c r="Q313" s="69">
        <f>_xlfn.IFNA(IF('Interactive Selection Sheet'!A185 = "", VLOOKUP('Interactive Selection Sheet'!$B185, 'Master List Import'!$A$1:$P$519, 15, FALSE), ""), "")</f>
        <v>1</v>
      </c>
      <c r="R313" s="74">
        <f>_xlfn.IFNA(IF('Interactive Selection Sheet'!A185 = "", VLOOKUP('Interactive Selection Sheet'!$B185, 'Master List Import'!$A$1:$P$519, 16, FALSE), ""), "")</f>
        <v>8.75</v>
      </c>
    </row>
    <row r="314" spans="1:18" ht="21.75" customHeight="1" x14ac:dyDescent="0.25">
      <c r="A314" s="69">
        <f>_xlfn.IFNA(IF('Interactive Selection Sheet'!A209 = "", VLOOKUP('Interactive Selection Sheet'!$B209, 'Master List Import'!$A$1:$P$519, 2, FALSE), ""), "")</f>
        <v>6660</v>
      </c>
      <c r="B314" s="69" t="str">
        <f>_xlfn.IFNA(IF('Interactive Selection Sheet'!A209 = "", VLOOKUP('Interactive Selection Sheet'!$B209, 'Master List Import'!$A$1:$P$519, 3, FALSE), ""), "")</f>
        <v>Blackburn's Grape Jelly, 19oz - 12/cs</v>
      </c>
      <c r="C314" s="76">
        <f>IF('Interactive Selection Sheet'!$T$2="", "", IF(B314="","",'Interactive Selection Sheet'!$T$2))</f>
        <v>3.5000000000000003E-2</v>
      </c>
      <c r="D314" s="70">
        <f>IF(B314 = "", "", 'Interactive Selection Sheet'!$P$2)</f>
        <v>4.4999999999999998E-2</v>
      </c>
      <c r="E314" s="70">
        <f>IF(B314="","", 'Interactive Selection Sheet'!$R$2)</f>
        <v>0.02</v>
      </c>
      <c r="F314" s="69" t="str">
        <f>_xlfn.IFNA(IF('Interactive Selection Sheet'!A209 = "", VLOOKUP('Interactive Selection Sheet'!$B209, 'Master List Import'!$A$1:$P$519, 4, FALSE), ""), "")</f>
        <v>Condiments/Seasonings</v>
      </c>
      <c r="G314" s="69" t="str">
        <f>_xlfn.IFNA(IF('Interactive Selection Sheet'!A209 = "", VLOOKUP('Interactive Selection Sheet'!$B209, 'Master List Import'!$A$1:$P$519, 5, FALSE), ""), "")</f>
        <v>Condiments/Seasonings</v>
      </c>
      <c r="H314" s="69" t="str">
        <f>_xlfn.IFNA(IF('Interactive Selection Sheet'!A209 = "", VLOOKUP('Interactive Selection Sheet'!$B209, 'Master List Import'!$A$1:$P$519, 6, FALSE), ""), "")</f>
        <v>Both</v>
      </c>
      <c r="I314" s="72">
        <f>_xlfn.IFNA(IF('Interactive Selection Sheet'!A209 = "", VLOOKUP('Interactive Selection Sheet'!$B209, 'Master List Import'!$A$1:$P$519, 7, FALSE), ""), "")</f>
        <v>1.68</v>
      </c>
      <c r="J314" s="69" t="str">
        <f>_xlfn.IFNA(IF('Interactive Selection Sheet'!A209 = "", VLOOKUP('Interactive Selection Sheet'!$B209, 'Master List Import'!$A$1:$P$519, 8, FALSE), ""), "")</f>
        <v>REI</v>
      </c>
      <c r="K314" s="69" t="str">
        <f>_xlfn.IFNA(IF('Interactive Selection Sheet'!A209 = "", VLOOKUP('Interactive Selection Sheet'!$B209, 'Master List Import'!$A$1:$P$519, 9, FALSE), ""), "")</f>
        <v>300280</v>
      </c>
      <c r="L314" s="69">
        <f>_xlfn.IFNA(IF('Interactive Selection Sheet'!A209 = "", VLOOKUP('Interactive Selection Sheet'!$B209, 'Master List Import'!$A$1:$P$519, 10, FALSE), ""), "")</f>
        <v>0</v>
      </c>
      <c r="M314" s="69">
        <f>_xlfn.IFNA(IF('Interactive Selection Sheet'!A209 = "", VLOOKUP('Interactive Selection Sheet'!$B209, 'Master List Import'!$A$1:$P$519, 11, FALSE), ""), "")</f>
        <v>0</v>
      </c>
      <c r="N314" s="69">
        <f>_xlfn.IFNA(IF('Interactive Selection Sheet'!A209 = "", VLOOKUP('Interactive Selection Sheet'!$B209, 'Master List Import'!$A$1:$P$519, 12, FALSE), ""), "")</f>
        <v>12</v>
      </c>
      <c r="O314" s="69">
        <f>_xlfn.IFNA(IF('Interactive Selection Sheet'!A209 = "", VLOOKUP('Interactive Selection Sheet'!$B209, 'Master List Import'!$A$1:$P$519, 13, FALSE), ""), "")</f>
        <v>6660</v>
      </c>
      <c r="P314" s="69" t="str">
        <f>_xlfn.IFNA(IF('Interactive Selection Sheet'!A209 = "", VLOOKUP('Interactive Selection Sheet'!$B209, 'Master List Import'!$A$1:$P$519, 14, FALSE), ""), "")</f>
        <v>Grape Jelly Squeeze (19oz)</v>
      </c>
      <c r="Q314" s="69">
        <f>_xlfn.IFNA(IF('Interactive Selection Sheet'!A209 = "", VLOOKUP('Interactive Selection Sheet'!$B209, 'Master List Import'!$A$1:$P$519, 15, FALSE), ""), "")</f>
        <v>1</v>
      </c>
      <c r="R314" s="74">
        <f>_xlfn.IFNA(IF('Interactive Selection Sheet'!A209 = "", VLOOKUP('Interactive Selection Sheet'!$B209, 'Master List Import'!$A$1:$P$519, 16, FALSE), ""), "")</f>
        <v>6</v>
      </c>
    </row>
    <row r="315" spans="1:18" ht="21.75" customHeight="1" x14ac:dyDescent="0.25">
      <c r="A315" s="69">
        <f>_xlfn.IFNA(IF('Interactive Selection Sheet'!A210 = "", VLOOKUP('Interactive Selection Sheet'!$B210, 'Master List Import'!$A$1:$P$519, 2, FALSE), ""), "")</f>
        <v>6661</v>
      </c>
      <c r="B315" s="69" t="str">
        <f>_xlfn.IFNA(IF('Interactive Selection Sheet'!A210 = "", VLOOKUP('Interactive Selection Sheet'!$B210, 'Master List Import'!$A$1:$P$519, 3, FALSE), ""), "")</f>
        <v>Blackburn's Strawberry Jelly, 19oz - 12/cs</v>
      </c>
      <c r="C315" s="76">
        <f>IF('Interactive Selection Sheet'!$T$2="", "", IF(B315="","",'Interactive Selection Sheet'!$T$2))</f>
        <v>3.5000000000000003E-2</v>
      </c>
      <c r="D315" s="70">
        <f>IF(B315 = "", "", 'Interactive Selection Sheet'!$P$2)</f>
        <v>4.4999999999999998E-2</v>
      </c>
      <c r="E315" s="70">
        <f>IF(B315="","", 'Interactive Selection Sheet'!$R$2)</f>
        <v>0.02</v>
      </c>
      <c r="F315" s="69" t="str">
        <f>_xlfn.IFNA(IF('Interactive Selection Sheet'!A210 = "", VLOOKUP('Interactive Selection Sheet'!$B210, 'Master List Import'!$A$1:$P$519, 4, FALSE), ""), "")</f>
        <v>Condiments/Seasonings</v>
      </c>
      <c r="G315" s="69" t="str">
        <f>_xlfn.IFNA(IF('Interactive Selection Sheet'!A210 = "", VLOOKUP('Interactive Selection Sheet'!$B210, 'Master List Import'!$A$1:$P$519, 5, FALSE), ""), "")</f>
        <v>Condiments/Seasonings</v>
      </c>
      <c r="H315" s="69" t="str">
        <f>_xlfn.IFNA(IF('Interactive Selection Sheet'!A210 = "", VLOOKUP('Interactive Selection Sheet'!$B210, 'Master List Import'!$A$1:$P$519, 6, FALSE), ""), "")</f>
        <v>Both</v>
      </c>
      <c r="I315" s="72">
        <f>_xlfn.IFNA(IF('Interactive Selection Sheet'!A210 = "", VLOOKUP('Interactive Selection Sheet'!$B210, 'Master List Import'!$A$1:$P$519, 7, FALSE), ""), "")</f>
        <v>1.68</v>
      </c>
      <c r="J315" s="69" t="str">
        <f>_xlfn.IFNA(IF('Interactive Selection Sheet'!A210 = "", VLOOKUP('Interactive Selection Sheet'!$B210, 'Master List Import'!$A$1:$P$519, 8, FALSE), ""), "")</f>
        <v>REI</v>
      </c>
      <c r="K315" s="69" t="str">
        <f>_xlfn.IFNA(IF('Interactive Selection Sheet'!A210 = "", VLOOKUP('Interactive Selection Sheet'!$B210, 'Master List Import'!$A$1:$P$519, 9, FALSE), ""), "")</f>
        <v>300279</v>
      </c>
      <c r="L315" s="69">
        <f>_xlfn.IFNA(IF('Interactive Selection Sheet'!A210 = "", VLOOKUP('Interactive Selection Sheet'!$B210, 'Master List Import'!$A$1:$P$519, 10, FALSE), ""), "")</f>
        <v>0</v>
      </c>
      <c r="M315" s="69">
        <f>_xlfn.IFNA(IF('Interactive Selection Sheet'!A210 = "", VLOOKUP('Interactive Selection Sheet'!$B210, 'Master List Import'!$A$1:$P$519, 11, FALSE), ""), "")</f>
        <v>0</v>
      </c>
      <c r="N315" s="69">
        <f>_xlfn.IFNA(IF('Interactive Selection Sheet'!A210 = "", VLOOKUP('Interactive Selection Sheet'!$B210, 'Master List Import'!$A$1:$P$519, 12, FALSE), ""), "")</f>
        <v>12</v>
      </c>
      <c r="O315" s="69">
        <f>_xlfn.IFNA(IF('Interactive Selection Sheet'!A210 = "", VLOOKUP('Interactive Selection Sheet'!$B210, 'Master List Import'!$A$1:$P$519, 13, FALSE), ""), "")</f>
        <v>6661</v>
      </c>
      <c r="P315" s="69" t="str">
        <f>_xlfn.IFNA(IF('Interactive Selection Sheet'!A210 = "", VLOOKUP('Interactive Selection Sheet'!$B210, 'Master List Import'!$A$1:$P$519, 14, FALSE), ""), "")</f>
        <v>Strawberry Jelly Squeeze (19oz)</v>
      </c>
      <c r="Q315" s="69">
        <f>_xlfn.IFNA(IF('Interactive Selection Sheet'!A210 = "", VLOOKUP('Interactive Selection Sheet'!$B210, 'Master List Import'!$A$1:$P$519, 15, FALSE), ""), "")</f>
        <v>1</v>
      </c>
      <c r="R315" s="74">
        <f>_xlfn.IFNA(IF('Interactive Selection Sheet'!A210 = "", VLOOKUP('Interactive Selection Sheet'!$B210, 'Master List Import'!$A$1:$P$519, 16, FALSE), ""), "")</f>
        <v>6</v>
      </c>
    </row>
    <row r="316" spans="1:18" ht="21.75" customHeight="1" x14ac:dyDescent="0.25">
      <c r="A316" s="69">
        <f>_xlfn.IFNA(IF('Interactive Selection Sheet'!A186 = "", VLOOKUP('Interactive Selection Sheet'!$B186, 'Master List Import'!$A$1:$P$519, 2, FALSE), ""), "")</f>
        <v>6700</v>
      </c>
      <c r="B316" s="69" t="str">
        <f>_xlfn.IFNA(IF('Interactive Selection Sheet'!A186 = "", VLOOKUP('Interactive Selection Sheet'!$B186, 'Master List Import'!$A$1:$P$519, 3, FALSE), ""), "")</f>
        <v>Tostitos Salsa, 3.8oz cup - 30/cs</v>
      </c>
      <c r="C316" s="76">
        <f>IF('Interactive Selection Sheet'!$T$2="", "", IF(B316="","",'Interactive Selection Sheet'!$T$2))</f>
        <v>3.5000000000000003E-2</v>
      </c>
      <c r="D316" s="70">
        <f>IF(B316 = "", "", 'Interactive Selection Sheet'!$P$2)</f>
        <v>4.4999999999999998E-2</v>
      </c>
      <c r="E316" s="70">
        <f>IF(B316="","", 'Interactive Selection Sheet'!$R$2)</f>
        <v>0.02</v>
      </c>
      <c r="F316" s="69" t="str">
        <f>_xlfn.IFNA(IF('Interactive Selection Sheet'!A186 = "", VLOOKUP('Interactive Selection Sheet'!$B186, 'Master List Import'!$A$1:$P$519, 4, FALSE), ""), "")</f>
        <v>Condiments/Seasonings</v>
      </c>
      <c r="G316" s="69" t="str">
        <f>_xlfn.IFNA(IF('Interactive Selection Sheet'!A186 = "", VLOOKUP('Interactive Selection Sheet'!$B186, 'Master List Import'!$A$1:$P$519, 5, FALSE), ""), "")</f>
        <v>Condiments/Seasonings</v>
      </c>
      <c r="H316" s="69" t="str">
        <f>_xlfn.IFNA(IF('Interactive Selection Sheet'!A186 = "", VLOOKUP('Interactive Selection Sheet'!$B186, 'Master List Import'!$A$1:$P$519, 6, FALSE), ""), "")</f>
        <v>Both</v>
      </c>
      <c r="I316" s="72">
        <f>_xlfn.IFNA(IF('Interactive Selection Sheet'!A186 = "", VLOOKUP('Interactive Selection Sheet'!$B186, 'Master List Import'!$A$1:$P$519, 7, FALSE), ""), "")</f>
        <v>0.52100000000000002</v>
      </c>
      <c r="J316" s="69" t="str">
        <f>_xlfn.IFNA(IF('Interactive Selection Sheet'!A186 = "", VLOOKUP('Interactive Selection Sheet'!$B186, 'Master List Import'!$A$1:$P$519, 8, FALSE), ""), "")</f>
        <v>Vistar</v>
      </c>
      <c r="K316" s="69" t="str">
        <f>_xlfn.IFNA(IF('Interactive Selection Sheet'!A186 = "", VLOOKUP('Interactive Selection Sheet'!$B186, 'Master List Import'!$A$1:$P$519, 9, FALSE), ""), "")</f>
        <v>FRI47906</v>
      </c>
      <c r="L316" s="69">
        <f>_xlfn.IFNA(IF('Interactive Selection Sheet'!A186 = "", VLOOKUP('Interactive Selection Sheet'!$B186, 'Master List Import'!$A$1:$P$519, 10, FALSE), ""), "")</f>
        <v>0</v>
      </c>
      <c r="M316" s="69">
        <f>_xlfn.IFNA(IF('Interactive Selection Sheet'!A186 = "", VLOOKUP('Interactive Selection Sheet'!$B186, 'Master List Import'!$A$1:$P$519, 11, FALSE), ""), "")</f>
        <v>0</v>
      </c>
      <c r="N316" s="69">
        <f>_xlfn.IFNA(IF('Interactive Selection Sheet'!A186 = "", VLOOKUP('Interactive Selection Sheet'!$B186, 'Master List Import'!$A$1:$P$519, 12, FALSE), ""), "")</f>
        <v>30</v>
      </c>
      <c r="O316" s="69">
        <f>_xlfn.IFNA(IF('Interactive Selection Sheet'!A186 = "", VLOOKUP('Interactive Selection Sheet'!$B186, 'Master List Import'!$A$1:$P$519, 13, FALSE), ""), "")</f>
        <v>6700</v>
      </c>
      <c r="P316" s="69" t="str">
        <f>_xlfn.IFNA(IF('Interactive Selection Sheet'!A186 = "", VLOOKUP('Interactive Selection Sheet'!$B186, 'Master List Import'!$A$1:$P$519, 14, FALSE), ""), "")</f>
        <v>Tostitos Salsa Cup</v>
      </c>
      <c r="Q316" s="69">
        <f>_xlfn.IFNA(IF('Interactive Selection Sheet'!A186 = "", VLOOKUP('Interactive Selection Sheet'!$B186, 'Master List Import'!$A$1:$P$519, 15, FALSE), ""), "")</f>
        <v>1</v>
      </c>
      <c r="R316" s="74">
        <f>_xlfn.IFNA(IF('Interactive Selection Sheet'!A186 = "", VLOOKUP('Interactive Selection Sheet'!$B186, 'Master List Import'!$A$1:$P$519, 16, FALSE), ""), "")</f>
        <v>1.65</v>
      </c>
    </row>
    <row r="317" spans="1:18" ht="21.75" customHeight="1" x14ac:dyDescent="0.25">
      <c r="A317" s="69">
        <f>_xlfn.IFNA(IF('Interactive Selection Sheet'!A187 = "", VLOOKUP('Interactive Selection Sheet'!$B187, 'Master List Import'!$A$1:$P$519, 2, FALSE), ""), "")</f>
        <v>6701</v>
      </c>
      <c r="B317" s="69" t="str">
        <f>_xlfn.IFNA(IF('Interactive Selection Sheet'!A187 = "", VLOOKUP('Interactive Selection Sheet'!$B187, 'Master List Import'!$A$1:$P$519, 3, FALSE), ""), "")</f>
        <v>Rico's Nacho Cheese, 3.5oz cup - 48/cs</v>
      </c>
      <c r="C317" s="76">
        <f>IF('Interactive Selection Sheet'!$T$2="", "", IF(B317="","",'Interactive Selection Sheet'!$T$2))</f>
        <v>3.5000000000000003E-2</v>
      </c>
      <c r="D317" s="70">
        <f>IF(B317 = "", "", 'Interactive Selection Sheet'!$P$2)</f>
        <v>4.4999999999999998E-2</v>
      </c>
      <c r="E317" s="70">
        <f>IF(B317="","", 'Interactive Selection Sheet'!$R$2)</f>
        <v>0.02</v>
      </c>
      <c r="F317" s="69" t="str">
        <f>_xlfn.IFNA(IF('Interactive Selection Sheet'!A187 = "", VLOOKUP('Interactive Selection Sheet'!$B187, 'Master List Import'!$A$1:$P$519, 4, FALSE), ""), "")</f>
        <v>Condiments/Seasonings</v>
      </c>
      <c r="G317" s="69" t="str">
        <f>_xlfn.IFNA(IF('Interactive Selection Sheet'!A187 = "", VLOOKUP('Interactive Selection Sheet'!$B187, 'Master List Import'!$A$1:$P$519, 5, FALSE), ""), "")</f>
        <v>Condiments/Seasonings</v>
      </c>
      <c r="H317" s="69" t="str">
        <f>_xlfn.IFNA(IF('Interactive Selection Sheet'!A187 = "", VLOOKUP('Interactive Selection Sheet'!$B187, 'Master List Import'!$A$1:$P$519, 6, FALSE), ""), "")</f>
        <v>Both</v>
      </c>
      <c r="I317" s="72">
        <f>_xlfn.IFNA(IF('Interactive Selection Sheet'!A187 = "", VLOOKUP('Interactive Selection Sheet'!$B187, 'Master List Import'!$A$1:$P$519, 7, FALSE), ""), "")</f>
        <v>0.6966</v>
      </c>
      <c r="J317" s="69" t="str">
        <f>_xlfn.IFNA(IF('Interactive Selection Sheet'!A187 = "", VLOOKUP('Interactive Selection Sheet'!$B187, 'Master List Import'!$A$1:$P$519, 8, FALSE), ""), "")</f>
        <v>Vistar</v>
      </c>
      <c r="K317" s="69" t="str">
        <f>_xlfn.IFNA(IF('Interactive Selection Sheet'!A187 = "", VLOOKUP('Interactive Selection Sheet'!$B187, 'Master List Import'!$A$1:$P$519, 9, FALSE), ""), "")</f>
        <v>RIC21148</v>
      </c>
      <c r="L317" s="69">
        <f>_xlfn.IFNA(IF('Interactive Selection Sheet'!A187 = "", VLOOKUP('Interactive Selection Sheet'!$B187, 'Master List Import'!$A$1:$P$519, 10, FALSE), ""), "")</f>
        <v>0</v>
      </c>
      <c r="M317" s="69">
        <f>_xlfn.IFNA(IF('Interactive Selection Sheet'!A187 = "", VLOOKUP('Interactive Selection Sheet'!$B187, 'Master List Import'!$A$1:$P$519, 11, FALSE), ""), "")</f>
        <v>0</v>
      </c>
      <c r="N317" s="69">
        <f>_xlfn.IFNA(IF('Interactive Selection Sheet'!A187 = "", VLOOKUP('Interactive Selection Sheet'!$B187, 'Master List Import'!$A$1:$P$519, 12, FALSE), ""), "")</f>
        <v>48</v>
      </c>
      <c r="O317" s="69">
        <f>_xlfn.IFNA(IF('Interactive Selection Sheet'!A187 = "", VLOOKUP('Interactive Selection Sheet'!$B187, 'Master List Import'!$A$1:$P$519, 13, FALSE), ""), "")</f>
        <v>6701</v>
      </c>
      <c r="P317" s="69" t="str">
        <f>_xlfn.IFNA(IF('Interactive Selection Sheet'!A187 = "", VLOOKUP('Interactive Selection Sheet'!$B187, 'Master List Import'!$A$1:$P$519, 14, FALSE), ""), "")</f>
        <v>Rico's Nacho Cheese Cup</v>
      </c>
      <c r="Q317" s="69">
        <f>_xlfn.IFNA(IF('Interactive Selection Sheet'!A187 = "", VLOOKUP('Interactive Selection Sheet'!$B187, 'Master List Import'!$A$1:$P$519, 15, FALSE), ""), "")</f>
        <v>1</v>
      </c>
      <c r="R317" s="74">
        <f>_xlfn.IFNA(IF('Interactive Selection Sheet'!A187 = "", VLOOKUP('Interactive Selection Sheet'!$B187, 'Master List Import'!$A$1:$P$519, 16, FALSE), ""), "")</f>
        <v>1.9</v>
      </c>
    </row>
    <row r="318" spans="1:18" ht="21.75" customHeight="1" x14ac:dyDescent="0.25">
      <c r="A318" s="69">
        <f>_xlfn.IFNA(IF('Interactive Selection Sheet'!A191 = "", VLOOKUP('Interactive Selection Sheet'!$B191, 'Master List Import'!$A$1:$P$519, 2, FALSE), ""), "")</f>
        <v>6720</v>
      </c>
      <c r="B318" s="69" t="str">
        <f>_xlfn.IFNA(IF('Interactive Selection Sheet'!A191 = "", VLOOKUP('Interactive Selection Sheet'!$B191, 'Master List Import'!$A$1:$P$519, 3, FALSE), ""), "")</f>
        <v>Ranch Dressing, 2oz cup - 60/cs</v>
      </c>
      <c r="C318" s="76">
        <f>IF('Interactive Selection Sheet'!$T$2="", "", IF(B318="","",'Interactive Selection Sheet'!$T$2))</f>
        <v>3.5000000000000003E-2</v>
      </c>
      <c r="D318" s="70">
        <f>IF(B318 = "", "", 'Interactive Selection Sheet'!$P$2)</f>
        <v>4.4999999999999998E-2</v>
      </c>
      <c r="E318" s="70">
        <f>IF(B318="","", 'Interactive Selection Sheet'!$R$2)</f>
        <v>0.02</v>
      </c>
      <c r="F318" s="69" t="str">
        <f>_xlfn.IFNA(IF('Interactive Selection Sheet'!A191 = "", VLOOKUP('Interactive Selection Sheet'!$B191, 'Master List Import'!$A$1:$P$519, 4, FALSE), ""), "")</f>
        <v>Condiments/Seasonings</v>
      </c>
      <c r="G318" s="69" t="str">
        <f>_xlfn.IFNA(IF('Interactive Selection Sheet'!A191 = "", VLOOKUP('Interactive Selection Sheet'!$B191, 'Master List Import'!$A$1:$P$519, 5, FALSE), ""), "")</f>
        <v>Condiments/Seasonings</v>
      </c>
      <c r="H318" s="69" t="str">
        <f>_xlfn.IFNA(IF('Interactive Selection Sheet'!A191 = "", VLOOKUP('Interactive Selection Sheet'!$B191, 'Master List Import'!$A$1:$P$519, 6, FALSE), ""), "")</f>
        <v>Both</v>
      </c>
      <c r="I318" s="72">
        <f>_xlfn.IFNA(IF('Interactive Selection Sheet'!A191 = "", VLOOKUP('Interactive Selection Sheet'!$B191, 'Master List Import'!$A$1:$P$519, 7, FALSE), ""), "")</f>
        <v>0.49459999999999998</v>
      </c>
      <c r="J318" s="69" t="str">
        <f>_xlfn.IFNA(IF('Interactive Selection Sheet'!A191 = "", VLOOKUP('Interactive Selection Sheet'!$B191, 'Master List Import'!$A$1:$P$519, 8, FALSE), ""), "")</f>
        <v>Vistar</v>
      </c>
      <c r="K318" s="69" t="str">
        <f>_xlfn.IFNA(IF('Interactive Selection Sheet'!A191 = "", VLOOKUP('Interactive Selection Sheet'!$B191, 'Master List Import'!$A$1:$P$519, 9, FALSE), ""), "")</f>
        <v>HEI544300</v>
      </c>
      <c r="L318" s="69">
        <f>_xlfn.IFNA(IF('Interactive Selection Sheet'!A191 = "", VLOOKUP('Interactive Selection Sheet'!$B191, 'Master List Import'!$A$1:$P$519, 10, FALSE), ""), "")</f>
        <v>0</v>
      </c>
      <c r="M318" s="69">
        <f>_xlfn.IFNA(IF('Interactive Selection Sheet'!A191 = "", VLOOKUP('Interactive Selection Sheet'!$B191, 'Master List Import'!$A$1:$P$519, 11, FALSE), ""), "")</f>
        <v>0</v>
      </c>
      <c r="N318" s="69">
        <f>_xlfn.IFNA(IF('Interactive Selection Sheet'!A191 = "", VLOOKUP('Interactive Selection Sheet'!$B191, 'Master List Import'!$A$1:$P$519, 12, FALSE), ""), "")</f>
        <v>60</v>
      </c>
      <c r="O318" s="69">
        <f>_xlfn.IFNA(IF('Interactive Selection Sheet'!A191 = "", VLOOKUP('Interactive Selection Sheet'!$B191, 'Master List Import'!$A$1:$P$519, 13, FALSE), ""), "")</f>
        <v>6720</v>
      </c>
      <c r="P318" s="69" t="str">
        <f>_xlfn.IFNA(IF('Interactive Selection Sheet'!A191 = "", VLOOKUP('Interactive Selection Sheet'!$B191, 'Master List Import'!$A$1:$P$519, 14, FALSE), ""), "")</f>
        <v>Ranch Dressing Cup</v>
      </c>
      <c r="Q318" s="69">
        <f>_xlfn.IFNA(IF('Interactive Selection Sheet'!A191 = "", VLOOKUP('Interactive Selection Sheet'!$B191, 'Master List Import'!$A$1:$P$519, 15, FALSE), ""), "")</f>
        <v>1</v>
      </c>
      <c r="R318" s="74">
        <f>_xlfn.IFNA(IF('Interactive Selection Sheet'!A191 = "", VLOOKUP('Interactive Selection Sheet'!$B191, 'Master List Import'!$A$1:$P$519, 16, FALSE), ""), "")</f>
        <v>1.65</v>
      </c>
    </row>
    <row r="319" spans="1:18" ht="21.75" customHeight="1" x14ac:dyDescent="0.25">
      <c r="A319" s="69">
        <f>_xlfn.IFNA(IF('Interactive Selection Sheet'!A204 = "", VLOOKUP('Interactive Selection Sheet'!$B204, 'Master List Import'!$A$1:$P$519, 2, FALSE), ""), "")</f>
        <v>6722</v>
      </c>
      <c r="B319" s="69" t="str">
        <f>_xlfn.IFNA(IF('Interactive Selection Sheet'!A204 = "", VLOOKUP('Interactive Selection Sheet'!$B204, 'Master List Import'!$A$1:$P$519, 3, FALSE), ""), "")</f>
        <v>Tito's Jalapeno Peppers - Sliced, 12oz - 12/cs</v>
      </c>
      <c r="C319" s="76">
        <f>IF('Interactive Selection Sheet'!$T$2="", "", IF(B319="","",'Interactive Selection Sheet'!$T$2))</f>
        <v>3.5000000000000003E-2</v>
      </c>
      <c r="D319" s="70">
        <f>IF(B319 = "", "", 'Interactive Selection Sheet'!$P$2)</f>
        <v>4.4999999999999998E-2</v>
      </c>
      <c r="E319" s="70">
        <f>IF(B319="","", 'Interactive Selection Sheet'!$R$2)</f>
        <v>0.02</v>
      </c>
      <c r="F319" s="69" t="str">
        <f>_xlfn.IFNA(IF('Interactive Selection Sheet'!A204 = "", VLOOKUP('Interactive Selection Sheet'!$B204, 'Master List Import'!$A$1:$P$519, 4, FALSE), ""), "")</f>
        <v>Condiments/Seasonings</v>
      </c>
      <c r="G319" s="69" t="str">
        <f>_xlfn.IFNA(IF('Interactive Selection Sheet'!A204 = "", VLOOKUP('Interactive Selection Sheet'!$B204, 'Master List Import'!$A$1:$P$519, 5, FALSE), ""), "")</f>
        <v>Condiments/Seasonings</v>
      </c>
      <c r="H319" s="69" t="str">
        <f>_xlfn.IFNA(IF('Interactive Selection Sheet'!A204 = "", VLOOKUP('Interactive Selection Sheet'!$B204, 'Master List Import'!$A$1:$P$519, 6, FALSE), ""), "")</f>
        <v>Both</v>
      </c>
      <c r="I319" s="72">
        <f>_xlfn.IFNA(IF('Interactive Selection Sheet'!A204 = "", VLOOKUP('Interactive Selection Sheet'!$B204, 'Master List Import'!$A$1:$P$519, 7, FALSE), ""), "")</f>
        <v>1.23</v>
      </c>
      <c r="J319" s="69" t="str">
        <f>_xlfn.IFNA(IF('Interactive Selection Sheet'!A204 = "", VLOOKUP('Interactive Selection Sheet'!$B204, 'Master List Import'!$A$1:$P$519, 8, FALSE), ""), "")</f>
        <v>REI</v>
      </c>
      <c r="K319" s="69" t="str">
        <f>_xlfn.IFNA(IF('Interactive Selection Sheet'!A204 = "", VLOOKUP('Interactive Selection Sheet'!$B204, 'Master List Import'!$A$1:$P$519, 9, FALSE), ""), "")</f>
        <v>314195</v>
      </c>
      <c r="L319" s="69">
        <f>_xlfn.IFNA(IF('Interactive Selection Sheet'!A204 = "", VLOOKUP('Interactive Selection Sheet'!$B204, 'Master List Import'!$A$1:$P$519, 10, FALSE), ""), "")</f>
        <v>0</v>
      </c>
      <c r="M319" s="69">
        <f>_xlfn.IFNA(IF('Interactive Selection Sheet'!A204 = "", VLOOKUP('Interactive Selection Sheet'!$B204, 'Master List Import'!$A$1:$P$519, 11, FALSE), ""), "")</f>
        <v>0</v>
      </c>
      <c r="N319" s="69">
        <f>_xlfn.IFNA(IF('Interactive Selection Sheet'!A204 = "", VLOOKUP('Interactive Selection Sheet'!$B204, 'Master List Import'!$A$1:$P$519, 12, FALSE), ""), "")</f>
        <v>12</v>
      </c>
      <c r="O319" s="69">
        <f>_xlfn.IFNA(IF('Interactive Selection Sheet'!A204 = "", VLOOKUP('Interactive Selection Sheet'!$B204, 'Master List Import'!$A$1:$P$519, 13, FALSE), ""), "")</f>
        <v>6722</v>
      </c>
      <c r="P319" s="69" t="str">
        <f>_xlfn.IFNA(IF('Interactive Selection Sheet'!A204 = "", VLOOKUP('Interactive Selection Sheet'!$B204, 'Master List Import'!$A$1:$P$519, 14, FALSE), ""), "")</f>
        <v>12oz Tub - Jalapeno Peppers</v>
      </c>
      <c r="Q319" s="69">
        <f>_xlfn.IFNA(IF('Interactive Selection Sheet'!A204 = "", VLOOKUP('Interactive Selection Sheet'!$B204, 'Master List Import'!$A$1:$P$519, 15, FALSE), ""), "")</f>
        <v>1</v>
      </c>
      <c r="R319" s="74">
        <f>_xlfn.IFNA(IF('Interactive Selection Sheet'!A204 = "", VLOOKUP('Interactive Selection Sheet'!$B204, 'Master List Import'!$A$1:$P$519, 16, FALSE), ""), "")</f>
        <v>4.3</v>
      </c>
    </row>
    <row r="320" spans="1:18" ht="21.75" customHeight="1" x14ac:dyDescent="0.25">
      <c r="A320" s="69">
        <f>_xlfn.IFNA(IF('Interactive Selection Sheet'!A213 = "", VLOOKUP('Interactive Selection Sheet'!$B213, 'Master List Import'!$A$1:$P$519, 2, FALSE), ""), "")</f>
        <v>6740</v>
      </c>
      <c r="B320" s="69" t="str">
        <f>_xlfn.IFNA(IF('Interactive Selection Sheet'!A213 = "", VLOOKUP('Interactive Selection Sheet'!$B213, 'Master List Import'!$A$1:$P$519, 3, FALSE), ""), "")</f>
        <v>Algood Creamy Peanut Butter, 18oz Jar - 12/cs</v>
      </c>
      <c r="C320" s="76">
        <f>IF('Interactive Selection Sheet'!$T$2="", "", IF(B320="","",'Interactive Selection Sheet'!$T$2))</f>
        <v>3.5000000000000003E-2</v>
      </c>
      <c r="D320" s="70">
        <f>IF(B320 = "", "", 'Interactive Selection Sheet'!$P$2)</f>
        <v>4.4999999999999998E-2</v>
      </c>
      <c r="E320" s="70">
        <f>IF(B320="","", 'Interactive Selection Sheet'!$R$2)</f>
        <v>0.02</v>
      </c>
      <c r="F320" s="69" t="str">
        <f>_xlfn.IFNA(IF('Interactive Selection Sheet'!A213 = "", VLOOKUP('Interactive Selection Sheet'!$B213, 'Master List Import'!$A$1:$P$519, 4, FALSE), ""), "")</f>
        <v>Grocery</v>
      </c>
      <c r="G320" s="69" t="str">
        <f>_xlfn.IFNA(IF('Interactive Selection Sheet'!A213 = "", VLOOKUP('Interactive Selection Sheet'!$B213, 'Master List Import'!$A$1:$P$519, 5, FALSE), ""), "")</f>
        <v>Grocery</v>
      </c>
      <c r="H320" s="69" t="str">
        <f>_xlfn.IFNA(IF('Interactive Selection Sheet'!A213 = "", VLOOKUP('Interactive Selection Sheet'!$B213, 'Master List Import'!$A$1:$P$519, 6, FALSE), ""), "")</f>
        <v>Both</v>
      </c>
      <c r="I320" s="72">
        <f>_xlfn.IFNA(IF('Interactive Selection Sheet'!A213 = "", VLOOKUP('Interactive Selection Sheet'!$B213, 'Master List Import'!$A$1:$P$519, 7, FALSE), ""), "")</f>
        <v>1.8</v>
      </c>
      <c r="J320" s="69" t="str">
        <f>_xlfn.IFNA(IF('Interactive Selection Sheet'!A213 = "", VLOOKUP('Interactive Selection Sheet'!$B213, 'Master List Import'!$A$1:$P$519, 8, FALSE), ""), "")</f>
        <v>REI</v>
      </c>
      <c r="K320" s="69" t="str">
        <f>_xlfn.IFNA(IF('Interactive Selection Sheet'!A213 = "", VLOOKUP('Interactive Selection Sheet'!$B213, 'Master List Import'!$A$1:$P$519, 9, FALSE), ""), "")</f>
        <v>306955</v>
      </c>
      <c r="L320" s="69">
        <f>_xlfn.IFNA(IF('Interactive Selection Sheet'!A213 = "", VLOOKUP('Interactive Selection Sheet'!$B213, 'Master List Import'!$A$1:$P$519, 10, FALSE), ""), "")</f>
        <v>0</v>
      </c>
      <c r="M320" s="69">
        <f>_xlfn.IFNA(IF('Interactive Selection Sheet'!A213 = "", VLOOKUP('Interactive Selection Sheet'!$B213, 'Master List Import'!$A$1:$P$519, 11, FALSE), ""), "")</f>
        <v>0</v>
      </c>
      <c r="N320" s="69">
        <f>_xlfn.IFNA(IF('Interactive Selection Sheet'!A213 = "", VLOOKUP('Interactive Selection Sheet'!$B213, 'Master List Import'!$A$1:$P$519, 12, FALSE), ""), "")</f>
        <v>12</v>
      </c>
      <c r="O320" s="69">
        <f>_xlfn.IFNA(IF('Interactive Selection Sheet'!A213 = "", VLOOKUP('Interactive Selection Sheet'!$B213, 'Master List Import'!$A$1:$P$519, 13, FALSE), ""), "")</f>
        <v>6740</v>
      </c>
      <c r="P320" s="69" t="str">
        <f>_xlfn.IFNA(IF('Interactive Selection Sheet'!A213 = "", VLOOKUP('Interactive Selection Sheet'!$B213, 'Master List Import'!$A$1:$P$519, 14, FALSE), ""), "")</f>
        <v>Peanut Butter Jar (18oz)</v>
      </c>
      <c r="Q320" s="69">
        <f>_xlfn.IFNA(IF('Interactive Selection Sheet'!A213 = "", VLOOKUP('Interactive Selection Sheet'!$B213, 'Master List Import'!$A$1:$P$519, 15, FALSE), ""), "")</f>
        <v>1</v>
      </c>
      <c r="R320" s="74">
        <f>_xlfn.IFNA(IF('Interactive Selection Sheet'!A213 = "", VLOOKUP('Interactive Selection Sheet'!$B213, 'Master List Import'!$A$1:$P$519, 16, FALSE), ""), "")</f>
        <v>6.3</v>
      </c>
    </row>
    <row r="321" spans="1:18" ht="21.75" customHeight="1" x14ac:dyDescent="0.25">
      <c r="A321" s="69">
        <f>_xlfn.IFNA(IF('Interactive Selection Sheet'!A214 = "", VLOOKUP('Interactive Selection Sheet'!$B214, 'Master List Import'!$A$1:$P$519, 2, FALSE), ""), "")</f>
        <v>6741</v>
      </c>
      <c r="B321" s="69" t="str">
        <f>_xlfn.IFNA(IF('Interactive Selection Sheet'!A214 = "", VLOOKUP('Interactive Selection Sheet'!$B214, 'Master List Import'!$A$1:$P$519, 3, FALSE), ""), "")</f>
        <v>Jif To Go Creamy Peanut Butter Cups, 1.5oz cups - 6/8/cs</v>
      </c>
      <c r="C321" s="76">
        <f>IF('Interactive Selection Sheet'!$T$2="", "", IF(B321="","",'Interactive Selection Sheet'!$T$2))</f>
        <v>3.5000000000000003E-2</v>
      </c>
      <c r="D321" s="70">
        <f>IF(B321 = "", "", 'Interactive Selection Sheet'!$P$2)</f>
        <v>4.4999999999999998E-2</v>
      </c>
      <c r="E321" s="70">
        <f>IF(B321="","", 'Interactive Selection Sheet'!$R$2)</f>
        <v>0.02</v>
      </c>
      <c r="F321" s="69" t="str">
        <f>_xlfn.IFNA(IF('Interactive Selection Sheet'!A214 = "", VLOOKUP('Interactive Selection Sheet'!$B214, 'Master List Import'!$A$1:$P$519, 4, FALSE), ""), "")</f>
        <v>Grocery</v>
      </c>
      <c r="G321" s="69" t="str">
        <f>_xlfn.IFNA(IF('Interactive Selection Sheet'!A214 = "", VLOOKUP('Interactive Selection Sheet'!$B214, 'Master List Import'!$A$1:$P$519, 5, FALSE), ""), "")</f>
        <v>Grocery</v>
      </c>
      <c r="H321" s="69" t="str">
        <f>_xlfn.IFNA(IF('Interactive Selection Sheet'!A214 = "", VLOOKUP('Interactive Selection Sheet'!$B214, 'Master List Import'!$A$1:$P$519, 6, FALSE), ""), "")</f>
        <v>Both</v>
      </c>
      <c r="I321" s="72">
        <f>_xlfn.IFNA(IF('Interactive Selection Sheet'!A214 = "", VLOOKUP('Interactive Selection Sheet'!$B214, 'Master List Import'!$A$1:$P$519, 7, FALSE), ""), "")</f>
        <v>0.28449999999999998</v>
      </c>
      <c r="J321" s="69" t="str">
        <f>_xlfn.IFNA(IF('Interactive Selection Sheet'!A214 = "", VLOOKUP('Interactive Selection Sheet'!$B214, 'Master List Import'!$A$1:$P$519, 8, FALSE), ""), "")</f>
        <v>REI</v>
      </c>
      <c r="K321" s="69" t="str">
        <f>_xlfn.IFNA(IF('Interactive Selection Sheet'!A214 = "", VLOOKUP('Interactive Selection Sheet'!$B214, 'Master List Import'!$A$1:$P$519, 9, FALSE), ""), "")</f>
        <v>333998</v>
      </c>
      <c r="L321" s="69">
        <f>_xlfn.IFNA(IF('Interactive Selection Sheet'!A214 = "", VLOOKUP('Interactive Selection Sheet'!$B214, 'Master List Import'!$A$1:$P$519, 10, FALSE), ""), "")</f>
        <v>0</v>
      </c>
      <c r="M321" s="69">
        <f>_xlfn.IFNA(IF('Interactive Selection Sheet'!A214 = "", VLOOKUP('Interactive Selection Sheet'!$B214, 'Master List Import'!$A$1:$P$519, 11, FALSE), ""), "")</f>
        <v>0</v>
      </c>
      <c r="N321" s="69">
        <f>_xlfn.IFNA(IF('Interactive Selection Sheet'!A214 = "", VLOOKUP('Interactive Selection Sheet'!$B214, 'Master List Import'!$A$1:$P$519, 12, FALSE), ""), "")</f>
        <v>48</v>
      </c>
      <c r="O321" s="69">
        <f>_xlfn.IFNA(IF('Interactive Selection Sheet'!A214 = "", VLOOKUP('Interactive Selection Sheet'!$B214, 'Master List Import'!$A$1:$P$519, 13, FALSE), ""), "")</f>
        <v>6741</v>
      </c>
      <c r="P321" s="69" t="str">
        <f>_xlfn.IFNA(IF('Interactive Selection Sheet'!A214 = "", VLOOKUP('Interactive Selection Sheet'!$B214, 'Master List Import'!$A$1:$P$519, 14, FALSE), ""), "")</f>
        <v>Jif Peanut Butter To-Go Cup</v>
      </c>
      <c r="Q321" s="69">
        <f>_xlfn.IFNA(IF('Interactive Selection Sheet'!A214 = "", VLOOKUP('Interactive Selection Sheet'!$B214, 'Master List Import'!$A$1:$P$519, 15, FALSE), ""), "")</f>
        <v>1</v>
      </c>
      <c r="R321" s="74">
        <f>_xlfn.IFNA(IF('Interactive Selection Sheet'!A214 = "", VLOOKUP('Interactive Selection Sheet'!$B214, 'Master List Import'!$A$1:$P$519, 16, FALSE), ""), "")</f>
        <v>1.05</v>
      </c>
    </row>
    <row r="322" spans="1:18" ht="21.75" customHeight="1" x14ac:dyDescent="0.25">
      <c r="A322" s="69">
        <f>_xlfn.IFNA(IF('Interactive Selection Sheet'!A215 = "", VLOOKUP('Interactive Selection Sheet'!$B215, 'Master List Import'!$A$1:$P$519, 2, FALSE), ""), "")</f>
        <v>6742</v>
      </c>
      <c r="B322" s="69" t="str">
        <f>_xlfn.IFNA(IF('Interactive Selection Sheet'!A215 = "", VLOOKUP('Interactive Selection Sheet'!$B215, 'Master List Import'!$A$1:$P$519, 3, FALSE), ""), "")</f>
        <v>Algood Peanut Butter - Crunchy, 18oz - 12/cs</v>
      </c>
      <c r="C322" s="76">
        <f>IF('Interactive Selection Sheet'!$T$2="", "", IF(B322="","",'Interactive Selection Sheet'!$T$2))</f>
        <v>3.5000000000000003E-2</v>
      </c>
      <c r="D322" s="70">
        <f>IF(B322 = "", "", 'Interactive Selection Sheet'!$P$2)</f>
        <v>4.4999999999999998E-2</v>
      </c>
      <c r="E322" s="70">
        <f>IF(B322="","", 'Interactive Selection Sheet'!$R$2)</f>
        <v>0.02</v>
      </c>
      <c r="F322" s="69" t="str">
        <f>_xlfn.IFNA(IF('Interactive Selection Sheet'!A215 = "", VLOOKUP('Interactive Selection Sheet'!$B215, 'Master List Import'!$A$1:$P$519, 4, FALSE), ""), "")</f>
        <v>Grocery</v>
      </c>
      <c r="G322" s="69" t="str">
        <f>_xlfn.IFNA(IF('Interactive Selection Sheet'!A215 = "", VLOOKUP('Interactive Selection Sheet'!$B215, 'Master List Import'!$A$1:$P$519, 5, FALSE), ""), "")</f>
        <v>Grocery</v>
      </c>
      <c r="H322" s="69" t="str">
        <f>_xlfn.IFNA(IF('Interactive Selection Sheet'!A215 = "", VLOOKUP('Interactive Selection Sheet'!$B215, 'Master List Import'!$A$1:$P$519, 6, FALSE), ""), "")</f>
        <v>Both</v>
      </c>
      <c r="I322" s="72">
        <f>_xlfn.IFNA(IF('Interactive Selection Sheet'!A215 = "", VLOOKUP('Interactive Selection Sheet'!$B215, 'Master List Import'!$A$1:$P$519, 7, FALSE), ""), "")</f>
        <v>1.8</v>
      </c>
      <c r="J322" s="69" t="str">
        <f>_xlfn.IFNA(IF('Interactive Selection Sheet'!A215 = "", VLOOKUP('Interactive Selection Sheet'!$B215, 'Master List Import'!$A$1:$P$519, 8, FALSE), ""), "")</f>
        <v>REI</v>
      </c>
      <c r="K322" s="69" t="str">
        <f>_xlfn.IFNA(IF('Interactive Selection Sheet'!A215 = "", VLOOKUP('Interactive Selection Sheet'!$B215, 'Master List Import'!$A$1:$P$519, 9, FALSE), ""), "")</f>
        <v>306956</v>
      </c>
      <c r="L322" s="69">
        <f>_xlfn.IFNA(IF('Interactive Selection Sheet'!A215 = "", VLOOKUP('Interactive Selection Sheet'!$B215, 'Master List Import'!$A$1:$P$519, 10, FALSE), ""), "")</f>
        <v>0</v>
      </c>
      <c r="M322" s="69">
        <f>_xlfn.IFNA(IF('Interactive Selection Sheet'!A215 = "", VLOOKUP('Interactive Selection Sheet'!$B215, 'Master List Import'!$A$1:$P$519, 11, FALSE), ""), "")</f>
        <v>0</v>
      </c>
      <c r="N322" s="69">
        <f>_xlfn.IFNA(IF('Interactive Selection Sheet'!A215 = "", VLOOKUP('Interactive Selection Sheet'!$B215, 'Master List Import'!$A$1:$P$519, 12, FALSE), ""), "")</f>
        <v>12</v>
      </c>
      <c r="O322" s="69">
        <f>_xlfn.IFNA(IF('Interactive Selection Sheet'!A215 = "", VLOOKUP('Interactive Selection Sheet'!$B215, 'Master List Import'!$A$1:$P$519, 13, FALSE), ""), "")</f>
        <v>6742</v>
      </c>
      <c r="P322" s="69" t="str">
        <f>_xlfn.IFNA(IF('Interactive Selection Sheet'!A215 = "", VLOOKUP('Interactive Selection Sheet'!$B215, 'Master List Import'!$A$1:$P$519, 14, FALSE), ""), "")</f>
        <v>Crunchy Peanut Butter (18oz)</v>
      </c>
      <c r="Q322" s="69">
        <f>_xlfn.IFNA(IF('Interactive Selection Sheet'!A215 = "", VLOOKUP('Interactive Selection Sheet'!$B215, 'Master List Import'!$A$1:$P$519, 15, FALSE), ""), "")</f>
        <v>1</v>
      </c>
      <c r="R322" s="74">
        <f>_xlfn.IFNA(IF('Interactive Selection Sheet'!A215 = "", VLOOKUP('Interactive Selection Sheet'!$B215, 'Master List Import'!$A$1:$P$519, 16, FALSE), ""), "")</f>
        <v>6.3</v>
      </c>
    </row>
    <row r="323" spans="1:18" ht="21.75" customHeight="1" x14ac:dyDescent="0.25">
      <c r="A323" s="69">
        <f>_xlfn.IFNA(IF('Interactive Selection Sheet'!A194 = "", VLOOKUP('Interactive Selection Sheet'!$B194, 'Master List Import'!$A$1:$P$519, 2, FALSE), ""), "")</f>
        <v>6800</v>
      </c>
      <c r="B323" s="69" t="str">
        <f>_xlfn.IFNA(IF('Interactive Selection Sheet'!A194 = "", VLOOKUP('Interactive Selection Sheet'!$B194, 'Master List Import'!$A$1:$P$519, 3, FALSE), ""), "")</f>
        <v>Tony Chachere's Creole Seasoning, 0.5oz packets - 1000/cs</v>
      </c>
      <c r="C323" s="76">
        <f>IF('Interactive Selection Sheet'!$T$2="", "", IF(B323="","",'Interactive Selection Sheet'!$T$2))</f>
        <v>3.5000000000000003E-2</v>
      </c>
      <c r="D323" s="70">
        <f>IF(B323 = "", "", 'Interactive Selection Sheet'!$P$2)</f>
        <v>4.4999999999999998E-2</v>
      </c>
      <c r="E323" s="70">
        <f>IF(B323="","", 'Interactive Selection Sheet'!$R$2)</f>
        <v>0.02</v>
      </c>
      <c r="F323" s="69" t="str">
        <f>_xlfn.IFNA(IF('Interactive Selection Sheet'!A194 = "", VLOOKUP('Interactive Selection Sheet'!$B194, 'Master List Import'!$A$1:$P$519, 4, FALSE), ""), "")</f>
        <v>Condiments/Seasonings</v>
      </c>
      <c r="G323" s="69" t="str">
        <f>_xlfn.IFNA(IF('Interactive Selection Sheet'!A194 = "", VLOOKUP('Interactive Selection Sheet'!$B194, 'Master List Import'!$A$1:$P$519, 5, FALSE), ""), "")</f>
        <v>Condiments/Seasonings</v>
      </c>
      <c r="H323" s="69" t="str">
        <f>_xlfn.IFNA(IF('Interactive Selection Sheet'!A194 = "", VLOOKUP('Interactive Selection Sheet'!$B194, 'Master List Import'!$A$1:$P$519, 6, FALSE), ""), "")</f>
        <v>Both</v>
      </c>
      <c r="I323" s="72">
        <f>_xlfn.IFNA(IF('Interactive Selection Sheet'!A194 = "", VLOOKUP('Interactive Selection Sheet'!$B194, 'Master List Import'!$A$1:$P$519, 7, FALSE), ""), "")</f>
        <v>1.72E-2</v>
      </c>
      <c r="J323" s="69" t="str">
        <f>_xlfn.IFNA(IF('Interactive Selection Sheet'!A194 = "", VLOOKUP('Interactive Selection Sheet'!$B194, 'Master List Import'!$A$1:$P$519, 8, FALSE), ""), "")</f>
        <v>REI</v>
      </c>
      <c r="K323" s="69" t="str">
        <f>_xlfn.IFNA(IF('Interactive Selection Sheet'!A194 = "", VLOOKUP('Interactive Selection Sheet'!$B194, 'Master List Import'!$A$1:$P$519, 9, FALSE), ""), "")</f>
        <v>260205</v>
      </c>
      <c r="L323" s="69">
        <f>_xlfn.IFNA(IF('Interactive Selection Sheet'!A194 = "", VLOOKUP('Interactive Selection Sheet'!$B194, 'Master List Import'!$A$1:$P$519, 10, FALSE), ""), "")</f>
        <v>0</v>
      </c>
      <c r="M323" s="69">
        <f>_xlfn.IFNA(IF('Interactive Selection Sheet'!A194 = "", VLOOKUP('Interactive Selection Sheet'!$B194, 'Master List Import'!$A$1:$P$519, 11, FALSE), ""), "")</f>
        <v>0</v>
      </c>
      <c r="N323" s="69">
        <f>_xlfn.IFNA(IF('Interactive Selection Sheet'!A194 = "", VLOOKUP('Interactive Selection Sheet'!$B194, 'Master List Import'!$A$1:$P$519, 12, FALSE), ""), "")</f>
        <v>1000</v>
      </c>
      <c r="O323" s="69">
        <f>_xlfn.IFNA(IF('Interactive Selection Sheet'!A194 = "", VLOOKUP('Interactive Selection Sheet'!$B194, 'Master List Import'!$A$1:$P$519, 13, FALSE), ""), "")</f>
        <v>6800</v>
      </c>
      <c r="P323" s="69" t="str">
        <f>_xlfn.IFNA(IF('Interactive Selection Sheet'!A194 = "", VLOOKUP('Interactive Selection Sheet'!$B194, 'Master List Import'!$A$1:$P$519, 14, FALSE), ""), "")</f>
        <v>Tony's Creole Seasoning (20ct)</v>
      </c>
      <c r="Q323" s="69">
        <f>_xlfn.IFNA(IF('Interactive Selection Sheet'!A194 = "", VLOOKUP('Interactive Selection Sheet'!$B194, 'Master List Import'!$A$1:$P$519, 15, FALSE), ""), "")</f>
        <v>20</v>
      </c>
      <c r="R323" s="74">
        <f>_xlfn.IFNA(IF('Interactive Selection Sheet'!A194 = "", VLOOKUP('Interactive Selection Sheet'!$B194, 'Master List Import'!$A$1:$P$519, 16, FALSE), ""), "")</f>
        <v>0.95</v>
      </c>
    </row>
    <row r="324" spans="1:18" ht="21.75" customHeight="1" x14ac:dyDescent="0.25">
      <c r="A324" s="69">
        <f>_xlfn.IFNA(IF('Interactive Selection Sheet'!A195 = "", VLOOKUP('Interactive Selection Sheet'!$B195, 'Master List Import'!$A$1:$P$519, 2, FALSE), ""), "")</f>
        <v>6801</v>
      </c>
      <c r="B324" s="69" t="str">
        <f>_xlfn.IFNA(IF('Interactive Selection Sheet'!A195 = "", VLOOKUP('Interactive Selection Sheet'!$B195, 'Master List Import'!$A$1:$P$519, 3, FALSE), ""), "")</f>
        <v>Salt Packets, 0.6gr - 3000/cs</v>
      </c>
      <c r="C324" s="76">
        <f>IF('Interactive Selection Sheet'!$T$2="", "", IF(B324="","",'Interactive Selection Sheet'!$T$2))</f>
        <v>3.5000000000000003E-2</v>
      </c>
      <c r="D324" s="70">
        <f>IF(B324 = "", "", 'Interactive Selection Sheet'!$P$2)</f>
        <v>4.4999999999999998E-2</v>
      </c>
      <c r="E324" s="70">
        <f>IF(B324="","", 'Interactive Selection Sheet'!$R$2)</f>
        <v>0.02</v>
      </c>
      <c r="F324" s="69" t="str">
        <f>_xlfn.IFNA(IF('Interactive Selection Sheet'!A195 = "", VLOOKUP('Interactive Selection Sheet'!$B195, 'Master List Import'!$A$1:$P$519, 4, FALSE), ""), "")</f>
        <v>Condiments/Seasonings</v>
      </c>
      <c r="G324" s="69" t="str">
        <f>_xlfn.IFNA(IF('Interactive Selection Sheet'!A195 = "", VLOOKUP('Interactive Selection Sheet'!$B195, 'Master List Import'!$A$1:$P$519, 5, FALSE), ""), "")</f>
        <v>Condiments/Seasonings</v>
      </c>
      <c r="H324" s="69" t="str">
        <f>_xlfn.IFNA(IF('Interactive Selection Sheet'!A195 = "", VLOOKUP('Interactive Selection Sheet'!$B195, 'Master List Import'!$A$1:$P$519, 6, FALSE), ""), "")</f>
        <v>Both</v>
      </c>
      <c r="I324" s="72">
        <f>_xlfn.IFNA(IF('Interactive Selection Sheet'!A195 = "", VLOOKUP('Interactive Selection Sheet'!$B195, 'Master List Import'!$A$1:$P$519, 7, FALSE), ""), "")</f>
        <v>2.5999999999999999E-3</v>
      </c>
      <c r="J324" s="69" t="str">
        <f>_xlfn.IFNA(IF('Interactive Selection Sheet'!A195 = "", VLOOKUP('Interactive Selection Sheet'!$B195, 'Master List Import'!$A$1:$P$519, 8, FALSE), ""), "")</f>
        <v>REI</v>
      </c>
      <c r="K324" s="69" t="str">
        <f>_xlfn.IFNA(IF('Interactive Selection Sheet'!A195 = "", VLOOKUP('Interactive Selection Sheet'!$B195, 'Master List Import'!$A$1:$P$519, 9, FALSE), ""), "")</f>
        <v>BULK23</v>
      </c>
      <c r="L324" s="69">
        <f>_xlfn.IFNA(IF('Interactive Selection Sheet'!A195 = "", VLOOKUP('Interactive Selection Sheet'!$B195, 'Master List Import'!$A$1:$P$519, 10, FALSE), ""), "")</f>
        <v>0</v>
      </c>
      <c r="M324" s="69">
        <f>_xlfn.IFNA(IF('Interactive Selection Sheet'!A195 = "", VLOOKUP('Interactive Selection Sheet'!$B195, 'Master List Import'!$A$1:$P$519, 11, FALSE), ""), "")</f>
        <v>0</v>
      </c>
      <c r="N324" s="69">
        <f>_xlfn.IFNA(IF('Interactive Selection Sheet'!A195 = "", VLOOKUP('Interactive Selection Sheet'!$B195, 'Master List Import'!$A$1:$P$519, 12, FALSE), ""), "")</f>
        <v>3000</v>
      </c>
      <c r="O324" s="69">
        <f>_xlfn.IFNA(IF('Interactive Selection Sheet'!A195 = "", VLOOKUP('Interactive Selection Sheet'!$B195, 'Master List Import'!$A$1:$P$519, 13, FALSE), ""), "")</f>
        <v>6801</v>
      </c>
      <c r="P324" s="69" t="str">
        <f>_xlfn.IFNA(IF('Interactive Selection Sheet'!A195 = "", VLOOKUP('Interactive Selection Sheet'!$B195, 'Master List Import'!$A$1:$P$519, 14, FALSE), ""), "")</f>
        <v>Salt Packet (10ct)</v>
      </c>
      <c r="Q324" s="69">
        <f>_xlfn.IFNA(IF('Interactive Selection Sheet'!A195 = "", VLOOKUP('Interactive Selection Sheet'!$B195, 'Master List Import'!$A$1:$P$519, 15, FALSE), ""), "")</f>
        <v>10</v>
      </c>
      <c r="R324" s="74">
        <f>_xlfn.IFNA(IF('Interactive Selection Sheet'!A195 = "", VLOOKUP('Interactive Selection Sheet'!$B195, 'Master List Import'!$A$1:$P$519, 16, FALSE), ""), "")</f>
        <v>0.25</v>
      </c>
    </row>
    <row r="325" spans="1:18" ht="21.75" customHeight="1" x14ac:dyDescent="0.25">
      <c r="A325" s="69">
        <f>_xlfn.IFNA(IF('Interactive Selection Sheet'!A196 = "", VLOOKUP('Interactive Selection Sheet'!$B196, 'Master List Import'!$A$1:$P$519, 2, FALSE), ""), "")</f>
        <v>6802</v>
      </c>
      <c r="B325" s="69" t="str">
        <f>_xlfn.IFNA(IF('Interactive Selection Sheet'!A196 = "", VLOOKUP('Interactive Selection Sheet'!$B196, 'Master List Import'!$A$1:$P$519, 3, FALSE), ""), "")</f>
        <v>Pepper Packets, 0.1gr - 3000/cs</v>
      </c>
      <c r="C325" s="76">
        <f>IF('Interactive Selection Sheet'!$T$2="", "", IF(B325="","",'Interactive Selection Sheet'!$T$2))</f>
        <v>3.5000000000000003E-2</v>
      </c>
      <c r="D325" s="70">
        <f>IF(B325 = "", "", 'Interactive Selection Sheet'!$P$2)</f>
        <v>4.4999999999999998E-2</v>
      </c>
      <c r="E325" s="70">
        <f>IF(B325="","", 'Interactive Selection Sheet'!$R$2)</f>
        <v>0.02</v>
      </c>
      <c r="F325" s="69" t="str">
        <f>_xlfn.IFNA(IF('Interactive Selection Sheet'!A196 = "", VLOOKUP('Interactive Selection Sheet'!$B196, 'Master List Import'!$A$1:$P$519, 4, FALSE), ""), "")</f>
        <v>Condiments/Seasonings</v>
      </c>
      <c r="G325" s="69" t="str">
        <f>_xlfn.IFNA(IF('Interactive Selection Sheet'!A196 = "", VLOOKUP('Interactive Selection Sheet'!$B196, 'Master List Import'!$A$1:$P$519, 5, FALSE), ""), "")</f>
        <v>Condiments/Seasonings</v>
      </c>
      <c r="H325" s="69" t="str">
        <f>_xlfn.IFNA(IF('Interactive Selection Sheet'!A196 = "", VLOOKUP('Interactive Selection Sheet'!$B196, 'Master List Import'!$A$1:$P$519, 6, FALSE), ""), "")</f>
        <v>Both</v>
      </c>
      <c r="I325" s="72">
        <f>_xlfn.IFNA(IF('Interactive Selection Sheet'!A196 = "", VLOOKUP('Interactive Selection Sheet'!$B196, 'Master List Import'!$A$1:$P$519, 7, FALSE), ""), "")</f>
        <v>4.4999999999999997E-3</v>
      </c>
      <c r="J325" s="69" t="str">
        <f>_xlfn.IFNA(IF('Interactive Selection Sheet'!A196 = "", VLOOKUP('Interactive Selection Sheet'!$B196, 'Master List Import'!$A$1:$P$519, 8, FALSE), ""), "")</f>
        <v>REI</v>
      </c>
      <c r="K325" s="69" t="str">
        <f>_xlfn.IFNA(IF('Interactive Selection Sheet'!A196 = "", VLOOKUP('Interactive Selection Sheet'!$B196, 'Master List Import'!$A$1:$P$519, 9, FALSE), ""), "")</f>
        <v>BULK24</v>
      </c>
      <c r="L325" s="69">
        <f>_xlfn.IFNA(IF('Interactive Selection Sheet'!A196 = "", VLOOKUP('Interactive Selection Sheet'!$B196, 'Master List Import'!$A$1:$P$519, 10, FALSE), ""), "")</f>
        <v>0</v>
      </c>
      <c r="M325" s="69">
        <f>_xlfn.IFNA(IF('Interactive Selection Sheet'!A196 = "", VLOOKUP('Interactive Selection Sheet'!$B196, 'Master List Import'!$A$1:$P$519, 11, FALSE), ""), "")</f>
        <v>0</v>
      </c>
      <c r="N325" s="69">
        <f>_xlfn.IFNA(IF('Interactive Selection Sheet'!A196 = "", VLOOKUP('Interactive Selection Sheet'!$B196, 'Master List Import'!$A$1:$P$519, 12, FALSE), ""), "")</f>
        <v>3000</v>
      </c>
      <c r="O325" s="69">
        <f>_xlfn.IFNA(IF('Interactive Selection Sheet'!A196 = "", VLOOKUP('Interactive Selection Sheet'!$B196, 'Master List Import'!$A$1:$P$519, 13, FALSE), ""), "")</f>
        <v>6802</v>
      </c>
      <c r="P325" s="69" t="str">
        <f>_xlfn.IFNA(IF('Interactive Selection Sheet'!A196 = "", VLOOKUP('Interactive Selection Sheet'!$B196, 'Master List Import'!$A$1:$P$519, 14, FALSE), ""), "")</f>
        <v>Pepper Packet (10ct)</v>
      </c>
      <c r="Q325" s="69">
        <f>_xlfn.IFNA(IF('Interactive Selection Sheet'!A196 = "", VLOOKUP('Interactive Selection Sheet'!$B196, 'Master List Import'!$A$1:$P$519, 15, FALSE), ""), "")</f>
        <v>10</v>
      </c>
      <c r="R325" s="74">
        <f>_xlfn.IFNA(IF('Interactive Selection Sheet'!A196 = "", VLOOKUP('Interactive Selection Sheet'!$B196, 'Master List Import'!$A$1:$P$519, 16, FALSE), ""), "")</f>
        <v>0.25</v>
      </c>
    </row>
    <row r="326" spans="1:18" ht="21.75" customHeight="1" x14ac:dyDescent="0.25">
      <c r="A326" s="69">
        <f>_xlfn.IFNA(IF('Interactive Selection Sheet'!A197 = "", VLOOKUP('Interactive Selection Sheet'!$B197, 'Master List Import'!$A$1:$P$519, 2, FALSE), ""), "")</f>
        <v>6810</v>
      </c>
      <c r="B326" s="69" t="str">
        <f>_xlfn.IFNA(IF('Interactive Selection Sheet'!A197 = "", VLOOKUP('Interactive Selection Sheet'!$B197, 'Master List Import'!$A$1:$P$519, 3, FALSE), ""), "")</f>
        <v>Better Valu Garlic Powder, 1.75oz shaker - 12/cs</v>
      </c>
      <c r="C326" s="76">
        <f>IF('Interactive Selection Sheet'!$T$2="", "", IF(B326="","",'Interactive Selection Sheet'!$T$2))</f>
        <v>3.5000000000000003E-2</v>
      </c>
      <c r="D326" s="70">
        <f>IF(B326 = "", "", 'Interactive Selection Sheet'!$P$2)</f>
        <v>4.4999999999999998E-2</v>
      </c>
      <c r="E326" s="70">
        <f>IF(B326="","", 'Interactive Selection Sheet'!$R$2)</f>
        <v>0.02</v>
      </c>
      <c r="F326" s="69" t="str">
        <f>_xlfn.IFNA(IF('Interactive Selection Sheet'!A197 = "", VLOOKUP('Interactive Selection Sheet'!$B197, 'Master List Import'!$A$1:$P$519, 4, FALSE), ""), "")</f>
        <v>Condiments/Seasonings</v>
      </c>
      <c r="G326" s="69" t="str">
        <f>_xlfn.IFNA(IF('Interactive Selection Sheet'!A197 = "", VLOOKUP('Interactive Selection Sheet'!$B197, 'Master List Import'!$A$1:$P$519, 5, FALSE), ""), "")</f>
        <v>Condiments/Seasonings</v>
      </c>
      <c r="H326" s="69" t="str">
        <f>_xlfn.IFNA(IF('Interactive Selection Sheet'!A197 = "", VLOOKUP('Interactive Selection Sheet'!$B197, 'Master List Import'!$A$1:$P$519, 6, FALSE), ""), "")</f>
        <v>Both</v>
      </c>
      <c r="I326" s="72">
        <f>_xlfn.IFNA(IF('Interactive Selection Sheet'!A197 = "", VLOOKUP('Interactive Selection Sheet'!$B197, 'Master List Import'!$A$1:$P$519, 7, FALSE), ""), "")</f>
        <v>0.89</v>
      </c>
      <c r="J326" s="69" t="str">
        <f>_xlfn.IFNA(IF('Interactive Selection Sheet'!A197 = "", VLOOKUP('Interactive Selection Sheet'!$B197, 'Master List Import'!$A$1:$P$519, 8, FALSE), ""), "")</f>
        <v>REI</v>
      </c>
      <c r="K326" s="69" t="str">
        <f>_xlfn.IFNA(IF('Interactive Selection Sheet'!A197 = "", VLOOKUP('Interactive Selection Sheet'!$B197, 'Master List Import'!$A$1:$P$519, 9, FALSE), ""), "")</f>
        <v>260277</v>
      </c>
      <c r="L326" s="69">
        <f>_xlfn.IFNA(IF('Interactive Selection Sheet'!A197 = "", VLOOKUP('Interactive Selection Sheet'!$B197, 'Master List Import'!$A$1:$P$519, 10, FALSE), ""), "")</f>
        <v>0</v>
      </c>
      <c r="M326" s="69">
        <f>_xlfn.IFNA(IF('Interactive Selection Sheet'!A197 = "", VLOOKUP('Interactive Selection Sheet'!$B197, 'Master List Import'!$A$1:$P$519, 11, FALSE), ""), "")</f>
        <v>0</v>
      </c>
      <c r="N326" s="69">
        <f>_xlfn.IFNA(IF('Interactive Selection Sheet'!A197 = "", VLOOKUP('Interactive Selection Sheet'!$B197, 'Master List Import'!$A$1:$P$519, 12, FALSE), ""), "")</f>
        <v>12</v>
      </c>
      <c r="O326" s="69">
        <f>_xlfn.IFNA(IF('Interactive Selection Sheet'!A197 = "", VLOOKUP('Interactive Selection Sheet'!$B197, 'Master List Import'!$A$1:$P$519, 13, FALSE), ""), "")</f>
        <v>6810</v>
      </c>
      <c r="P326" s="69" t="str">
        <f>_xlfn.IFNA(IF('Interactive Selection Sheet'!A197 = "", VLOOKUP('Interactive Selection Sheet'!$B197, 'Master List Import'!$A$1:$P$519, 14, FALSE), ""), "")</f>
        <v>Garlic Powder Shaker</v>
      </c>
      <c r="Q326" s="69">
        <f>_xlfn.IFNA(IF('Interactive Selection Sheet'!A197 = "", VLOOKUP('Interactive Selection Sheet'!$B197, 'Master List Import'!$A$1:$P$519, 15, FALSE), ""), "")</f>
        <v>1</v>
      </c>
      <c r="R326" s="74">
        <f>_xlfn.IFNA(IF('Interactive Selection Sheet'!A197 = "", VLOOKUP('Interactive Selection Sheet'!$B197, 'Master List Import'!$A$1:$P$519, 16, FALSE), ""), "")</f>
        <v>2.75</v>
      </c>
    </row>
    <row r="327" spans="1:18" ht="21.75" customHeight="1" x14ac:dyDescent="0.25">
      <c r="A327" s="69">
        <f>_xlfn.IFNA(IF('Interactive Selection Sheet'!A198 = "", VLOOKUP('Interactive Selection Sheet'!$B198, 'Master List Import'!$A$1:$P$519, 2, FALSE), ""), "")</f>
        <v>6811</v>
      </c>
      <c r="B327" s="69" t="str">
        <f>_xlfn.IFNA(IF('Interactive Selection Sheet'!A198 = "", VLOOKUP('Interactive Selection Sheet'!$B198, 'Master List Import'!$A$1:$P$519, 3, FALSE), ""), "")</f>
        <v>Better Valu Minced Onion, 1.75oz shaker - 12/cs</v>
      </c>
      <c r="C327" s="76">
        <f>IF('Interactive Selection Sheet'!$T$2="", "", IF(B327="","",'Interactive Selection Sheet'!$T$2))</f>
        <v>3.5000000000000003E-2</v>
      </c>
      <c r="D327" s="70">
        <f>IF(B327 = "", "", 'Interactive Selection Sheet'!$P$2)</f>
        <v>4.4999999999999998E-2</v>
      </c>
      <c r="E327" s="70">
        <f>IF(B327="","", 'Interactive Selection Sheet'!$R$2)</f>
        <v>0.02</v>
      </c>
      <c r="F327" s="69" t="str">
        <f>_xlfn.IFNA(IF('Interactive Selection Sheet'!A198 = "", VLOOKUP('Interactive Selection Sheet'!$B198, 'Master List Import'!$A$1:$P$519, 4, FALSE), ""), "")</f>
        <v>Condiments/Seasonings</v>
      </c>
      <c r="G327" s="69" t="str">
        <f>_xlfn.IFNA(IF('Interactive Selection Sheet'!A198 = "", VLOOKUP('Interactive Selection Sheet'!$B198, 'Master List Import'!$A$1:$P$519, 5, FALSE), ""), "")</f>
        <v>Condiments/Seasonings</v>
      </c>
      <c r="H327" s="69" t="str">
        <f>_xlfn.IFNA(IF('Interactive Selection Sheet'!A198 = "", VLOOKUP('Interactive Selection Sheet'!$B198, 'Master List Import'!$A$1:$P$519, 6, FALSE), ""), "")</f>
        <v>Both</v>
      </c>
      <c r="I327" s="72">
        <f>_xlfn.IFNA(IF('Interactive Selection Sheet'!A198 = "", VLOOKUP('Interactive Selection Sheet'!$B198, 'Master List Import'!$A$1:$P$519, 7, FALSE), ""), "")</f>
        <v>0.56999999999999995</v>
      </c>
      <c r="J327" s="69" t="str">
        <f>_xlfn.IFNA(IF('Interactive Selection Sheet'!A198 = "", VLOOKUP('Interactive Selection Sheet'!$B198, 'Master List Import'!$A$1:$P$519, 8, FALSE), ""), "")</f>
        <v>REI</v>
      </c>
      <c r="K327" s="69" t="str">
        <f>_xlfn.IFNA(IF('Interactive Selection Sheet'!A198 = "", VLOOKUP('Interactive Selection Sheet'!$B198, 'Master List Import'!$A$1:$P$519, 9, FALSE), ""), "")</f>
        <v>284050</v>
      </c>
      <c r="L327" s="69">
        <f>_xlfn.IFNA(IF('Interactive Selection Sheet'!A198 = "", VLOOKUP('Interactive Selection Sheet'!$B198, 'Master List Import'!$A$1:$P$519, 10, FALSE), ""), "")</f>
        <v>0</v>
      </c>
      <c r="M327" s="69">
        <f>_xlfn.IFNA(IF('Interactive Selection Sheet'!A198 = "", VLOOKUP('Interactive Selection Sheet'!$B198, 'Master List Import'!$A$1:$P$519, 11, FALSE), ""), "")</f>
        <v>0</v>
      </c>
      <c r="N327" s="69">
        <f>_xlfn.IFNA(IF('Interactive Selection Sheet'!A198 = "", VLOOKUP('Interactive Selection Sheet'!$B198, 'Master List Import'!$A$1:$P$519, 12, FALSE), ""), "")</f>
        <v>12</v>
      </c>
      <c r="O327" s="69">
        <f>_xlfn.IFNA(IF('Interactive Selection Sheet'!A198 = "", VLOOKUP('Interactive Selection Sheet'!$B198, 'Master List Import'!$A$1:$P$519, 13, FALSE), ""), "")</f>
        <v>6811</v>
      </c>
      <c r="P327" s="69" t="str">
        <f>_xlfn.IFNA(IF('Interactive Selection Sheet'!A198 = "", VLOOKUP('Interactive Selection Sheet'!$B198, 'Master List Import'!$A$1:$P$519, 14, FALSE), ""), "")</f>
        <v>Minced Onions Shaker</v>
      </c>
      <c r="Q327" s="69">
        <f>_xlfn.IFNA(IF('Interactive Selection Sheet'!A198 = "", VLOOKUP('Interactive Selection Sheet'!$B198, 'Master List Import'!$A$1:$P$519, 15, FALSE), ""), "")</f>
        <v>1</v>
      </c>
      <c r="R327" s="74">
        <f>_xlfn.IFNA(IF('Interactive Selection Sheet'!A198 = "", VLOOKUP('Interactive Selection Sheet'!$B198, 'Master List Import'!$A$1:$P$519, 16, FALSE), ""), "")</f>
        <v>1.8</v>
      </c>
    </row>
    <row r="328" spans="1:18" ht="21.75" customHeight="1" x14ac:dyDescent="0.25">
      <c r="A328" s="69">
        <f>_xlfn.IFNA(IF('Interactive Selection Sheet'!A199 = "", VLOOKUP('Interactive Selection Sheet'!$B199, 'Master List Import'!$A$1:$P$519, 2, FALSE), ""), "")</f>
        <v>6812</v>
      </c>
      <c r="B328" s="69" t="str">
        <f>_xlfn.IFNA(IF('Interactive Selection Sheet'!A199 = "", VLOOKUP('Interactive Selection Sheet'!$B199, 'Master List Import'!$A$1:$P$519, 3, FALSE), ""), "")</f>
        <v>Better Valu Seasoned Salt, 5.25oz shaker - 12/cs</v>
      </c>
      <c r="C328" s="76">
        <f>IF('Interactive Selection Sheet'!$T$2="", "", IF(B328="","",'Interactive Selection Sheet'!$T$2))</f>
        <v>3.5000000000000003E-2</v>
      </c>
      <c r="D328" s="70">
        <f>IF(B328 = "", "", 'Interactive Selection Sheet'!$P$2)</f>
        <v>4.4999999999999998E-2</v>
      </c>
      <c r="E328" s="70">
        <f>IF(B328="","", 'Interactive Selection Sheet'!$R$2)</f>
        <v>0.02</v>
      </c>
      <c r="F328" s="69" t="str">
        <f>_xlfn.IFNA(IF('Interactive Selection Sheet'!A199 = "", VLOOKUP('Interactive Selection Sheet'!$B199, 'Master List Import'!$A$1:$P$519, 4, FALSE), ""), "")</f>
        <v>Condiments/Seasonings</v>
      </c>
      <c r="G328" s="69" t="str">
        <f>_xlfn.IFNA(IF('Interactive Selection Sheet'!A199 = "", VLOOKUP('Interactive Selection Sheet'!$B199, 'Master List Import'!$A$1:$P$519, 5, FALSE), ""), "")</f>
        <v>Condiments/Seasonings</v>
      </c>
      <c r="H328" s="69" t="str">
        <f>_xlfn.IFNA(IF('Interactive Selection Sheet'!A199 = "", VLOOKUP('Interactive Selection Sheet'!$B199, 'Master List Import'!$A$1:$P$519, 6, FALSE), ""), "")</f>
        <v>Both</v>
      </c>
      <c r="I328" s="72">
        <f>_xlfn.IFNA(IF('Interactive Selection Sheet'!A199 = "", VLOOKUP('Interactive Selection Sheet'!$B199, 'Master List Import'!$A$1:$P$519, 7, FALSE), ""), "")</f>
        <v>0.59409999999999996</v>
      </c>
      <c r="J328" s="69" t="str">
        <f>_xlfn.IFNA(IF('Interactive Selection Sheet'!A199 = "", VLOOKUP('Interactive Selection Sheet'!$B199, 'Master List Import'!$A$1:$P$519, 8, FALSE), ""), "")</f>
        <v>REI</v>
      </c>
      <c r="K328" s="69" t="str">
        <f>_xlfn.IFNA(IF('Interactive Selection Sheet'!A199 = "", VLOOKUP('Interactive Selection Sheet'!$B199, 'Master List Import'!$A$1:$P$519, 9, FALSE), ""), "")</f>
        <v>284117</v>
      </c>
      <c r="L328" s="69">
        <f>_xlfn.IFNA(IF('Interactive Selection Sheet'!A199 = "", VLOOKUP('Interactive Selection Sheet'!$B199, 'Master List Import'!$A$1:$P$519, 10, FALSE), ""), "")</f>
        <v>0</v>
      </c>
      <c r="M328" s="69">
        <f>_xlfn.IFNA(IF('Interactive Selection Sheet'!A199 = "", VLOOKUP('Interactive Selection Sheet'!$B199, 'Master List Import'!$A$1:$P$519, 11, FALSE), ""), "")</f>
        <v>0</v>
      </c>
      <c r="N328" s="69">
        <f>_xlfn.IFNA(IF('Interactive Selection Sheet'!A199 = "", VLOOKUP('Interactive Selection Sheet'!$B199, 'Master List Import'!$A$1:$P$519, 12, FALSE), ""), "")</f>
        <v>12</v>
      </c>
      <c r="O328" s="69">
        <f>_xlfn.IFNA(IF('Interactive Selection Sheet'!A199 = "", VLOOKUP('Interactive Selection Sheet'!$B199, 'Master List Import'!$A$1:$P$519, 13, FALSE), ""), "")</f>
        <v>6812</v>
      </c>
      <c r="P328" s="69" t="str">
        <f>_xlfn.IFNA(IF('Interactive Selection Sheet'!A199 = "", VLOOKUP('Interactive Selection Sheet'!$B199, 'Master List Import'!$A$1:$P$519, 14, FALSE), ""), "")</f>
        <v>Seasoning Salt Shaker</v>
      </c>
      <c r="Q328" s="69">
        <f>_xlfn.IFNA(IF('Interactive Selection Sheet'!A199 = "", VLOOKUP('Interactive Selection Sheet'!$B199, 'Master List Import'!$A$1:$P$519, 15, FALSE), ""), "")</f>
        <v>1</v>
      </c>
      <c r="R328" s="74">
        <f>_xlfn.IFNA(IF('Interactive Selection Sheet'!A199 = "", VLOOKUP('Interactive Selection Sheet'!$B199, 'Master List Import'!$A$1:$P$519, 16, FALSE), ""), "")</f>
        <v>1.8</v>
      </c>
    </row>
    <row r="329" spans="1:18" ht="21.75" customHeight="1" x14ac:dyDescent="0.25">
      <c r="A329" s="69">
        <f>_xlfn.IFNA(IF('Interactive Selection Sheet'!A200 = "", VLOOKUP('Interactive Selection Sheet'!$B200, 'Master List Import'!$A$1:$P$519, 2, FALSE), ""), "")</f>
        <v>6820</v>
      </c>
      <c r="B329" s="69" t="str">
        <f>_xlfn.IFNA(IF('Interactive Selection Sheet'!A200 = "", VLOOKUP('Interactive Selection Sheet'!$B200, 'Master List Import'!$A$1:$P$519, 3, FALSE), ""), "")</f>
        <v>Louisiana Supreme Hot Sauce, 5oz - 24/cs</v>
      </c>
      <c r="C329" s="76">
        <f>IF('Interactive Selection Sheet'!$T$2="", "", IF(B329="","",'Interactive Selection Sheet'!$T$2))</f>
        <v>3.5000000000000003E-2</v>
      </c>
      <c r="D329" s="70">
        <f>IF(B329 = "", "", 'Interactive Selection Sheet'!$P$2)</f>
        <v>4.4999999999999998E-2</v>
      </c>
      <c r="E329" s="70">
        <f>IF(B329="","", 'Interactive Selection Sheet'!$R$2)</f>
        <v>0.02</v>
      </c>
      <c r="F329" s="69" t="str">
        <f>_xlfn.IFNA(IF('Interactive Selection Sheet'!A200 = "", VLOOKUP('Interactive Selection Sheet'!$B200, 'Master List Import'!$A$1:$P$519, 4, FALSE), ""), "")</f>
        <v>Condiments/Seasonings</v>
      </c>
      <c r="G329" s="69" t="str">
        <f>_xlfn.IFNA(IF('Interactive Selection Sheet'!A200 = "", VLOOKUP('Interactive Selection Sheet'!$B200, 'Master List Import'!$A$1:$P$519, 5, FALSE), ""), "")</f>
        <v>Condiments/Seasonings</v>
      </c>
      <c r="H329" s="69" t="str">
        <f>_xlfn.IFNA(IF('Interactive Selection Sheet'!A200 = "", VLOOKUP('Interactive Selection Sheet'!$B200, 'Master List Import'!$A$1:$P$519, 6, FALSE), ""), "")</f>
        <v>Both</v>
      </c>
      <c r="I329" s="72">
        <f>_xlfn.IFNA(IF('Interactive Selection Sheet'!A200 = "", VLOOKUP('Interactive Selection Sheet'!$B200, 'Master List Import'!$A$1:$P$519, 7, FALSE), ""), "")</f>
        <v>0.78</v>
      </c>
      <c r="J329" s="69" t="str">
        <f>_xlfn.IFNA(IF('Interactive Selection Sheet'!A200 = "", VLOOKUP('Interactive Selection Sheet'!$B200, 'Master List Import'!$A$1:$P$519, 8, FALSE), ""), "")</f>
        <v>REI</v>
      </c>
      <c r="K329" s="69" t="str">
        <f>_xlfn.IFNA(IF('Interactive Selection Sheet'!A200 = "", VLOOKUP('Interactive Selection Sheet'!$B200, 'Master List Import'!$A$1:$P$519, 9, FALSE), ""), "")</f>
        <v>320240</v>
      </c>
      <c r="L329" s="69">
        <f>_xlfn.IFNA(IF('Interactive Selection Sheet'!A200 = "", VLOOKUP('Interactive Selection Sheet'!$B200, 'Master List Import'!$A$1:$P$519, 10, FALSE), ""), "")</f>
        <v>0</v>
      </c>
      <c r="M329" s="69">
        <f>_xlfn.IFNA(IF('Interactive Selection Sheet'!A200 = "", VLOOKUP('Interactive Selection Sheet'!$B200, 'Master List Import'!$A$1:$P$519, 11, FALSE), ""), "")</f>
        <v>0</v>
      </c>
      <c r="N329" s="69">
        <f>_xlfn.IFNA(IF('Interactive Selection Sheet'!A200 = "", VLOOKUP('Interactive Selection Sheet'!$B200, 'Master List Import'!$A$1:$P$519, 12, FALSE), ""), "")</f>
        <v>24</v>
      </c>
      <c r="O329" s="69">
        <f>_xlfn.IFNA(IF('Interactive Selection Sheet'!A200 = "", VLOOKUP('Interactive Selection Sheet'!$B200, 'Master List Import'!$A$1:$P$519, 13, FALSE), ""), "")</f>
        <v>6820</v>
      </c>
      <c r="P329" s="69" t="str">
        <f>_xlfn.IFNA(IF('Interactive Selection Sheet'!A200 = "", VLOOKUP('Interactive Selection Sheet'!$B200, 'Master List Import'!$A$1:$P$519, 14, FALSE), ""), "")</f>
        <v>Louisiana Supreme Hot Sauce (5oz)</v>
      </c>
      <c r="Q329" s="69">
        <f>_xlfn.IFNA(IF('Interactive Selection Sheet'!A200 = "", VLOOKUP('Interactive Selection Sheet'!$B200, 'Master List Import'!$A$1:$P$519, 15, FALSE), ""), "")</f>
        <v>1</v>
      </c>
      <c r="R329" s="74">
        <f>_xlfn.IFNA(IF('Interactive Selection Sheet'!A200 = "", VLOOKUP('Interactive Selection Sheet'!$B200, 'Master List Import'!$A$1:$P$519, 16, FALSE), ""), "")</f>
        <v>3</v>
      </c>
    </row>
    <row r="330" spans="1:18" ht="21.75" customHeight="1" x14ac:dyDescent="0.25">
      <c r="A330" s="69">
        <f>_xlfn.IFNA(IF('Interactive Selection Sheet'!F177= "", VLOOKUP('Interactive Selection Sheet'!$G177, 'Master List Import'!$A$1:$P$519, 2, FALSE), ""), "")</f>
        <v>7000</v>
      </c>
      <c r="B330" s="69" t="str">
        <f>_xlfn.IFNA(IF('Interactive Selection Sheet'!F177= "", VLOOKUP('Interactive Selection Sheet'!$G177, 'Master List Import'!$A$1:$P$519, 3, FALSE), ""), "")</f>
        <v>Aunt Dot's Hot Chili w/Beans, 7.5oz pouch - 24/cs</v>
      </c>
      <c r="C330" s="76">
        <f>IF('Interactive Selection Sheet'!$T$2="", "", IF(B330="","",'Interactive Selection Sheet'!$T$2))</f>
        <v>3.5000000000000003E-2</v>
      </c>
      <c r="D330" s="70">
        <f>IF(B330 = "", "", 'Interactive Selection Sheet'!$P$2)</f>
        <v>4.4999999999999998E-2</v>
      </c>
      <c r="E330" s="70">
        <f>IF(B330="","", 'Interactive Selection Sheet'!$R$2)</f>
        <v>0.02</v>
      </c>
      <c r="F330" s="69" t="str">
        <f>_xlfn.IFNA(IF('Interactive Selection Sheet'!F177= "", VLOOKUP('Interactive Selection Sheet'!$G177, 'Master List Import'!$A$1:$P$519, 4, FALSE), ""), "")</f>
        <v>Grocery</v>
      </c>
      <c r="G330" s="69" t="str">
        <f>_xlfn.IFNA(IF('Interactive Selection Sheet'!F177= "", VLOOKUP('Interactive Selection Sheet'!$G177, 'Master List Import'!$A$1:$P$519, 5, FALSE), ""), "")</f>
        <v>Grocery</v>
      </c>
      <c r="H330" s="69" t="str">
        <f>_xlfn.IFNA(IF('Interactive Selection Sheet'!F177= "", VLOOKUP('Interactive Selection Sheet'!$G177, 'Master List Import'!$A$1:$P$519, 6, FALSE), ""), "")</f>
        <v>Both</v>
      </c>
      <c r="I330" s="72">
        <f>_xlfn.IFNA(IF('Interactive Selection Sheet'!F177= "", VLOOKUP('Interactive Selection Sheet'!$G177, 'Master List Import'!$A$1:$P$519, 7, FALSE), ""), "")</f>
        <v>1.28</v>
      </c>
      <c r="J330" s="69" t="str">
        <f>_xlfn.IFNA(IF('Interactive Selection Sheet'!F177= "", VLOOKUP('Interactive Selection Sheet'!$G177, 'Master List Import'!$A$1:$P$519, 8, FALSE), ""), "")</f>
        <v>REI</v>
      </c>
      <c r="K330" s="69" t="str">
        <f>_xlfn.IFNA(IF('Interactive Selection Sheet'!F177= "", VLOOKUP('Interactive Selection Sheet'!$G177, 'Master List Import'!$A$1:$P$519, 9, FALSE), ""), "")</f>
        <v>94387</v>
      </c>
      <c r="L330" s="69">
        <f>_xlfn.IFNA(IF('Interactive Selection Sheet'!F177= "", VLOOKUP('Interactive Selection Sheet'!$G177, 'Master List Import'!$A$1:$P$519, 10, FALSE), ""), "")</f>
        <v>0</v>
      </c>
      <c r="M330" s="69">
        <f>_xlfn.IFNA(IF('Interactive Selection Sheet'!F177= "", VLOOKUP('Interactive Selection Sheet'!$G177, 'Master List Import'!$A$1:$P$519, 11, FALSE), ""), "")</f>
        <v>0</v>
      </c>
      <c r="N330" s="69">
        <f>_xlfn.IFNA(IF('Interactive Selection Sheet'!F177= "", VLOOKUP('Interactive Selection Sheet'!$G177, 'Master List Import'!$A$1:$P$519, 12, FALSE), ""), "")</f>
        <v>24</v>
      </c>
      <c r="O330" s="69">
        <f>_xlfn.IFNA(IF('Interactive Selection Sheet'!F177= "", VLOOKUP('Interactive Selection Sheet'!$G177, 'Master List Import'!$A$1:$P$519, 13, FALSE), ""), "")</f>
        <v>7000</v>
      </c>
      <c r="P330" s="69" t="str">
        <f>_xlfn.IFNA(IF('Interactive Selection Sheet'!F177= "", VLOOKUP('Interactive Selection Sheet'!$G177, 'Master List Import'!$A$1:$P$519, 14, FALSE), ""), "")</f>
        <v>Hot Chili w/Beans</v>
      </c>
      <c r="Q330" s="69">
        <f>_xlfn.IFNA(IF('Interactive Selection Sheet'!F177= "", VLOOKUP('Interactive Selection Sheet'!$G177, 'Master List Import'!$A$1:$P$519, 15, FALSE), ""), "")</f>
        <v>1</v>
      </c>
      <c r="R330" s="74">
        <f>_xlfn.IFNA(IF('Interactive Selection Sheet'!F177= "", VLOOKUP('Interactive Selection Sheet'!$G177, 'Master List Import'!$A$1:$P$519, 16, FALSE), ""), "")</f>
        <v>4.2</v>
      </c>
    </row>
    <row r="331" spans="1:18" ht="21.75" customHeight="1" x14ac:dyDescent="0.25">
      <c r="A331" s="69">
        <f>_xlfn.IFNA(IF('Interactive Selection Sheet'!F178= "", VLOOKUP('Interactive Selection Sheet'!$G178, 'Master List Import'!$A$1:$P$519, 2, FALSE), ""), "")</f>
        <v>7002</v>
      </c>
      <c r="B331" s="69" t="str">
        <f>_xlfn.IFNA(IF('Interactive Selection Sheet'!F178= "", VLOOKUP('Interactive Selection Sheet'!$G178, 'Master List Import'!$A$1:$P$519, 3, FALSE), ""), "")</f>
        <v>Aunt Dot's Chili, No Beans, 7.5oz pouch - 24/cs</v>
      </c>
      <c r="C331" s="76">
        <f>IF('Interactive Selection Sheet'!$T$2="", "", IF(B331="","",'Interactive Selection Sheet'!$T$2))</f>
        <v>3.5000000000000003E-2</v>
      </c>
      <c r="D331" s="70">
        <f>IF(B331 = "", "", 'Interactive Selection Sheet'!$P$2)</f>
        <v>4.4999999999999998E-2</v>
      </c>
      <c r="E331" s="70">
        <f>IF(B331="","", 'Interactive Selection Sheet'!$R$2)</f>
        <v>0.02</v>
      </c>
      <c r="F331" s="69" t="str">
        <f>_xlfn.IFNA(IF('Interactive Selection Sheet'!F178= "", VLOOKUP('Interactive Selection Sheet'!$G178, 'Master List Import'!$A$1:$P$519, 4, FALSE), ""), "")</f>
        <v>Grocery</v>
      </c>
      <c r="G331" s="69" t="str">
        <f>_xlfn.IFNA(IF('Interactive Selection Sheet'!F178= "", VLOOKUP('Interactive Selection Sheet'!$G178, 'Master List Import'!$A$1:$P$519, 5, FALSE), ""), "")</f>
        <v>Grocery</v>
      </c>
      <c r="H331" s="69" t="str">
        <f>_xlfn.IFNA(IF('Interactive Selection Sheet'!F178= "", VLOOKUP('Interactive Selection Sheet'!$G178, 'Master List Import'!$A$1:$P$519, 6, FALSE), ""), "")</f>
        <v>Both</v>
      </c>
      <c r="I331" s="72">
        <f>_xlfn.IFNA(IF('Interactive Selection Sheet'!F178= "", VLOOKUP('Interactive Selection Sheet'!$G178, 'Master List Import'!$A$1:$P$519, 7, FALSE), ""), "")</f>
        <v>1.3919999999999999</v>
      </c>
      <c r="J331" s="69" t="str">
        <f>_xlfn.IFNA(IF('Interactive Selection Sheet'!F178= "", VLOOKUP('Interactive Selection Sheet'!$G178, 'Master List Import'!$A$1:$P$519, 8, FALSE), ""), "")</f>
        <v>REI</v>
      </c>
      <c r="K331" s="69" t="str">
        <f>_xlfn.IFNA(IF('Interactive Selection Sheet'!F178= "", VLOOKUP('Interactive Selection Sheet'!$G178, 'Master List Import'!$A$1:$P$519, 9, FALSE), ""), "")</f>
        <v>94384</v>
      </c>
      <c r="L331" s="69">
        <f>_xlfn.IFNA(IF('Interactive Selection Sheet'!F178= "", VLOOKUP('Interactive Selection Sheet'!$G178, 'Master List Import'!$A$1:$P$519, 10, FALSE), ""), "")</f>
        <v>0</v>
      </c>
      <c r="M331" s="69">
        <f>_xlfn.IFNA(IF('Interactive Selection Sheet'!F178= "", VLOOKUP('Interactive Selection Sheet'!$G178, 'Master List Import'!$A$1:$P$519, 11, FALSE), ""), "")</f>
        <v>0</v>
      </c>
      <c r="N331" s="69">
        <f>_xlfn.IFNA(IF('Interactive Selection Sheet'!F178= "", VLOOKUP('Interactive Selection Sheet'!$G178, 'Master List Import'!$A$1:$P$519, 12, FALSE), ""), "")</f>
        <v>24</v>
      </c>
      <c r="O331" s="69">
        <f>_xlfn.IFNA(IF('Interactive Selection Sheet'!F178= "", VLOOKUP('Interactive Selection Sheet'!$G178, 'Master List Import'!$A$1:$P$519, 13, FALSE), ""), "")</f>
        <v>7002</v>
      </c>
      <c r="P331" s="69" t="str">
        <f>_xlfn.IFNA(IF('Interactive Selection Sheet'!F178= "", VLOOKUP('Interactive Selection Sheet'!$G178, 'Master List Import'!$A$1:$P$519, 14, FALSE), ""), "")</f>
        <v>Chili, No Beans</v>
      </c>
      <c r="Q331" s="69">
        <f>_xlfn.IFNA(IF('Interactive Selection Sheet'!F178= "", VLOOKUP('Interactive Selection Sheet'!$G178, 'Master List Import'!$A$1:$P$519, 15, FALSE), ""), "")</f>
        <v>1</v>
      </c>
      <c r="R331" s="74">
        <f>_xlfn.IFNA(IF('Interactive Selection Sheet'!F178= "", VLOOKUP('Interactive Selection Sheet'!$G178, 'Master List Import'!$A$1:$P$519, 16, FALSE), ""), "")</f>
        <v>4.2</v>
      </c>
    </row>
    <row r="332" spans="1:18" ht="21.75" customHeight="1" x14ac:dyDescent="0.25">
      <c r="A332" s="69">
        <f>_xlfn.IFNA(IF('Interactive Selection Sheet'!F179= "", VLOOKUP('Interactive Selection Sheet'!$G179, 'Master List Import'!$A$1:$P$519, 2, FALSE), ""), "")</f>
        <v>7003</v>
      </c>
      <c r="B332" s="69" t="str">
        <f>_xlfn.IFNA(IF('Interactive Selection Sheet'!F179= "", VLOOKUP('Interactive Selection Sheet'!$G179, 'Master List Import'!$A$1:$P$519, 3, FALSE), ""), "")</f>
        <v>Aunt Dot's Beef Stew, 7.5oz pouch - 24/cs</v>
      </c>
      <c r="C332" s="76">
        <f>IF('Interactive Selection Sheet'!$T$2="", "", IF(B332="","",'Interactive Selection Sheet'!$T$2))</f>
        <v>3.5000000000000003E-2</v>
      </c>
      <c r="D332" s="70">
        <f>IF(B332 = "", "", 'Interactive Selection Sheet'!$P$2)</f>
        <v>4.4999999999999998E-2</v>
      </c>
      <c r="E332" s="70">
        <f>IF(B332="","", 'Interactive Selection Sheet'!$R$2)</f>
        <v>0.02</v>
      </c>
      <c r="F332" s="69" t="str">
        <f>_xlfn.IFNA(IF('Interactive Selection Sheet'!F179= "", VLOOKUP('Interactive Selection Sheet'!$G179, 'Master List Import'!$A$1:$P$519, 4, FALSE), ""), "")</f>
        <v>Grocery</v>
      </c>
      <c r="G332" s="69" t="str">
        <f>_xlfn.IFNA(IF('Interactive Selection Sheet'!F179= "", VLOOKUP('Interactive Selection Sheet'!$G179, 'Master List Import'!$A$1:$P$519, 5, FALSE), ""), "")</f>
        <v>Grocery</v>
      </c>
      <c r="H332" s="69" t="str">
        <f>_xlfn.IFNA(IF('Interactive Selection Sheet'!F179= "", VLOOKUP('Interactive Selection Sheet'!$G179, 'Master List Import'!$A$1:$P$519, 6, FALSE), ""), "")</f>
        <v>Both</v>
      </c>
      <c r="I332" s="72">
        <f>_xlfn.IFNA(IF('Interactive Selection Sheet'!F179= "", VLOOKUP('Interactive Selection Sheet'!$G179, 'Master List Import'!$A$1:$P$519, 7, FALSE), ""), "")</f>
        <v>1.4216</v>
      </c>
      <c r="J332" s="69" t="str">
        <f>_xlfn.IFNA(IF('Interactive Selection Sheet'!F179= "", VLOOKUP('Interactive Selection Sheet'!$G179, 'Master List Import'!$A$1:$P$519, 8, FALSE), ""), "")</f>
        <v>REI</v>
      </c>
      <c r="K332" s="69" t="str">
        <f>_xlfn.IFNA(IF('Interactive Selection Sheet'!F179= "", VLOOKUP('Interactive Selection Sheet'!$G179, 'Master List Import'!$A$1:$P$519, 9, FALSE), ""), "")</f>
        <v>94395</v>
      </c>
      <c r="L332" s="69">
        <f>_xlfn.IFNA(IF('Interactive Selection Sheet'!F179= "", VLOOKUP('Interactive Selection Sheet'!$G179, 'Master List Import'!$A$1:$P$519, 10, FALSE), ""), "")</f>
        <v>0</v>
      </c>
      <c r="M332" s="69">
        <f>_xlfn.IFNA(IF('Interactive Selection Sheet'!F179= "", VLOOKUP('Interactive Selection Sheet'!$G179, 'Master List Import'!$A$1:$P$519, 11, FALSE), ""), "")</f>
        <v>0</v>
      </c>
      <c r="N332" s="69">
        <f>_xlfn.IFNA(IF('Interactive Selection Sheet'!F179= "", VLOOKUP('Interactive Selection Sheet'!$G179, 'Master List Import'!$A$1:$P$519, 12, FALSE), ""), "")</f>
        <v>24</v>
      </c>
      <c r="O332" s="69">
        <f>_xlfn.IFNA(IF('Interactive Selection Sheet'!F179= "", VLOOKUP('Interactive Selection Sheet'!$G179, 'Master List Import'!$A$1:$P$519, 13, FALSE), ""), "")</f>
        <v>7003</v>
      </c>
      <c r="P332" s="69" t="str">
        <f>_xlfn.IFNA(IF('Interactive Selection Sheet'!F179= "", VLOOKUP('Interactive Selection Sheet'!$G179, 'Master List Import'!$A$1:$P$519, 14, FALSE), ""), "")</f>
        <v>Beef Stew</v>
      </c>
      <c r="Q332" s="69">
        <f>_xlfn.IFNA(IF('Interactive Selection Sheet'!F179= "", VLOOKUP('Interactive Selection Sheet'!$G179, 'Master List Import'!$A$1:$P$519, 15, FALSE), ""), "")</f>
        <v>1</v>
      </c>
      <c r="R332" s="74">
        <f>_xlfn.IFNA(IF('Interactive Selection Sheet'!F179= "", VLOOKUP('Interactive Selection Sheet'!$G179, 'Master List Import'!$A$1:$P$519, 16, FALSE), ""), "")</f>
        <v>4.2</v>
      </c>
    </row>
    <row r="333" spans="1:18" ht="21.75" customHeight="1" x14ac:dyDescent="0.25">
      <c r="A333" s="69">
        <f>_xlfn.IFNA(IF('Interactive Selection Sheet'!F180= "", VLOOKUP('Interactive Selection Sheet'!$G180, 'Master List Import'!$A$1:$P$519, 2, FALSE), ""), "")</f>
        <v>7004</v>
      </c>
      <c r="B333" s="69" t="str">
        <f>_xlfn.IFNA(IF('Interactive Selection Sheet'!F180= "", VLOOKUP('Interactive Selection Sheet'!$G180, 'Master List Import'!$A$1:$P$519, 3, FALSE), ""), "")</f>
        <v>Geisha Light Tuna in Water, 6oz pouch - 24/cs</v>
      </c>
      <c r="C333" s="76">
        <f>IF('Interactive Selection Sheet'!$T$2="", "", IF(B333="","",'Interactive Selection Sheet'!$T$2))</f>
        <v>3.5000000000000003E-2</v>
      </c>
      <c r="D333" s="70">
        <f>IF(B333 = "", "", 'Interactive Selection Sheet'!$P$2)</f>
        <v>4.4999999999999998E-2</v>
      </c>
      <c r="E333" s="70">
        <f>IF(B333="","", 'Interactive Selection Sheet'!$R$2)</f>
        <v>0.02</v>
      </c>
      <c r="F333" s="69" t="str">
        <f>_xlfn.IFNA(IF('Interactive Selection Sheet'!F180= "", VLOOKUP('Interactive Selection Sheet'!$G180, 'Master List Import'!$A$1:$P$519, 4, FALSE), ""), "")</f>
        <v>Grocery</v>
      </c>
      <c r="G333" s="69" t="str">
        <f>_xlfn.IFNA(IF('Interactive Selection Sheet'!F180= "", VLOOKUP('Interactive Selection Sheet'!$G180, 'Master List Import'!$A$1:$P$519, 5, FALSE), ""), "")</f>
        <v>Grocery</v>
      </c>
      <c r="H333" s="69" t="str">
        <f>_xlfn.IFNA(IF('Interactive Selection Sheet'!F180= "", VLOOKUP('Interactive Selection Sheet'!$G180, 'Master List Import'!$A$1:$P$519, 6, FALSE), ""), "")</f>
        <v>Both</v>
      </c>
      <c r="I333" s="72">
        <f>_xlfn.IFNA(IF('Interactive Selection Sheet'!F180= "", VLOOKUP('Interactive Selection Sheet'!$G180, 'Master List Import'!$A$1:$P$519, 7, FALSE), ""), "")</f>
        <v>1.43</v>
      </c>
      <c r="J333" s="69" t="str">
        <f>_xlfn.IFNA(IF('Interactive Selection Sheet'!F180= "", VLOOKUP('Interactive Selection Sheet'!$G180, 'Master List Import'!$A$1:$P$519, 8, FALSE), ""), "")</f>
        <v>REI</v>
      </c>
      <c r="K333" s="69" t="str">
        <f>_xlfn.IFNA(IF('Interactive Selection Sheet'!F180= "", VLOOKUP('Interactive Selection Sheet'!$G180, 'Master List Import'!$A$1:$P$519, 9, FALSE), ""), "")</f>
        <v>92520</v>
      </c>
      <c r="L333" s="69">
        <f>_xlfn.IFNA(IF('Interactive Selection Sheet'!F180= "", VLOOKUP('Interactive Selection Sheet'!$G180, 'Master List Import'!$A$1:$P$519, 10, FALSE), ""), "")</f>
        <v>0</v>
      </c>
      <c r="M333" s="69">
        <f>_xlfn.IFNA(IF('Interactive Selection Sheet'!F180= "", VLOOKUP('Interactive Selection Sheet'!$G180, 'Master List Import'!$A$1:$P$519, 11, FALSE), ""), "")</f>
        <v>0</v>
      </c>
      <c r="N333" s="69">
        <f>_xlfn.IFNA(IF('Interactive Selection Sheet'!F180= "", VLOOKUP('Interactive Selection Sheet'!$G180, 'Master List Import'!$A$1:$P$519, 12, FALSE), ""), "")</f>
        <v>24</v>
      </c>
      <c r="O333" s="69">
        <f>_xlfn.IFNA(IF('Interactive Selection Sheet'!F180= "", VLOOKUP('Interactive Selection Sheet'!$G180, 'Master List Import'!$A$1:$P$519, 13, FALSE), ""), "")</f>
        <v>7004</v>
      </c>
      <c r="P333" s="69" t="str">
        <f>_xlfn.IFNA(IF('Interactive Selection Sheet'!F180= "", VLOOKUP('Interactive Selection Sheet'!$G180, 'Master List Import'!$A$1:$P$519, 14, FALSE), ""), "")</f>
        <v>Tuna in Water</v>
      </c>
      <c r="Q333" s="69">
        <f>_xlfn.IFNA(IF('Interactive Selection Sheet'!F180= "", VLOOKUP('Interactive Selection Sheet'!$G180, 'Master List Import'!$A$1:$P$519, 15, FALSE), ""), "")</f>
        <v>1</v>
      </c>
      <c r="R333" s="74">
        <f>_xlfn.IFNA(IF('Interactive Selection Sheet'!F180= "", VLOOKUP('Interactive Selection Sheet'!$G180, 'Master List Import'!$A$1:$P$519, 16, FALSE), ""), "")</f>
        <v>4.2</v>
      </c>
    </row>
    <row r="334" spans="1:18" ht="21.75" customHeight="1" x14ac:dyDescent="0.25">
      <c r="A334" s="69">
        <f>_xlfn.IFNA(IF('Interactive Selection Sheet'!F181= "", VLOOKUP('Interactive Selection Sheet'!$G181, 'Master List Import'!$A$1:$P$519, 2, FALSE), ""), "")</f>
        <v>7005</v>
      </c>
      <c r="B334" s="69" t="str">
        <f>_xlfn.IFNA(IF('Interactive Selection Sheet'!F181= "", VLOOKUP('Interactive Selection Sheet'!$G181, 'Master List Import'!$A$1:$P$519, 3, FALSE), ""), "")</f>
        <v>Geisha Sardines in Oil, 3.53oz pouch - 24/cs</v>
      </c>
      <c r="C334" s="76">
        <f>IF('Interactive Selection Sheet'!$T$2="", "", IF(B334="","",'Interactive Selection Sheet'!$T$2))</f>
        <v>3.5000000000000003E-2</v>
      </c>
      <c r="D334" s="70">
        <f>IF(B334 = "", "", 'Interactive Selection Sheet'!$P$2)</f>
        <v>4.4999999999999998E-2</v>
      </c>
      <c r="E334" s="70">
        <f>IF(B334="","", 'Interactive Selection Sheet'!$R$2)</f>
        <v>0.02</v>
      </c>
      <c r="F334" s="69" t="str">
        <f>_xlfn.IFNA(IF('Interactive Selection Sheet'!F181= "", VLOOKUP('Interactive Selection Sheet'!$G181, 'Master List Import'!$A$1:$P$519, 4, FALSE), ""), "")</f>
        <v>Grocery</v>
      </c>
      <c r="G334" s="69" t="str">
        <f>_xlfn.IFNA(IF('Interactive Selection Sheet'!F181= "", VLOOKUP('Interactive Selection Sheet'!$G181, 'Master List Import'!$A$1:$P$519, 5, FALSE), ""), "")</f>
        <v>Grocery</v>
      </c>
      <c r="H334" s="69" t="str">
        <f>_xlfn.IFNA(IF('Interactive Selection Sheet'!F181= "", VLOOKUP('Interactive Selection Sheet'!$G181, 'Master List Import'!$A$1:$P$519, 6, FALSE), ""), "")</f>
        <v>Both</v>
      </c>
      <c r="I334" s="72">
        <f>_xlfn.IFNA(IF('Interactive Selection Sheet'!F181= "", VLOOKUP('Interactive Selection Sheet'!$G181, 'Master List Import'!$A$1:$P$519, 7, FALSE), ""), "")</f>
        <v>0.67</v>
      </c>
      <c r="J334" s="69" t="str">
        <f>_xlfn.IFNA(IF('Interactive Selection Sheet'!F181= "", VLOOKUP('Interactive Selection Sheet'!$G181, 'Master List Import'!$A$1:$P$519, 8, FALSE), ""), "")</f>
        <v>REI</v>
      </c>
      <c r="K334" s="69" t="str">
        <f>_xlfn.IFNA(IF('Interactive Selection Sheet'!F181= "", VLOOKUP('Interactive Selection Sheet'!$G181, 'Master List Import'!$A$1:$P$519, 9, FALSE), ""), "")</f>
        <v>92429</v>
      </c>
      <c r="L334" s="69">
        <f>_xlfn.IFNA(IF('Interactive Selection Sheet'!F181= "", VLOOKUP('Interactive Selection Sheet'!$G181, 'Master List Import'!$A$1:$P$519, 10, FALSE), ""), "")</f>
        <v>0</v>
      </c>
      <c r="M334" s="69">
        <f>_xlfn.IFNA(IF('Interactive Selection Sheet'!F181= "", VLOOKUP('Interactive Selection Sheet'!$G181, 'Master List Import'!$A$1:$P$519, 11, FALSE), ""), "")</f>
        <v>0</v>
      </c>
      <c r="N334" s="69">
        <f>_xlfn.IFNA(IF('Interactive Selection Sheet'!F181= "", VLOOKUP('Interactive Selection Sheet'!$G181, 'Master List Import'!$A$1:$P$519, 12, FALSE), ""), "")</f>
        <v>24</v>
      </c>
      <c r="O334" s="69">
        <f>_xlfn.IFNA(IF('Interactive Selection Sheet'!F181= "", VLOOKUP('Interactive Selection Sheet'!$G181, 'Master List Import'!$A$1:$P$519, 13, FALSE), ""), "")</f>
        <v>7005</v>
      </c>
      <c r="P334" s="69" t="str">
        <f>_xlfn.IFNA(IF('Interactive Selection Sheet'!F181= "", VLOOKUP('Interactive Selection Sheet'!$G181, 'Master List Import'!$A$1:$P$519, 14, FALSE), ""), "")</f>
        <v>Sardines in Oil</v>
      </c>
      <c r="Q334" s="69">
        <f>_xlfn.IFNA(IF('Interactive Selection Sheet'!F181= "", VLOOKUP('Interactive Selection Sheet'!$G181, 'Master List Import'!$A$1:$P$519, 15, FALSE), ""), "")</f>
        <v>1</v>
      </c>
      <c r="R334" s="74">
        <f>_xlfn.IFNA(IF('Interactive Selection Sheet'!F181= "", VLOOKUP('Interactive Selection Sheet'!$G181, 'Master List Import'!$A$1:$P$519, 16, FALSE), ""), "")</f>
        <v>2.2000000000000002</v>
      </c>
    </row>
    <row r="335" spans="1:18" ht="21.75" customHeight="1" x14ac:dyDescent="0.25">
      <c r="A335" s="69">
        <f>_xlfn.IFNA(IF('Interactive Selection Sheet'!F182= "", VLOOKUP('Interactive Selection Sheet'!$G182, 'Master List Import'!$A$1:$P$519, 2, FALSE), ""), "")</f>
        <v>7006</v>
      </c>
      <c r="B335" s="69" t="str">
        <f>_xlfn.IFNA(IF('Interactive Selection Sheet'!F182= "", VLOOKUP('Interactive Selection Sheet'!$G182, 'Master List Import'!$A$1:$P$519, 3, FALSE), ""), "")</f>
        <v>Geisha Sardines in Hot Sauce, 3.53oz pouch - 24/cs</v>
      </c>
      <c r="C335" s="76">
        <f>IF('Interactive Selection Sheet'!$T$2="", "", IF(B335="","",'Interactive Selection Sheet'!$T$2))</f>
        <v>3.5000000000000003E-2</v>
      </c>
      <c r="D335" s="70">
        <f>IF(B335 = "", "", 'Interactive Selection Sheet'!$P$2)</f>
        <v>4.4999999999999998E-2</v>
      </c>
      <c r="E335" s="70">
        <f>IF(B335="","", 'Interactive Selection Sheet'!$R$2)</f>
        <v>0.02</v>
      </c>
      <c r="F335" s="69" t="str">
        <f>_xlfn.IFNA(IF('Interactive Selection Sheet'!F182= "", VLOOKUP('Interactive Selection Sheet'!$G182, 'Master List Import'!$A$1:$P$519, 4, FALSE), ""), "")</f>
        <v>Grocery</v>
      </c>
      <c r="G335" s="69" t="str">
        <f>_xlfn.IFNA(IF('Interactive Selection Sheet'!F182= "", VLOOKUP('Interactive Selection Sheet'!$G182, 'Master List Import'!$A$1:$P$519, 5, FALSE), ""), "")</f>
        <v>Grocery</v>
      </c>
      <c r="H335" s="69" t="str">
        <f>_xlfn.IFNA(IF('Interactive Selection Sheet'!F182= "", VLOOKUP('Interactive Selection Sheet'!$G182, 'Master List Import'!$A$1:$P$519, 6, FALSE), ""), "")</f>
        <v>Both</v>
      </c>
      <c r="I335" s="72">
        <f>_xlfn.IFNA(IF('Interactive Selection Sheet'!F182= "", VLOOKUP('Interactive Selection Sheet'!$G182, 'Master List Import'!$A$1:$P$519, 7, FALSE), ""), "")</f>
        <v>0.67</v>
      </c>
      <c r="J335" s="69" t="str">
        <f>_xlfn.IFNA(IF('Interactive Selection Sheet'!F182= "", VLOOKUP('Interactive Selection Sheet'!$G182, 'Master List Import'!$A$1:$P$519, 8, FALSE), ""), "")</f>
        <v>REI</v>
      </c>
      <c r="K335" s="69" t="str">
        <f>_xlfn.IFNA(IF('Interactive Selection Sheet'!F182= "", VLOOKUP('Interactive Selection Sheet'!$G182, 'Master List Import'!$A$1:$P$519, 9, FALSE), ""), "")</f>
        <v>92361</v>
      </c>
      <c r="L335" s="69">
        <f>_xlfn.IFNA(IF('Interactive Selection Sheet'!F182= "", VLOOKUP('Interactive Selection Sheet'!$G182, 'Master List Import'!$A$1:$P$519, 10, FALSE), ""), "")</f>
        <v>0</v>
      </c>
      <c r="M335" s="69">
        <f>_xlfn.IFNA(IF('Interactive Selection Sheet'!F182= "", VLOOKUP('Interactive Selection Sheet'!$G182, 'Master List Import'!$A$1:$P$519, 11, FALSE), ""), "")</f>
        <v>0</v>
      </c>
      <c r="N335" s="69">
        <f>_xlfn.IFNA(IF('Interactive Selection Sheet'!F182= "", VLOOKUP('Interactive Selection Sheet'!$G182, 'Master List Import'!$A$1:$P$519, 12, FALSE), ""), "")</f>
        <v>24</v>
      </c>
      <c r="O335" s="69">
        <f>_xlfn.IFNA(IF('Interactive Selection Sheet'!F182= "", VLOOKUP('Interactive Selection Sheet'!$G182, 'Master List Import'!$A$1:$P$519, 13, FALSE), ""), "")</f>
        <v>7006</v>
      </c>
      <c r="P335" s="69" t="str">
        <f>_xlfn.IFNA(IF('Interactive Selection Sheet'!F182= "", VLOOKUP('Interactive Selection Sheet'!$G182, 'Master List Import'!$A$1:$P$519, 14, FALSE), ""), "")</f>
        <v>Sardines in Hot Sauce</v>
      </c>
      <c r="Q335" s="69">
        <f>_xlfn.IFNA(IF('Interactive Selection Sheet'!F182= "", VLOOKUP('Interactive Selection Sheet'!$G182, 'Master List Import'!$A$1:$P$519, 15, FALSE), ""), "")</f>
        <v>1</v>
      </c>
      <c r="R335" s="74">
        <f>_xlfn.IFNA(IF('Interactive Selection Sheet'!F182= "", VLOOKUP('Interactive Selection Sheet'!$G182, 'Master List Import'!$A$1:$P$519, 16, FALSE), ""), "")</f>
        <v>2.2000000000000002</v>
      </c>
    </row>
    <row r="336" spans="1:18" ht="21.75" customHeight="1" x14ac:dyDescent="0.25">
      <c r="A336" s="69">
        <f>_xlfn.IFNA(IF('Interactive Selection Sheet'!F183= "", VLOOKUP('Interactive Selection Sheet'!$G183, 'Master List Import'!$A$1:$P$519, 2, FALSE), ""), "")</f>
        <v>7007</v>
      </c>
      <c r="B336" s="69" t="str">
        <f>_xlfn.IFNA(IF('Interactive Selection Sheet'!F183= "", VLOOKUP('Interactive Selection Sheet'!$G183, 'Master List Import'!$A$1:$P$519, 3, FALSE), ""), "")</f>
        <v>Geisha Whole Mackerel in Water, 12oz pouch - 24/cs</v>
      </c>
      <c r="C336" s="76">
        <f>IF('Interactive Selection Sheet'!$T$2="", "", IF(B336="","",'Interactive Selection Sheet'!$T$2))</f>
        <v>3.5000000000000003E-2</v>
      </c>
      <c r="D336" s="70">
        <f>IF(B336 = "", "", 'Interactive Selection Sheet'!$P$2)</f>
        <v>4.4999999999999998E-2</v>
      </c>
      <c r="E336" s="70">
        <f>IF(B336="","", 'Interactive Selection Sheet'!$R$2)</f>
        <v>0.02</v>
      </c>
      <c r="F336" s="69" t="str">
        <f>_xlfn.IFNA(IF('Interactive Selection Sheet'!F183= "", VLOOKUP('Interactive Selection Sheet'!$G183, 'Master List Import'!$A$1:$P$519, 4, FALSE), ""), "")</f>
        <v>Grocery</v>
      </c>
      <c r="G336" s="69" t="str">
        <f>_xlfn.IFNA(IF('Interactive Selection Sheet'!F183= "", VLOOKUP('Interactive Selection Sheet'!$G183, 'Master List Import'!$A$1:$P$519, 5, FALSE), ""), "")</f>
        <v>Grocery</v>
      </c>
      <c r="H336" s="69" t="str">
        <f>_xlfn.IFNA(IF('Interactive Selection Sheet'!F183= "", VLOOKUP('Interactive Selection Sheet'!$G183, 'Master List Import'!$A$1:$P$519, 6, FALSE), ""), "")</f>
        <v>Both</v>
      </c>
      <c r="I336" s="72">
        <f>_xlfn.IFNA(IF('Interactive Selection Sheet'!F183= "", VLOOKUP('Interactive Selection Sheet'!$G183, 'Master List Import'!$A$1:$P$519, 7, FALSE), ""), "")</f>
        <v>1.26</v>
      </c>
      <c r="J336" s="69" t="str">
        <f>_xlfn.IFNA(IF('Interactive Selection Sheet'!F183= "", VLOOKUP('Interactive Selection Sheet'!$G183, 'Master List Import'!$A$1:$P$519, 8, FALSE), ""), "")</f>
        <v>REI</v>
      </c>
      <c r="K336" s="69" t="str">
        <f>_xlfn.IFNA(IF('Interactive Selection Sheet'!F183= "", VLOOKUP('Interactive Selection Sheet'!$G183, 'Master List Import'!$A$1:$P$519, 9, FALSE), ""), "")</f>
        <v>92254</v>
      </c>
      <c r="L336" s="69">
        <f>_xlfn.IFNA(IF('Interactive Selection Sheet'!F183= "", VLOOKUP('Interactive Selection Sheet'!$G183, 'Master List Import'!$A$1:$P$519, 10, FALSE), ""), "")</f>
        <v>0</v>
      </c>
      <c r="M336" s="69">
        <f>_xlfn.IFNA(IF('Interactive Selection Sheet'!F183= "", VLOOKUP('Interactive Selection Sheet'!$G183, 'Master List Import'!$A$1:$P$519, 11, FALSE), ""), "")</f>
        <v>0</v>
      </c>
      <c r="N336" s="69">
        <f>_xlfn.IFNA(IF('Interactive Selection Sheet'!F183= "", VLOOKUP('Interactive Selection Sheet'!$G183, 'Master List Import'!$A$1:$P$519, 12, FALSE), ""), "")</f>
        <v>24</v>
      </c>
      <c r="O336" s="69">
        <f>_xlfn.IFNA(IF('Interactive Selection Sheet'!F183= "", VLOOKUP('Interactive Selection Sheet'!$G183, 'Master List Import'!$A$1:$P$519, 13, FALSE), ""), "")</f>
        <v>7007</v>
      </c>
      <c r="P336" s="69" t="str">
        <f>_xlfn.IFNA(IF('Interactive Selection Sheet'!F183= "", VLOOKUP('Interactive Selection Sheet'!$G183, 'Master List Import'!$A$1:$P$519, 14, FALSE), ""), "")</f>
        <v>Mackerel in Water</v>
      </c>
      <c r="Q336" s="69">
        <f>_xlfn.IFNA(IF('Interactive Selection Sheet'!F183= "", VLOOKUP('Interactive Selection Sheet'!$G183, 'Master List Import'!$A$1:$P$519, 15, FALSE), ""), "")</f>
        <v>1</v>
      </c>
      <c r="R336" s="74">
        <f>_xlfn.IFNA(IF('Interactive Selection Sheet'!F183= "", VLOOKUP('Interactive Selection Sheet'!$G183, 'Master List Import'!$A$1:$P$519, 16, FALSE), ""), "")</f>
        <v>5.5</v>
      </c>
    </row>
    <row r="337" spans="1:18" ht="21.75" customHeight="1" x14ac:dyDescent="0.25">
      <c r="A337" s="69">
        <f>_xlfn.IFNA(IF('Interactive Selection Sheet'!F184= "", VLOOKUP('Interactive Selection Sheet'!$G184, 'Master List Import'!$A$1:$P$519, 2, FALSE), ""), "")</f>
        <v>7009</v>
      </c>
      <c r="B337" s="69" t="str">
        <f>_xlfn.IFNA(IF('Interactive Selection Sheet'!F184= "", VLOOKUP('Interactive Selection Sheet'!$G184, 'Master List Import'!$A$1:$P$519, 3, FALSE), ""), "")</f>
        <v>Dona Adela Chilorio Shredded Pork, 70/4.4oz</v>
      </c>
      <c r="C337" s="76">
        <f>IF('Interactive Selection Sheet'!$T$2="", "", IF(B337="","",'Interactive Selection Sheet'!$T$2))</f>
        <v>3.5000000000000003E-2</v>
      </c>
      <c r="D337" s="70">
        <f>IF(B337 = "", "", 'Interactive Selection Sheet'!$P$2)</f>
        <v>4.4999999999999998E-2</v>
      </c>
      <c r="E337" s="70">
        <f>IF(B337="","", 'Interactive Selection Sheet'!$R$2)</f>
        <v>0.02</v>
      </c>
      <c r="F337" s="69" t="str">
        <f>_xlfn.IFNA(IF('Interactive Selection Sheet'!F184= "", VLOOKUP('Interactive Selection Sheet'!$G184, 'Master List Import'!$A$1:$P$519, 4, FALSE), ""), "")</f>
        <v>Grocery</v>
      </c>
      <c r="G337" s="69" t="str">
        <f>_xlfn.IFNA(IF('Interactive Selection Sheet'!F184= "", VLOOKUP('Interactive Selection Sheet'!$G184, 'Master List Import'!$A$1:$P$519, 5, FALSE), ""), "")</f>
        <v>Grocery</v>
      </c>
      <c r="H337" s="69" t="str">
        <f>_xlfn.IFNA(IF('Interactive Selection Sheet'!F184= "", VLOOKUP('Interactive Selection Sheet'!$G184, 'Master List Import'!$A$1:$P$519, 6, FALSE), ""), "")</f>
        <v>Both</v>
      </c>
      <c r="I337" s="72">
        <f>_xlfn.IFNA(IF('Interactive Selection Sheet'!F184= "", VLOOKUP('Interactive Selection Sheet'!$G184, 'Master List Import'!$A$1:$P$519, 7, FALSE), ""), "")</f>
        <v>1.65</v>
      </c>
      <c r="J337" s="69" t="str">
        <f>_xlfn.IFNA(IF('Interactive Selection Sheet'!F184= "", VLOOKUP('Interactive Selection Sheet'!$G184, 'Master List Import'!$A$1:$P$519, 8, FALSE), ""), "")</f>
        <v>REI</v>
      </c>
      <c r="K337" s="69" t="str">
        <f>_xlfn.IFNA(IF('Interactive Selection Sheet'!F184= "", VLOOKUP('Interactive Selection Sheet'!$G184, 'Master List Import'!$A$1:$P$519, 9, FALSE), ""), "")</f>
        <v>92578</v>
      </c>
      <c r="L337" s="69">
        <f>_xlfn.IFNA(IF('Interactive Selection Sheet'!F184= "", VLOOKUP('Interactive Selection Sheet'!$G184, 'Master List Import'!$A$1:$P$519, 10, FALSE), ""), "")</f>
        <v>0</v>
      </c>
      <c r="M337" s="69">
        <f>_xlfn.IFNA(IF('Interactive Selection Sheet'!F184= "", VLOOKUP('Interactive Selection Sheet'!$G184, 'Master List Import'!$A$1:$P$519, 11, FALSE), ""), "")</f>
        <v>0</v>
      </c>
      <c r="N337" s="69">
        <f>_xlfn.IFNA(IF('Interactive Selection Sheet'!F184= "", VLOOKUP('Interactive Selection Sheet'!$G184, 'Master List Import'!$A$1:$P$519, 12, FALSE), ""), "")</f>
        <v>70</v>
      </c>
      <c r="O337" s="69">
        <f>_xlfn.IFNA(IF('Interactive Selection Sheet'!F184= "", VLOOKUP('Interactive Selection Sheet'!$G184, 'Master List Import'!$A$1:$P$519, 13, FALSE), ""), "")</f>
        <v>7009</v>
      </c>
      <c r="P337" s="69" t="str">
        <f>_xlfn.IFNA(IF('Interactive Selection Sheet'!F184= "", VLOOKUP('Interactive Selection Sheet'!$G184, 'Master List Import'!$A$1:$P$519, 14, FALSE), ""), "")</f>
        <v>Chilorio Shredded Pork</v>
      </c>
      <c r="Q337" s="69">
        <f>_xlfn.IFNA(IF('Interactive Selection Sheet'!F184= "", VLOOKUP('Interactive Selection Sheet'!$G184, 'Master List Import'!$A$1:$P$519, 15, FALSE), ""), "")</f>
        <v>1</v>
      </c>
      <c r="R337" s="74">
        <f>_xlfn.IFNA(IF('Interactive Selection Sheet'!F184= "", VLOOKUP('Interactive Selection Sheet'!$G184, 'Master List Import'!$A$1:$P$519, 16, FALSE), ""), "")</f>
        <v>4.4000000000000004</v>
      </c>
    </row>
    <row r="338" spans="1:18" ht="21.75" customHeight="1" x14ac:dyDescent="0.25">
      <c r="A338" s="69">
        <f>_xlfn.IFNA(IF('Interactive Selection Sheet'!F185= "", VLOOKUP('Interactive Selection Sheet'!$G185, 'Master List Import'!$A$1:$P$519, 2, FALSE), ""), "")</f>
        <v>7015</v>
      </c>
      <c r="B338" s="69" t="str">
        <f>_xlfn.IFNA(IF('Interactive Selection Sheet'!F185= "", VLOOKUP('Interactive Selection Sheet'!$G185, 'Master List Import'!$A$1:$P$519, 3, FALSE), ""), "")</f>
        <v>Geisha Mackeral in Sriracha Hot Sauce 24/3.53oz</v>
      </c>
      <c r="C338" s="76">
        <f>IF('Interactive Selection Sheet'!$T$2="", "", IF(B338="","",'Interactive Selection Sheet'!$T$2))</f>
        <v>3.5000000000000003E-2</v>
      </c>
      <c r="D338" s="70">
        <f>IF(B338 = "", "", 'Interactive Selection Sheet'!$P$2)</f>
        <v>4.4999999999999998E-2</v>
      </c>
      <c r="E338" s="70">
        <f>IF(B338="","", 'Interactive Selection Sheet'!$R$2)</f>
        <v>0.02</v>
      </c>
      <c r="F338" s="69" t="str">
        <f>_xlfn.IFNA(IF('Interactive Selection Sheet'!F185= "", VLOOKUP('Interactive Selection Sheet'!$G185, 'Master List Import'!$A$1:$P$519, 4, FALSE), ""), "")</f>
        <v>Grocery</v>
      </c>
      <c r="G338" s="69" t="str">
        <f>_xlfn.IFNA(IF('Interactive Selection Sheet'!F185= "", VLOOKUP('Interactive Selection Sheet'!$G185, 'Master List Import'!$A$1:$P$519, 5, FALSE), ""), "")</f>
        <v>Grocery</v>
      </c>
      <c r="H338" s="69" t="str">
        <f>_xlfn.IFNA(IF('Interactive Selection Sheet'!F185= "", VLOOKUP('Interactive Selection Sheet'!$G185, 'Master List Import'!$A$1:$P$519, 6, FALSE), ""), "")</f>
        <v>Both</v>
      </c>
      <c r="I338" s="72">
        <f>_xlfn.IFNA(IF('Interactive Selection Sheet'!F185= "", VLOOKUP('Interactive Selection Sheet'!$G185, 'Master List Import'!$A$1:$P$519, 7, FALSE), ""), "")</f>
        <v>0.75</v>
      </c>
      <c r="J338" s="69" t="str">
        <f>_xlfn.IFNA(IF('Interactive Selection Sheet'!F185= "", VLOOKUP('Interactive Selection Sheet'!$G185, 'Master List Import'!$A$1:$P$519, 8, FALSE), ""), "")</f>
        <v>REI</v>
      </c>
      <c r="K338" s="69" t="str">
        <f>_xlfn.IFNA(IF('Interactive Selection Sheet'!F185= "", VLOOKUP('Interactive Selection Sheet'!$G185, 'Master List Import'!$A$1:$P$519, 9, FALSE), ""), "")</f>
        <v>92529</v>
      </c>
      <c r="L338" s="69">
        <f>_xlfn.IFNA(IF('Interactive Selection Sheet'!F185= "", VLOOKUP('Interactive Selection Sheet'!$G185, 'Master List Import'!$A$1:$P$519, 10, FALSE), ""), "")</f>
        <v>0</v>
      </c>
      <c r="M338" s="69">
        <f>_xlfn.IFNA(IF('Interactive Selection Sheet'!F185= "", VLOOKUP('Interactive Selection Sheet'!$G185, 'Master List Import'!$A$1:$P$519, 11, FALSE), ""), "")</f>
        <v>0</v>
      </c>
      <c r="N338" s="69">
        <f>_xlfn.IFNA(IF('Interactive Selection Sheet'!F185= "", VLOOKUP('Interactive Selection Sheet'!$G185, 'Master List Import'!$A$1:$P$519, 12, FALSE), ""), "")</f>
        <v>24</v>
      </c>
      <c r="O338" s="69">
        <f>_xlfn.IFNA(IF('Interactive Selection Sheet'!F185= "", VLOOKUP('Interactive Selection Sheet'!$G185, 'Master List Import'!$A$1:$P$519, 13, FALSE), ""), "")</f>
        <v>7015</v>
      </c>
      <c r="P338" s="69" t="str">
        <f>_xlfn.IFNA(IF('Interactive Selection Sheet'!F185= "", VLOOKUP('Interactive Selection Sheet'!$G185, 'Master List Import'!$A$1:$P$519, 14, FALSE), ""), "")</f>
        <v>Mackeral in Sriracha Sauce</v>
      </c>
      <c r="Q338" s="69">
        <f>_xlfn.IFNA(IF('Interactive Selection Sheet'!F185= "", VLOOKUP('Interactive Selection Sheet'!$G185, 'Master List Import'!$A$1:$P$519, 15, FALSE), ""), "")</f>
        <v>1</v>
      </c>
      <c r="R338" s="74">
        <f>_xlfn.IFNA(IF('Interactive Selection Sheet'!F185= "", VLOOKUP('Interactive Selection Sheet'!$G185, 'Master List Import'!$A$1:$P$519, 16, FALSE), ""), "")</f>
        <v>3</v>
      </c>
    </row>
    <row r="339" spans="1:18" ht="21.75" customHeight="1" x14ac:dyDescent="0.25">
      <c r="A339" s="69">
        <f>_xlfn.IFNA(IF('Interactive Selection Sheet'!F186= "", VLOOKUP('Interactive Selection Sheet'!$G186, 'Master List Import'!$A$1:$P$519, 2, FALSE), ""), "")</f>
        <v>7018</v>
      </c>
      <c r="B339" s="69" t="str">
        <f>_xlfn.IFNA(IF('Interactive Selection Sheet'!F186= "", VLOOKUP('Interactive Selection Sheet'!$G186, 'Master List Import'!$A$1:$P$519, 3, FALSE), ""), "")</f>
        <v>Geisha Smoked Oysters in Oil-Pouch, 3.53oz - 24/cs</v>
      </c>
      <c r="C339" s="76">
        <f>IF('Interactive Selection Sheet'!$T$2="", "", IF(B339="","",'Interactive Selection Sheet'!$T$2))</f>
        <v>3.5000000000000003E-2</v>
      </c>
      <c r="D339" s="70">
        <f>IF(B339 = "", "", 'Interactive Selection Sheet'!$P$2)</f>
        <v>4.4999999999999998E-2</v>
      </c>
      <c r="E339" s="70">
        <f>IF(B339="","", 'Interactive Selection Sheet'!$R$2)</f>
        <v>0.02</v>
      </c>
      <c r="F339" s="69" t="str">
        <f>_xlfn.IFNA(IF('Interactive Selection Sheet'!F186= "", VLOOKUP('Interactive Selection Sheet'!$G186, 'Master List Import'!$A$1:$P$519, 4, FALSE), ""), "")</f>
        <v>Grocery</v>
      </c>
      <c r="G339" s="69" t="str">
        <f>_xlfn.IFNA(IF('Interactive Selection Sheet'!F186= "", VLOOKUP('Interactive Selection Sheet'!$G186, 'Master List Import'!$A$1:$P$519, 5, FALSE), ""), "")</f>
        <v>Grocery</v>
      </c>
      <c r="H339" s="69" t="str">
        <f>_xlfn.IFNA(IF('Interactive Selection Sheet'!F186= "", VLOOKUP('Interactive Selection Sheet'!$G186, 'Master List Import'!$A$1:$P$519, 6, FALSE), ""), "")</f>
        <v>Both</v>
      </c>
      <c r="I339" s="72">
        <f>_xlfn.IFNA(IF('Interactive Selection Sheet'!F186= "", VLOOKUP('Interactive Selection Sheet'!$G186, 'Master List Import'!$A$1:$P$519, 7, FALSE), ""), "")</f>
        <v>1.23</v>
      </c>
      <c r="J339" s="69" t="str">
        <f>_xlfn.IFNA(IF('Interactive Selection Sheet'!F186= "", VLOOKUP('Interactive Selection Sheet'!$G186, 'Master List Import'!$A$1:$P$519, 8, FALSE), ""), "")</f>
        <v>REI</v>
      </c>
      <c r="K339" s="69" t="str">
        <f>_xlfn.IFNA(IF('Interactive Selection Sheet'!F186= "", VLOOKUP('Interactive Selection Sheet'!$G186, 'Master List Import'!$A$1:$P$519, 9, FALSE), ""), "")</f>
        <v>092510</v>
      </c>
      <c r="L339" s="69">
        <f>_xlfn.IFNA(IF('Interactive Selection Sheet'!F186= "", VLOOKUP('Interactive Selection Sheet'!$G186, 'Master List Import'!$A$1:$P$519, 10, FALSE), ""), "")</f>
        <v>0</v>
      </c>
      <c r="M339" s="69">
        <f>_xlfn.IFNA(IF('Interactive Selection Sheet'!F186= "", VLOOKUP('Interactive Selection Sheet'!$G186, 'Master List Import'!$A$1:$P$519, 11, FALSE), ""), "")</f>
        <v>0</v>
      </c>
      <c r="N339" s="69">
        <f>_xlfn.IFNA(IF('Interactive Selection Sheet'!F186= "", VLOOKUP('Interactive Selection Sheet'!$G186, 'Master List Import'!$A$1:$P$519, 12, FALSE), ""), "")</f>
        <v>24</v>
      </c>
      <c r="O339" s="69">
        <f>_xlfn.IFNA(IF('Interactive Selection Sheet'!F186= "", VLOOKUP('Interactive Selection Sheet'!$G186, 'Master List Import'!$A$1:$P$519, 13, FALSE), ""), "")</f>
        <v>7018</v>
      </c>
      <c r="P339" s="69" t="str">
        <f>_xlfn.IFNA(IF('Interactive Selection Sheet'!F186= "", VLOOKUP('Interactive Selection Sheet'!$G186, 'Master List Import'!$A$1:$P$519, 14, FALSE), ""), "")</f>
        <v>Smoked Oysters in Oil</v>
      </c>
      <c r="Q339" s="69">
        <f>_xlfn.IFNA(IF('Interactive Selection Sheet'!F186= "", VLOOKUP('Interactive Selection Sheet'!$G186, 'Master List Import'!$A$1:$P$519, 15, FALSE), ""), "")</f>
        <v>1</v>
      </c>
      <c r="R339" s="74">
        <f>_xlfn.IFNA(IF('Interactive Selection Sheet'!F186= "", VLOOKUP('Interactive Selection Sheet'!$G186, 'Master List Import'!$A$1:$P$519, 16, FALSE), ""), "")</f>
        <v>3.6</v>
      </c>
    </row>
    <row r="340" spans="1:18" ht="21.75" customHeight="1" x14ac:dyDescent="0.25">
      <c r="A340" s="69">
        <f>_xlfn.IFNA(IF('Interactive Selection Sheet'!F189= "", VLOOKUP('Interactive Selection Sheet'!$G189, 'Master List Import'!$A$1:$P$519, 2, FALSE), ""), "")</f>
        <v>7040</v>
      </c>
      <c r="B340" s="69" t="str">
        <f>_xlfn.IFNA(IF('Interactive Selection Sheet'!F189= "", VLOOKUP('Interactive Selection Sheet'!$G189, 'Master List Import'!$A$1:$P$519, 3, FALSE), ""), "")</f>
        <v>Williams Fully Cooked Bacon - 12/2.2oz</v>
      </c>
      <c r="C340" s="76">
        <f>IF('Interactive Selection Sheet'!$T$2="", "", IF(B340="","",'Interactive Selection Sheet'!$T$2))</f>
        <v>3.5000000000000003E-2</v>
      </c>
      <c r="D340" s="70">
        <f>IF(B340 = "", "", 'Interactive Selection Sheet'!$P$2)</f>
        <v>4.4999999999999998E-2</v>
      </c>
      <c r="E340" s="70">
        <f>IF(B340="","", 'Interactive Selection Sheet'!$R$2)</f>
        <v>0.02</v>
      </c>
      <c r="F340" s="69" t="str">
        <f>_xlfn.IFNA(IF('Interactive Selection Sheet'!F189= "", VLOOKUP('Interactive Selection Sheet'!$G189, 'Master List Import'!$A$1:$P$519, 4, FALSE), ""), "")</f>
        <v>Grocery</v>
      </c>
      <c r="G340" s="69" t="str">
        <f>_xlfn.IFNA(IF('Interactive Selection Sheet'!F189= "", VLOOKUP('Interactive Selection Sheet'!$G189, 'Master List Import'!$A$1:$P$519, 5, FALSE), ""), "")</f>
        <v>Grocery</v>
      </c>
      <c r="H340" s="69" t="str">
        <f>_xlfn.IFNA(IF('Interactive Selection Sheet'!F189= "", VLOOKUP('Interactive Selection Sheet'!$G189, 'Master List Import'!$A$1:$P$519, 6, FALSE), ""), "")</f>
        <v>Both</v>
      </c>
      <c r="I340" s="72">
        <f>_xlfn.IFNA(IF('Interactive Selection Sheet'!F189= "", VLOOKUP('Interactive Selection Sheet'!$G189, 'Master List Import'!$A$1:$P$519, 7, FALSE), ""), "")</f>
        <v>2.79</v>
      </c>
      <c r="J340" s="69" t="str">
        <f>_xlfn.IFNA(IF('Interactive Selection Sheet'!F189= "", VLOOKUP('Interactive Selection Sheet'!$G189, 'Master List Import'!$A$1:$P$519, 8, FALSE), ""), "")</f>
        <v>REI</v>
      </c>
      <c r="K340" s="69" t="str">
        <f>_xlfn.IFNA(IF('Interactive Selection Sheet'!F189= "", VLOOKUP('Interactive Selection Sheet'!$G189, 'Master List Import'!$A$1:$P$519, 9, FALSE), ""), "")</f>
        <v>206999</v>
      </c>
      <c r="L340" s="69">
        <f>_xlfn.IFNA(IF('Interactive Selection Sheet'!F189= "", VLOOKUP('Interactive Selection Sheet'!$G189, 'Master List Import'!$A$1:$P$519, 10, FALSE), ""), "")</f>
        <v>0</v>
      </c>
      <c r="M340" s="69">
        <f>_xlfn.IFNA(IF('Interactive Selection Sheet'!F189= "", VLOOKUP('Interactive Selection Sheet'!$G189, 'Master List Import'!$A$1:$P$519, 11, FALSE), ""), "")</f>
        <v>0</v>
      </c>
      <c r="N340" s="69">
        <f>_xlfn.IFNA(IF('Interactive Selection Sheet'!F189= "", VLOOKUP('Interactive Selection Sheet'!$G189, 'Master List Import'!$A$1:$P$519, 12, FALSE), ""), "")</f>
        <v>12</v>
      </c>
      <c r="O340" s="69">
        <f>_xlfn.IFNA(IF('Interactive Selection Sheet'!F189= "", VLOOKUP('Interactive Selection Sheet'!$G189, 'Master List Import'!$A$1:$P$519, 13, FALSE), ""), "")</f>
        <v>7040</v>
      </c>
      <c r="P340" s="69" t="str">
        <f>_xlfn.IFNA(IF('Interactive Selection Sheet'!F189= "", VLOOKUP('Interactive Selection Sheet'!$G189, 'Master List Import'!$A$1:$P$519, 14, FALSE), ""), "")</f>
        <v>Fully Cooked Bacon</v>
      </c>
      <c r="Q340" s="69">
        <f>_xlfn.IFNA(IF('Interactive Selection Sheet'!F189= "", VLOOKUP('Interactive Selection Sheet'!$G189, 'Master List Import'!$A$1:$P$519, 15, FALSE), ""), "")</f>
        <v>1</v>
      </c>
      <c r="R340" s="74">
        <f>_xlfn.IFNA(IF('Interactive Selection Sheet'!F189= "", VLOOKUP('Interactive Selection Sheet'!$G189, 'Master List Import'!$A$1:$P$519, 16, FALSE), ""), "")</f>
        <v>9.75</v>
      </c>
    </row>
    <row r="341" spans="1:18" ht="21.75" customHeight="1" x14ac:dyDescent="0.25">
      <c r="A341" s="69">
        <f>_xlfn.IFNA(IF('Interactive Selection Sheet'!F191= "", VLOOKUP('Interactive Selection Sheet'!$G191, 'Master List Import'!$A$1:$P$519, 2, FALSE), ""), "")</f>
        <v>7051</v>
      </c>
      <c r="B341" s="69" t="str">
        <f>_xlfn.IFNA(IF('Interactive Selection Sheet'!F191= "", VLOOKUP('Interactive Selection Sheet'!$G191, 'Master List Import'!$A$1:$P$519, 3, FALSE), ""), "")</f>
        <v>CookQuik Instant Refried Beans w/Jalapenos, 8oz - 60/cs</v>
      </c>
      <c r="C341" s="76">
        <f>IF('Interactive Selection Sheet'!$T$2="", "", IF(B341="","",'Interactive Selection Sheet'!$T$2))</f>
        <v>3.5000000000000003E-2</v>
      </c>
      <c r="D341" s="70">
        <f>IF(B341 = "", "", 'Interactive Selection Sheet'!$P$2)</f>
        <v>4.4999999999999998E-2</v>
      </c>
      <c r="E341" s="70">
        <f>IF(B341="","", 'Interactive Selection Sheet'!$R$2)</f>
        <v>0.02</v>
      </c>
      <c r="F341" s="69" t="str">
        <f>_xlfn.IFNA(IF('Interactive Selection Sheet'!F191= "", VLOOKUP('Interactive Selection Sheet'!$G191, 'Master List Import'!$A$1:$P$519, 4, FALSE), ""), "")</f>
        <v>Grocery</v>
      </c>
      <c r="G341" s="69" t="str">
        <f>_xlfn.IFNA(IF('Interactive Selection Sheet'!F191= "", VLOOKUP('Interactive Selection Sheet'!$G191, 'Master List Import'!$A$1:$P$519, 5, FALSE), ""), "")</f>
        <v>Grocery</v>
      </c>
      <c r="H341" s="69" t="str">
        <f>_xlfn.IFNA(IF('Interactive Selection Sheet'!F191= "", VLOOKUP('Interactive Selection Sheet'!$G191, 'Master List Import'!$A$1:$P$519, 6, FALSE), ""), "")</f>
        <v>Both</v>
      </c>
      <c r="I341" s="72">
        <f>_xlfn.IFNA(IF('Interactive Selection Sheet'!F191= "", VLOOKUP('Interactive Selection Sheet'!$G191, 'Master List Import'!$A$1:$P$519, 7, FALSE), ""), "")</f>
        <v>1.0900000000000001</v>
      </c>
      <c r="J341" s="69" t="str">
        <f>_xlfn.IFNA(IF('Interactive Selection Sheet'!F191= "", VLOOKUP('Interactive Selection Sheet'!$G191, 'Master List Import'!$A$1:$P$519, 8, FALSE), ""), "")</f>
        <v>REI</v>
      </c>
      <c r="K341" s="69" t="str">
        <f>_xlfn.IFNA(IF('Interactive Selection Sheet'!F191= "", VLOOKUP('Interactive Selection Sheet'!$G191, 'Master List Import'!$A$1:$P$519, 9, FALSE), ""), "")</f>
        <v>290449</v>
      </c>
      <c r="L341" s="69">
        <f>_xlfn.IFNA(IF('Interactive Selection Sheet'!F191= "", VLOOKUP('Interactive Selection Sheet'!$G191, 'Master List Import'!$A$1:$P$519, 10, FALSE), ""), "")</f>
        <v>0</v>
      </c>
      <c r="M341" s="69">
        <f>_xlfn.IFNA(IF('Interactive Selection Sheet'!F191= "", VLOOKUP('Interactive Selection Sheet'!$G191, 'Master List Import'!$A$1:$P$519, 11, FALSE), ""), "")</f>
        <v>0</v>
      </c>
      <c r="N341" s="69">
        <f>_xlfn.IFNA(IF('Interactive Selection Sheet'!F191= "", VLOOKUP('Interactive Selection Sheet'!$G191, 'Master List Import'!$A$1:$P$519, 12, FALSE), ""), "")</f>
        <v>60</v>
      </c>
      <c r="O341" s="69">
        <f>_xlfn.IFNA(IF('Interactive Selection Sheet'!F191= "", VLOOKUP('Interactive Selection Sheet'!$G191, 'Master List Import'!$A$1:$P$519, 13, FALSE), ""), "")</f>
        <v>7051</v>
      </c>
      <c r="P341" s="69" t="str">
        <f>_xlfn.IFNA(IF('Interactive Selection Sheet'!F191= "", VLOOKUP('Interactive Selection Sheet'!$G191, 'Master List Import'!$A$1:$P$519, 14, FALSE), ""), "")</f>
        <v>Instant Refried Beans w/Jal</v>
      </c>
      <c r="Q341" s="69">
        <f>_xlfn.IFNA(IF('Interactive Selection Sheet'!F191= "", VLOOKUP('Interactive Selection Sheet'!$G191, 'Master List Import'!$A$1:$P$519, 15, FALSE), ""), "")</f>
        <v>1</v>
      </c>
      <c r="R341" s="74">
        <f>_xlfn.IFNA(IF('Interactive Selection Sheet'!F191= "", VLOOKUP('Interactive Selection Sheet'!$G191, 'Master List Import'!$A$1:$P$519, 16, FALSE), ""), "")</f>
        <v>3.65</v>
      </c>
    </row>
    <row r="342" spans="1:18" ht="21.75" customHeight="1" x14ac:dyDescent="0.25">
      <c r="A342" s="69">
        <f>_xlfn.IFNA(IF('Interactive Selection Sheet'!F192= "", VLOOKUP('Interactive Selection Sheet'!$G192, 'Master List Import'!$A$1:$P$519, 2, FALSE), ""), "")</f>
        <v>7052</v>
      </c>
      <c r="B342" s="69" t="str">
        <f>_xlfn.IFNA(IF('Interactive Selection Sheet'!F192= "", VLOOKUP('Interactive Selection Sheet'!$G192, 'Master List Import'!$A$1:$P$519, 3, FALSE), ""), "")</f>
        <v>CookQuik Instant Spanish Rice w/Cheese &amp; Jalapenos, 2.2oz - 48/cs</v>
      </c>
      <c r="C342" s="76">
        <f>IF('Interactive Selection Sheet'!$T$2="", "", IF(B342="","",'Interactive Selection Sheet'!$T$2))</f>
        <v>3.5000000000000003E-2</v>
      </c>
      <c r="D342" s="70">
        <f>IF(B342 = "", "", 'Interactive Selection Sheet'!$P$2)</f>
        <v>4.4999999999999998E-2</v>
      </c>
      <c r="E342" s="70">
        <f>IF(B342="","", 'Interactive Selection Sheet'!$R$2)</f>
        <v>0.02</v>
      </c>
      <c r="F342" s="69" t="str">
        <f>_xlfn.IFNA(IF('Interactive Selection Sheet'!F192= "", VLOOKUP('Interactive Selection Sheet'!$G192, 'Master List Import'!$A$1:$P$519, 4, FALSE), ""), "")</f>
        <v>Grocery</v>
      </c>
      <c r="G342" s="69" t="str">
        <f>_xlfn.IFNA(IF('Interactive Selection Sheet'!F192= "", VLOOKUP('Interactive Selection Sheet'!$G192, 'Master List Import'!$A$1:$P$519, 5, FALSE), ""), "")</f>
        <v>Grocery</v>
      </c>
      <c r="H342" s="69" t="str">
        <f>_xlfn.IFNA(IF('Interactive Selection Sheet'!F192= "", VLOOKUP('Interactive Selection Sheet'!$G192, 'Master List Import'!$A$1:$P$519, 6, FALSE), ""), "")</f>
        <v>Both</v>
      </c>
      <c r="I342" s="72">
        <f>_xlfn.IFNA(IF('Interactive Selection Sheet'!F192= "", VLOOKUP('Interactive Selection Sheet'!$G192, 'Master List Import'!$A$1:$P$519, 7, FALSE), ""), "")</f>
        <v>0.49</v>
      </c>
      <c r="J342" s="69" t="str">
        <f>_xlfn.IFNA(IF('Interactive Selection Sheet'!F192= "", VLOOKUP('Interactive Selection Sheet'!$G192, 'Master List Import'!$A$1:$P$519, 8, FALSE), ""), "")</f>
        <v>REI</v>
      </c>
      <c r="K342" s="69" t="str">
        <f>_xlfn.IFNA(IF('Interactive Selection Sheet'!F192= "", VLOOKUP('Interactive Selection Sheet'!$G192, 'Master List Import'!$A$1:$P$519, 9, FALSE), ""), "")</f>
        <v>290470</v>
      </c>
      <c r="L342" s="69">
        <f>_xlfn.IFNA(IF('Interactive Selection Sheet'!F192= "", VLOOKUP('Interactive Selection Sheet'!$G192, 'Master List Import'!$A$1:$P$519, 10, FALSE), ""), "")</f>
        <v>0</v>
      </c>
      <c r="M342" s="69">
        <f>_xlfn.IFNA(IF('Interactive Selection Sheet'!F192= "", VLOOKUP('Interactive Selection Sheet'!$G192, 'Master List Import'!$A$1:$P$519, 11, FALSE), ""), "")</f>
        <v>0</v>
      </c>
      <c r="N342" s="69">
        <f>_xlfn.IFNA(IF('Interactive Selection Sheet'!F192= "", VLOOKUP('Interactive Selection Sheet'!$G192, 'Master List Import'!$A$1:$P$519, 12, FALSE), ""), "")</f>
        <v>48</v>
      </c>
      <c r="O342" s="69">
        <f>_xlfn.IFNA(IF('Interactive Selection Sheet'!F192= "", VLOOKUP('Interactive Selection Sheet'!$G192, 'Master List Import'!$A$1:$P$519, 13, FALSE), ""), "")</f>
        <v>7052</v>
      </c>
      <c r="P342" s="69" t="str">
        <f>_xlfn.IFNA(IF('Interactive Selection Sheet'!F192= "", VLOOKUP('Interactive Selection Sheet'!$G192, 'Master List Import'!$A$1:$P$519, 14, FALSE), ""), "")</f>
        <v>Instant Spanish Rice w/Cheese &amp; Jal</v>
      </c>
      <c r="Q342" s="69">
        <f>_xlfn.IFNA(IF('Interactive Selection Sheet'!F192= "", VLOOKUP('Interactive Selection Sheet'!$G192, 'Master List Import'!$A$1:$P$519, 15, FALSE), ""), "")</f>
        <v>1</v>
      </c>
      <c r="R342" s="74">
        <f>_xlfn.IFNA(IF('Interactive Selection Sheet'!F192= "", VLOOKUP('Interactive Selection Sheet'!$G192, 'Master List Import'!$A$1:$P$519, 16, FALSE), ""), "")</f>
        <v>1.65</v>
      </c>
    </row>
    <row r="343" spans="1:18" ht="21.75" customHeight="1" x14ac:dyDescent="0.25">
      <c r="A343" s="69">
        <f>_xlfn.IFNA(IF('Interactive Selection Sheet'!F193= "", VLOOKUP('Interactive Selection Sheet'!$G193, 'Master List Import'!$A$1:$P$519, 2, FALSE), ""), "")</f>
        <v>7053</v>
      </c>
      <c r="B343" s="69" t="str">
        <f>_xlfn.IFNA(IF('Interactive Selection Sheet'!F193= "", VLOOKUP('Interactive Selection Sheet'!$G193, 'Master List Import'!$A$1:$P$519, 3, FALSE), ""), "")</f>
        <v>CookQuik Instant White Rice, 7oz - 48/cs</v>
      </c>
      <c r="C343" s="76">
        <f>IF('Interactive Selection Sheet'!$T$2="", "", IF(B343="","",'Interactive Selection Sheet'!$T$2))</f>
        <v>3.5000000000000003E-2</v>
      </c>
      <c r="D343" s="70">
        <f>IF(B343 = "", "", 'Interactive Selection Sheet'!$P$2)</f>
        <v>4.4999999999999998E-2</v>
      </c>
      <c r="E343" s="70">
        <f>IF(B343="","", 'Interactive Selection Sheet'!$R$2)</f>
        <v>0.02</v>
      </c>
      <c r="F343" s="69" t="str">
        <f>_xlfn.IFNA(IF('Interactive Selection Sheet'!F193= "", VLOOKUP('Interactive Selection Sheet'!$G193, 'Master List Import'!$A$1:$P$519, 4, FALSE), ""), "")</f>
        <v>Grocery</v>
      </c>
      <c r="G343" s="69" t="str">
        <f>_xlfn.IFNA(IF('Interactive Selection Sheet'!F193= "", VLOOKUP('Interactive Selection Sheet'!$G193, 'Master List Import'!$A$1:$P$519, 5, FALSE), ""), "")</f>
        <v>Grocery</v>
      </c>
      <c r="H343" s="69" t="str">
        <f>_xlfn.IFNA(IF('Interactive Selection Sheet'!F193= "", VLOOKUP('Interactive Selection Sheet'!$G193, 'Master List Import'!$A$1:$P$519, 6, FALSE), ""), "")</f>
        <v>Both</v>
      </c>
      <c r="I343" s="72">
        <f>_xlfn.IFNA(IF('Interactive Selection Sheet'!F193= "", VLOOKUP('Interactive Selection Sheet'!$G193, 'Master List Import'!$A$1:$P$519, 7, FALSE), ""), "")</f>
        <v>0.79</v>
      </c>
      <c r="J343" s="69" t="str">
        <f>_xlfn.IFNA(IF('Interactive Selection Sheet'!F193= "", VLOOKUP('Interactive Selection Sheet'!$G193, 'Master List Import'!$A$1:$P$519, 8, FALSE), ""), "")</f>
        <v>REI</v>
      </c>
      <c r="K343" s="69" t="str">
        <f>_xlfn.IFNA(IF('Interactive Selection Sheet'!F193= "", VLOOKUP('Interactive Selection Sheet'!$G193, 'Master List Import'!$A$1:$P$519, 9, FALSE), ""), "")</f>
        <v>290437</v>
      </c>
      <c r="L343" s="69">
        <f>_xlfn.IFNA(IF('Interactive Selection Sheet'!F193= "", VLOOKUP('Interactive Selection Sheet'!$G193, 'Master List Import'!$A$1:$P$519, 10, FALSE), ""), "")</f>
        <v>0</v>
      </c>
      <c r="M343" s="69">
        <f>_xlfn.IFNA(IF('Interactive Selection Sheet'!F193= "", VLOOKUP('Interactive Selection Sheet'!$G193, 'Master List Import'!$A$1:$P$519, 11, FALSE), ""), "")</f>
        <v>0</v>
      </c>
      <c r="N343" s="69">
        <f>_xlfn.IFNA(IF('Interactive Selection Sheet'!F193= "", VLOOKUP('Interactive Selection Sheet'!$G193, 'Master List Import'!$A$1:$P$519, 12, FALSE), ""), "")</f>
        <v>48</v>
      </c>
      <c r="O343" s="69">
        <f>_xlfn.IFNA(IF('Interactive Selection Sheet'!F193= "", VLOOKUP('Interactive Selection Sheet'!$G193, 'Master List Import'!$A$1:$P$519, 13, FALSE), ""), "")</f>
        <v>7053</v>
      </c>
      <c r="P343" s="69" t="str">
        <f>_xlfn.IFNA(IF('Interactive Selection Sheet'!F193= "", VLOOKUP('Interactive Selection Sheet'!$G193, 'Master List Import'!$A$1:$P$519, 14, FALSE), ""), "")</f>
        <v>Instant White Rice</v>
      </c>
      <c r="Q343" s="69">
        <f>_xlfn.IFNA(IF('Interactive Selection Sheet'!F193= "", VLOOKUP('Interactive Selection Sheet'!$G193, 'Master List Import'!$A$1:$P$519, 15, FALSE), ""), "")</f>
        <v>1</v>
      </c>
      <c r="R343" s="74">
        <f>_xlfn.IFNA(IF('Interactive Selection Sheet'!F193= "", VLOOKUP('Interactive Selection Sheet'!$G193, 'Master List Import'!$A$1:$P$519, 16, FALSE), ""), "")</f>
        <v>2.5</v>
      </c>
    </row>
    <row r="344" spans="1:18" ht="21.75" customHeight="1" x14ac:dyDescent="0.25">
      <c r="A344" s="69">
        <f>_xlfn.IFNA(IF('Interactive Selection Sheet'!F194= "", VLOOKUP('Interactive Selection Sheet'!$G194, 'Master List Import'!$A$1:$P$519, 2, FALSE), ""), "")</f>
        <v>7054</v>
      </c>
      <c r="B344" s="69" t="str">
        <f>_xlfn.IFNA(IF('Interactive Selection Sheet'!F194= "", VLOOKUP('Interactive Selection Sheet'!$G194, 'Master List Import'!$A$1:$P$519, 3, FALSE), ""), "")</f>
        <v>Idahoan Instant Potatoes Loaded Baked 12/4oz</v>
      </c>
      <c r="C344" s="76">
        <f>IF('Interactive Selection Sheet'!$T$2="", "", IF(B344="","",'Interactive Selection Sheet'!$T$2))</f>
        <v>3.5000000000000003E-2</v>
      </c>
      <c r="D344" s="70">
        <f>IF(B344 = "", "", 'Interactive Selection Sheet'!$P$2)</f>
        <v>4.4999999999999998E-2</v>
      </c>
      <c r="E344" s="70">
        <f>IF(B344="","", 'Interactive Selection Sheet'!$R$2)</f>
        <v>0.02</v>
      </c>
      <c r="F344" s="69" t="str">
        <f>_xlfn.IFNA(IF('Interactive Selection Sheet'!F194= "", VLOOKUP('Interactive Selection Sheet'!$G194, 'Master List Import'!$A$1:$P$519, 4, FALSE), ""), "")</f>
        <v>Grocery</v>
      </c>
      <c r="G344" s="69" t="str">
        <f>_xlfn.IFNA(IF('Interactive Selection Sheet'!F194= "", VLOOKUP('Interactive Selection Sheet'!$G194, 'Master List Import'!$A$1:$P$519, 5, FALSE), ""), "")</f>
        <v>Grocery</v>
      </c>
      <c r="H344" s="69" t="str">
        <f>_xlfn.IFNA(IF('Interactive Selection Sheet'!F194= "", VLOOKUP('Interactive Selection Sheet'!$G194, 'Master List Import'!$A$1:$P$519, 6, FALSE), ""), "")</f>
        <v>Both</v>
      </c>
      <c r="I344" s="72">
        <f>_xlfn.IFNA(IF('Interactive Selection Sheet'!F194= "", VLOOKUP('Interactive Selection Sheet'!$G194, 'Master List Import'!$A$1:$P$519, 7, FALSE), ""), "")</f>
        <v>1.2</v>
      </c>
      <c r="J344" s="69" t="str">
        <f>_xlfn.IFNA(IF('Interactive Selection Sheet'!F194= "", VLOOKUP('Interactive Selection Sheet'!$G194, 'Master List Import'!$A$1:$P$519, 8, FALSE), ""), "")</f>
        <v>REI</v>
      </c>
      <c r="K344" s="69" t="str">
        <f>_xlfn.IFNA(IF('Interactive Selection Sheet'!F194= "", VLOOKUP('Interactive Selection Sheet'!$G194, 'Master List Import'!$A$1:$P$519, 9, FALSE), ""), "")</f>
        <v>172791</v>
      </c>
      <c r="L344" s="69">
        <f>_xlfn.IFNA(IF('Interactive Selection Sheet'!F194= "", VLOOKUP('Interactive Selection Sheet'!$G194, 'Master List Import'!$A$1:$P$519, 10, FALSE), ""), "")</f>
        <v>0</v>
      </c>
      <c r="M344" s="69">
        <f>_xlfn.IFNA(IF('Interactive Selection Sheet'!F194= "", VLOOKUP('Interactive Selection Sheet'!$G194, 'Master List Import'!$A$1:$P$519, 11, FALSE), ""), "")</f>
        <v>0</v>
      </c>
      <c r="N344" s="69">
        <f>_xlfn.IFNA(IF('Interactive Selection Sheet'!F194= "", VLOOKUP('Interactive Selection Sheet'!$G194, 'Master List Import'!$A$1:$P$519, 12, FALSE), ""), "")</f>
        <v>12</v>
      </c>
      <c r="O344" s="69">
        <f>_xlfn.IFNA(IF('Interactive Selection Sheet'!F194= "", VLOOKUP('Interactive Selection Sheet'!$G194, 'Master List Import'!$A$1:$P$519, 13, FALSE), ""), "")</f>
        <v>7054</v>
      </c>
      <c r="P344" s="69" t="str">
        <f>_xlfn.IFNA(IF('Interactive Selection Sheet'!F194= "", VLOOKUP('Interactive Selection Sheet'!$G194, 'Master List Import'!$A$1:$P$519, 14, FALSE), ""), "")</f>
        <v>Instant Mashed Potatoes, Loaded</v>
      </c>
      <c r="Q344" s="69">
        <f>_xlfn.IFNA(IF('Interactive Selection Sheet'!F194= "", VLOOKUP('Interactive Selection Sheet'!$G194, 'Master List Import'!$A$1:$P$519, 15, FALSE), ""), "")</f>
        <v>1</v>
      </c>
      <c r="R344" s="74">
        <f>_xlfn.IFNA(IF('Interactive Selection Sheet'!F194= "", VLOOKUP('Interactive Selection Sheet'!$G194, 'Master List Import'!$A$1:$P$519, 16, FALSE), ""), "")</f>
        <v>4.2</v>
      </c>
    </row>
    <row r="345" spans="1:18" ht="21.75" customHeight="1" x14ac:dyDescent="0.25">
      <c r="A345" s="69">
        <f>_xlfn.IFNA(IF('Interactive Selection Sheet'!F195= "", VLOOKUP('Interactive Selection Sheet'!$G195, 'Master List Import'!$A$1:$P$519, 2, FALSE), ""), "")</f>
        <v>7055</v>
      </c>
      <c r="B345" s="69" t="str">
        <f>_xlfn.IFNA(IF('Interactive Selection Sheet'!F195= "", VLOOKUP('Interactive Selection Sheet'!$G195, 'Master List Import'!$A$1:$P$519, 3, FALSE), ""), "")</f>
        <v>Idahoan Instant Potatoes Monterey Pepper Jack, 4oz - 12/cs</v>
      </c>
      <c r="C345" s="76">
        <f>IF('Interactive Selection Sheet'!$T$2="", "", IF(B345="","",'Interactive Selection Sheet'!$T$2))</f>
        <v>3.5000000000000003E-2</v>
      </c>
      <c r="D345" s="70">
        <f>IF(B345 = "", "", 'Interactive Selection Sheet'!$P$2)</f>
        <v>4.4999999999999998E-2</v>
      </c>
      <c r="E345" s="70">
        <f>IF(B345="","", 'Interactive Selection Sheet'!$R$2)</f>
        <v>0.02</v>
      </c>
      <c r="F345" s="69" t="str">
        <f>_xlfn.IFNA(IF('Interactive Selection Sheet'!F195= "", VLOOKUP('Interactive Selection Sheet'!$G195, 'Master List Import'!$A$1:$P$519, 4, FALSE), ""), "")</f>
        <v>Grocery</v>
      </c>
      <c r="G345" s="69" t="str">
        <f>_xlfn.IFNA(IF('Interactive Selection Sheet'!F195= "", VLOOKUP('Interactive Selection Sheet'!$G195, 'Master List Import'!$A$1:$P$519, 5, FALSE), ""), "")</f>
        <v>Grocery</v>
      </c>
      <c r="H345" s="69" t="str">
        <f>_xlfn.IFNA(IF('Interactive Selection Sheet'!F195= "", VLOOKUP('Interactive Selection Sheet'!$G195, 'Master List Import'!$A$1:$P$519, 6, FALSE), ""), "")</f>
        <v>Both</v>
      </c>
      <c r="I345" s="72">
        <f>_xlfn.IFNA(IF('Interactive Selection Sheet'!F195= "", VLOOKUP('Interactive Selection Sheet'!$G195, 'Master List Import'!$A$1:$P$519, 7, FALSE), ""), "")</f>
        <v>1.2</v>
      </c>
      <c r="J345" s="69" t="str">
        <f>_xlfn.IFNA(IF('Interactive Selection Sheet'!F195= "", VLOOKUP('Interactive Selection Sheet'!$G195, 'Master List Import'!$A$1:$P$519, 8, FALSE), ""), "")</f>
        <v>REI</v>
      </c>
      <c r="K345" s="69" t="str">
        <f>_xlfn.IFNA(IF('Interactive Selection Sheet'!F195= "", VLOOKUP('Interactive Selection Sheet'!$G195, 'Master List Import'!$A$1:$P$519, 9, FALSE), ""), "")</f>
        <v>172842</v>
      </c>
      <c r="L345" s="69">
        <f>_xlfn.IFNA(IF('Interactive Selection Sheet'!F195= "", VLOOKUP('Interactive Selection Sheet'!$G195, 'Master List Import'!$A$1:$P$519, 10, FALSE), ""), "")</f>
        <v>0</v>
      </c>
      <c r="M345" s="69">
        <f>_xlfn.IFNA(IF('Interactive Selection Sheet'!F195= "", VLOOKUP('Interactive Selection Sheet'!$G195, 'Master List Import'!$A$1:$P$519, 11, FALSE), ""), "")</f>
        <v>0</v>
      </c>
      <c r="N345" s="69">
        <f>_xlfn.IFNA(IF('Interactive Selection Sheet'!F195= "", VLOOKUP('Interactive Selection Sheet'!$G195, 'Master List Import'!$A$1:$P$519, 12, FALSE), ""), "")</f>
        <v>12</v>
      </c>
      <c r="O345" s="69">
        <f>_xlfn.IFNA(IF('Interactive Selection Sheet'!F195= "", VLOOKUP('Interactive Selection Sheet'!$G195, 'Master List Import'!$A$1:$P$519, 13, FALSE), ""), "")</f>
        <v>7055</v>
      </c>
      <c r="P345" s="69" t="str">
        <f>_xlfn.IFNA(IF('Interactive Selection Sheet'!F195= "", VLOOKUP('Interactive Selection Sheet'!$G195, 'Master List Import'!$A$1:$P$519, 14, FALSE), ""), "")</f>
        <v>Instant Mashed Potatoes, Pepper Jack</v>
      </c>
      <c r="Q345" s="69">
        <f>_xlfn.IFNA(IF('Interactive Selection Sheet'!F195= "", VLOOKUP('Interactive Selection Sheet'!$G195, 'Master List Import'!$A$1:$P$519, 15, FALSE), ""), "")</f>
        <v>1</v>
      </c>
      <c r="R345" s="74">
        <f>_xlfn.IFNA(IF('Interactive Selection Sheet'!F195= "", VLOOKUP('Interactive Selection Sheet'!$G195, 'Master List Import'!$A$1:$P$519, 16, FALSE), ""), "")</f>
        <v>4.2</v>
      </c>
    </row>
    <row r="346" spans="1:18" ht="21.75" customHeight="1" x14ac:dyDescent="0.25">
      <c r="A346" s="69">
        <f>_xlfn.IFNA(IF('Interactive Selection Sheet'!F196= "", VLOOKUP('Interactive Selection Sheet'!$G196, 'Master List Import'!$A$1:$P$519, 2, FALSE), ""), "")</f>
        <v>7058</v>
      </c>
      <c r="B346" s="69" t="str">
        <f>_xlfn.IFNA(IF('Interactive Selection Sheet'!F196= "", VLOOKUP('Interactive Selection Sheet'!$G196, 'Master List Import'!$A$1:$P$519, 3, FALSE), ""), "")</f>
        <v>CookQuik Instant Red Beans &amp; Rice w/chili Flavor, 4.4oz - 48/cs</v>
      </c>
      <c r="C346" s="76">
        <f>IF('Interactive Selection Sheet'!$T$2="", "", IF(B346="","",'Interactive Selection Sheet'!$T$2))</f>
        <v>3.5000000000000003E-2</v>
      </c>
      <c r="D346" s="70">
        <f>IF(B346 = "", "", 'Interactive Selection Sheet'!$P$2)</f>
        <v>4.4999999999999998E-2</v>
      </c>
      <c r="E346" s="70">
        <f>IF(B346="","", 'Interactive Selection Sheet'!$R$2)</f>
        <v>0.02</v>
      </c>
      <c r="F346" s="69" t="str">
        <f>_xlfn.IFNA(IF('Interactive Selection Sheet'!F196= "", VLOOKUP('Interactive Selection Sheet'!$G196, 'Master List Import'!$A$1:$P$519, 4, FALSE), ""), "")</f>
        <v>Grocery</v>
      </c>
      <c r="G346" s="69" t="str">
        <f>_xlfn.IFNA(IF('Interactive Selection Sheet'!F196= "", VLOOKUP('Interactive Selection Sheet'!$G196, 'Master List Import'!$A$1:$P$519, 5, FALSE), ""), "")</f>
        <v>Grocery</v>
      </c>
      <c r="H346" s="69" t="str">
        <f>_xlfn.IFNA(IF('Interactive Selection Sheet'!F196= "", VLOOKUP('Interactive Selection Sheet'!$G196, 'Master List Import'!$A$1:$P$519, 6, FALSE), ""), "")</f>
        <v>Both</v>
      </c>
      <c r="I346" s="72">
        <f>_xlfn.IFNA(IF('Interactive Selection Sheet'!F196= "", VLOOKUP('Interactive Selection Sheet'!$G196, 'Master List Import'!$A$1:$P$519, 7, FALSE), ""), "")</f>
        <v>0.9</v>
      </c>
      <c r="J346" s="69" t="str">
        <f>_xlfn.IFNA(IF('Interactive Selection Sheet'!F196= "", VLOOKUP('Interactive Selection Sheet'!$G196, 'Master List Import'!$A$1:$P$519, 8, FALSE), ""), "")</f>
        <v>REI</v>
      </c>
      <c r="K346" s="69" t="str">
        <f>_xlfn.IFNA(IF('Interactive Selection Sheet'!F196= "", VLOOKUP('Interactive Selection Sheet'!$G196, 'Master List Import'!$A$1:$P$519, 9, FALSE), ""), "")</f>
        <v>290444</v>
      </c>
      <c r="L346" s="69">
        <f>_xlfn.IFNA(IF('Interactive Selection Sheet'!F196= "", VLOOKUP('Interactive Selection Sheet'!$G196, 'Master List Import'!$A$1:$P$519, 10, FALSE), ""), "")</f>
        <v>0</v>
      </c>
      <c r="M346" s="69">
        <f>_xlfn.IFNA(IF('Interactive Selection Sheet'!F196= "", VLOOKUP('Interactive Selection Sheet'!$G196, 'Master List Import'!$A$1:$P$519, 11, FALSE), ""), "")</f>
        <v>0</v>
      </c>
      <c r="N346" s="69">
        <f>_xlfn.IFNA(IF('Interactive Selection Sheet'!F196= "", VLOOKUP('Interactive Selection Sheet'!$G196, 'Master List Import'!$A$1:$P$519, 12, FALSE), ""), "")</f>
        <v>48</v>
      </c>
      <c r="O346" s="69">
        <f>_xlfn.IFNA(IF('Interactive Selection Sheet'!F196= "", VLOOKUP('Interactive Selection Sheet'!$G196, 'Master List Import'!$A$1:$P$519, 13, FALSE), ""), "")</f>
        <v>7058</v>
      </c>
      <c r="P346" s="69" t="str">
        <f>_xlfn.IFNA(IF('Interactive Selection Sheet'!F196= "", VLOOKUP('Interactive Selection Sheet'!$G196, 'Master List Import'!$A$1:$P$519, 14, FALSE), ""), "")</f>
        <v>Instant Red Beans &amp; Rice w/chili</v>
      </c>
      <c r="Q346" s="69">
        <f>_xlfn.IFNA(IF('Interactive Selection Sheet'!F196= "", VLOOKUP('Interactive Selection Sheet'!$G196, 'Master List Import'!$A$1:$P$519, 15, FALSE), ""), "")</f>
        <v>1</v>
      </c>
      <c r="R346" s="74">
        <f>_xlfn.IFNA(IF('Interactive Selection Sheet'!F196= "", VLOOKUP('Interactive Selection Sheet'!$G196, 'Master List Import'!$A$1:$P$519, 16, FALSE), ""), "")</f>
        <v>3.15</v>
      </c>
    </row>
    <row r="347" spans="1:18" ht="21.75" customHeight="1" x14ac:dyDescent="0.25">
      <c r="A347" s="69">
        <f>_xlfn.IFNA(IF('Interactive Selection Sheet'!F199= "", VLOOKUP('Interactive Selection Sheet'!$G199, 'Master List Import'!$A$1:$P$519, 2, FALSE), ""), "")</f>
        <v>7070</v>
      </c>
      <c r="B347" s="69" t="str">
        <f>_xlfn.IFNA(IF('Interactive Selection Sheet'!F199= "", VLOOKUP('Interactive Selection Sheet'!$G199, 'Master List Import'!$A$1:$P$519, 3, FALSE), ""), "")</f>
        <v>Nuevo Leon 8" Flour Tortillas, 16oz 12pk - 30/cs</v>
      </c>
      <c r="C347" s="76">
        <f>IF('Interactive Selection Sheet'!$T$2="", "", IF(B347="","",'Interactive Selection Sheet'!$T$2))</f>
        <v>3.5000000000000003E-2</v>
      </c>
      <c r="D347" s="70">
        <f>IF(B347 = "", "", 'Interactive Selection Sheet'!$P$2)</f>
        <v>4.4999999999999998E-2</v>
      </c>
      <c r="E347" s="70">
        <f>IF(B347="","", 'Interactive Selection Sheet'!$R$2)</f>
        <v>0.02</v>
      </c>
      <c r="F347" s="69" t="str">
        <f>_xlfn.IFNA(IF('Interactive Selection Sheet'!F199= "", VLOOKUP('Interactive Selection Sheet'!$G199, 'Master List Import'!$A$1:$P$519, 4, FALSE), ""), "")</f>
        <v>Grocery</v>
      </c>
      <c r="G347" s="69" t="str">
        <f>_xlfn.IFNA(IF('Interactive Selection Sheet'!F199= "", VLOOKUP('Interactive Selection Sheet'!$G199, 'Master List Import'!$A$1:$P$519, 5, FALSE), ""), "")</f>
        <v>Grocery</v>
      </c>
      <c r="H347" s="69" t="str">
        <f>_xlfn.IFNA(IF('Interactive Selection Sheet'!F199= "", VLOOKUP('Interactive Selection Sheet'!$G199, 'Master List Import'!$A$1:$P$519, 6, FALSE), ""), "")</f>
        <v>Both</v>
      </c>
      <c r="I347" s="72">
        <f>_xlfn.IFNA(IF('Interactive Selection Sheet'!F199= "", VLOOKUP('Interactive Selection Sheet'!$G199, 'Master List Import'!$A$1:$P$519, 7, FALSE), ""), "")</f>
        <v>1.1000000000000001</v>
      </c>
      <c r="J347" s="69" t="str">
        <f>_xlfn.IFNA(IF('Interactive Selection Sheet'!F199= "", VLOOKUP('Interactive Selection Sheet'!$G199, 'Master List Import'!$A$1:$P$519, 8, FALSE), ""), "")</f>
        <v>REI</v>
      </c>
      <c r="K347" s="69" t="str">
        <f>_xlfn.IFNA(IF('Interactive Selection Sheet'!F199= "", VLOOKUP('Interactive Selection Sheet'!$G199, 'Master List Import'!$A$1:$P$519, 9, FALSE), ""), "")</f>
        <v>366622</v>
      </c>
      <c r="L347" s="69">
        <f>_xlfn.IFNA(IF('Interactive Selection Sheet'!F199= "", VLOOKUP('Interactive Selection Sheet'!$G199, 'Master List Import'!$A$1:$P$519, 10, FALSE), ""), "")</f>
        <v>0</v>
      </c>
      <c r="M347" s="69">
        <f>_xlfn.IFNA(IF('Interactive Selection Sheet'!F199= "", VLOOKUP('Interactive Selection Sheet'!$G199, 'Master List Import'!$A$1:$P$519, 11, FALSE), ""), "")</f>
        <v>0</v>
      </c>
      <c r="N347" s="69">
        <f>_xlfn.IFNA(IF('Interactive Selection Sheet'!F199= "", VLOOKUP('Interactive Selection Sheet'!$G199, 'Master List Import'!$A$1:$P$519, 12, FALSE), ""), "")</f>
        <v>30</v>
      </c>
      <c r="O347" s="69">
        <f>_xlfn.IFNA(IF('Interactive Selection Sheet'!F199= "", VLOOKUP('Interactive Selection Sheet'!$G199, 'Master List Import'!$A$1:$P$519, 13, FALSE), ""), "")</f>
        <v>7070</v>
      </c>
      <c r="P347" s="69" t="str">
        <f>_xlfn.IFNA(IF('Interactive Selection Sheet'!F199= "", VLOOKUP('Interactive Selection Sheet'!$G199, 'Master List Import'!$A$1:$P$519, 14, FALSE), ""), "")</f>
        <v>Flour Tortillas (Pack)</v>
      </c>
      <c r="Q347" s="69">
        <f>_xlfn.IFNA(IF('Interactive Selection Sheet'!F199= "", VLOOKUP('Interactive Selection Sheet'!$G199, 'Master List Import'!$A$1:$P$519, 15, FALSE), ""), "")</f>
        <v>1</v>
      </c>
      <c r="R347" s="74">
        <f>_xlfn.IFNA(IF('Interactive Selection Sheet'!F199= "", VLOOKUP('Interactive Selection Sheet'!$G199, 'Master List Import'!$A$1:$P$519, 16, FALSE), ""), "")</f>
        <v>3.75</v>
      </c>
    </row>
    <row r="348" spans="1:18" ht="21.75" customHeight="1" x14ac:dyDescent="0.25">
      <c r="A348" s="69">
        <f>_xlfn.IFNA(IF('Interactive Selection Sheet'!F200= "", VLOOKUP('Interactive Selection Sheet'!$G200, 'Master List Import'!$A$1:$P$519, 2, FALSE), ""), "")</f>
        <v>7080</v>
      </c>
      <c r="B348" s="69" t="str">
        <f>_xlfn.IFNA(IF('Interactive Selection Sheet'!F200= "", VLOOKUP('Interactive Selection Sheet'!$G200, 'Master List Import'!$A$1:$P$519, 3, FALSE), ""), "")</f>
        <v>Baker's Harvest Saltine Crackers, 16oz box - 12/cs</v>
      </c>
      <c r="C348" s="76">
        <f>IF('Interactive Selection Sheet'!$T$2="", "", IF(B348="","",'Interactive Selection Sheet'!$T$2))</f>
        <v>3.5000000000000003E-2</v>
      </c>
      <c r="D348" s="70">
        <f>IF(B348 = "", "", 'Interactive Selection Sheet'!$P$2)</f>
        <v>4.4999999999999998E-2</v>
      </c>
      <c r="E348" s="70">
        <f>IF(B348="","", 'Interactive Selection Sheet'!$R$2)</f>
        <v>0.02</v>
      </c>
      <c r="F348" s="69" t="str">
        <f>_xlfn.IFNA(IF('Interactive Selection Sheet'!F200= "", VLOOKUP('Interactive Selection Sheet'!$G200, 'Master List Import'!$A$1:$P$519, 4, FALSE), ""), "")</f>
        <v>Grocery</v>
      </c>
      <c r="G348" s="69" t="str">
        <f>_xlfn.IFNA(IF('Interactive Selection Sheet'!F200= "", VLOOKUP('Interactive Selection Sheet'!$G200, 'Master List Import'!$A$1:$P$519, 5, FALSE), ""), "")</f>
        <v>Grocery</v>
      </c>
      <c r="H348" s="69" t="str">
        <f>_xlfn.IFNA(IF('Interactive Selection Sheet'!F200= "", VLOOKUP('Interactive Selection Sheet'!$G200, 'Master List Import'!$A$1:$P$519, 6, FALSE), ""), "")</f>
        <v>Both</v>
      </c>
      <c r="I348" s="72">
        <f>_xlfn.IFNA(IF('Interactive Selection Sheet'!F200= "", VLOOKUP('Interactive Selection Sheet'!$G200, 'Master List Import'!$A$1:$P$519, 7, FALSE), ""), "")</f>
        <v>1.4516</v>
      </c>
      <c r="J348" s="69" t="str">
        <f>_xlfn.IFNA(IF('Interactive Selection Sheet'!F200= "", VLOOKUP('Interactive Selection Sheet'!$G200, 'Master List Import'!$A$1:$P$519, 8, FALSE), ""), "")</f>
        <v>REI</v>
      </c>
      <c r="K348" s="69" t="str">
        <f>_xlfn.IFNA(IF('Interactive Selection Sheet'!F200= "", VLOOKUP('Interactive Selection Sheet'!$G200, 'Master List Import'!$A$1:$P$519, 9, FALSE), ""), "")</f>
        <v>195016</v>
      </c>
      <c r="L348" s="69">
        <f>_xlfn.IFNA(IF('Interactive Selection Sheet'!F200= "", VLOOKUP('Interactive Selection Sheet'!$G200, 'Master List Import'!$A$1:$P$519, 10, FALSE), ""), "")</f>
        <v>0</v>
      </c>
      <c r="M348" s="69">
        <f>_xlfn.IFNA(IF('Interactive Selection Sheet'!F200= "", VLOOKUP('Interactive Selection Sheet'!$G200, 'Master List Import'!$A$1:$P$519, 11, FALSE), ""), "")</f>
        <v>0</v>
      </c>
      <c r="N348" s="69">
        <f>_xlfn.IFNA(IF('Interactive Selection Sheet'!F200= "", VLOOKUP('Interactive Selection Sheet'!$G200, 'Master List Import'!$A$1:$P$519, 12, FALSE), ""), "")</f>
        <v>12</v>
      </c>
      <c r="O348" s="69">
        <f>_xlfn.IFNA(IF('Interactive Selection Sheet'!F200= "", VLOOKUP('Interactive Selection Sheet'!$G200, 'Master List Import'!$A$1:$P$519, 13, FALSE), ""), "")</f>
        <v>7080</v>
      </c>
      <c r="P348" s="69" t="str">
        <f>_xlfn.IFNA(IF('Interactive Selection Sheet'!F200= "", VLOOKUP('Interactive Selection Sheet'!$G200, 'Master List Import'!$A$1:$P$519, 14, FALSE), ""), "")</f>
        <v>Saltine Crackers (16oz)</v>
      </c>
      <c r="Q348" s="69">
        <f>_xlfn.IFNA(IF('Interactive Selection Sheet'!F200= "", VLOOKUP('Interactive Selection Sheet'!$G200, 'Master List Import'!$A$1:$P$519, 15, FALSE), ""), "")</f>
        <v>1</v>
      </c>
      <c r="R348" s="74">
        <f>_xlfn.IFNA(IF('Interactive Selection Sheet'!F200= "", VLOOKUP('Interactive Selection Sheet'!$G200, 'Master List Import'!$A$1:$P$519, 16, FALSE), ""), "")</f>
        <v>4.75</v>
      </c>
    </row>
    <row r="349" spans="1:18" ht="21.75" customHeight="1" x14ac:dyDescent="0.25">
      <c r="A349" s="69">
        <f>_xlfn.IFNA(IF('Interactive Selection Sheet'!F201= "", VLOOKUP('Interactive Selection Sheet'!$G201, 'Master List Import'!$A$1:$P$519, 2, FALSE), ""), "")</f>
        <v>7081</v>
      </c>
      <c r="B349" s="69" t="str">
        <f>_xlfn.IFNA(IF('Interactive Selection Sheet'!F201= "", VLOOKUP('Interactive Selection Sheet'!$G201, 'Master List Import'!$A$1:$P$519, 3, FALSE), ""), "")</f>
        <v>Baker's Harvest Snack Crackers, 10.3oz box - 12/cs</v>
      </c>
      <c r="C349" s="76">
        <f>IF('Interactive Selection Sheet'!$T$2="", "", IF(B349="","",'Interactive Selection Sheet'!$T$2))</f>
        <v>3.5000000000000003E-2</v>
      </c>
      <c r="D349" s="70">
        <f>IF(B349 = "", "", 'Interactive Selection Sheet'!$P$2)</f>
        <v>4.4999999999999998E-2</v>
      </c>
      <c r="E349" s="70">
        <f>IF(B349="","", 'Interactive Selection Sheet'!$R$2)</f>
        <v>0.02</v>
      </c>
      <c r="F349" s="69" t="str">
        <f>_xlfn.IFNA(IF('Interactive Selection Sheet'!F201= "", VLOOKUP('Interactive Selection Sheet'!$G201, 'Master List Import'!$A$1:$P$519, 4, FALSE), ""), "")</f>
        <v>Grocery</v>
      </c>
      <c r="G349" s="69" t="str">
        <f>_xlfn.IFNA(IF('Interactive Selection Sheet'!F201= "", VLOOKUP('Interactive Selection Sheet'!$G201, 'Master List Import'!$A$1:$P$519, 5, FALSE), ""), "")</f>
        <v>Grocery</v>
      </c>
      <c r="H349" s="69" t="str">
        <f>_xlfn.IFNA(IF('Interactive Selection Sheet'!F201= "", VLOOKUP('Interactive Selection Sheet'!$G201, 'Master List Import'!$A$1:$P$519, 6, FALSE), ""), "")</f>
        <v>Both</v>
      </c>
      <c r="I349" s="72">
        <f>_xlfn.IFNA(IF('Interactive Selection Sheet'!F201= "", VLOOKUP('Interactive Selection Sheet'!$G201, 'Master List Import'!$A$1:$P$519, 7, FALSE), ""), "")</f>
        <v>1.61</v>
      </c>
      <c r="J349" s="69" t="str">
        <f>_xlfn.IFNA(IF('Interactive Selection Sheet'!F201= "", VLOOKUP('Interactive Selection Sheet'!$G201, 'Master List Import'!$A$1:$P$519, 8, FALSE), ""), "")</f>
        <v>REI</v>
      </c>
      <c r="K349" s="69" t="str">
        <f>_xlfn.IFNA(IF('Interactive Selection Sheet'!F201= "", VLOOKUP('Interactive Selection Sheet'!$G201, 'Master List Import'!$A$1:$P$519, 9, FALSE), ""), "")</f>
        <v>195206</v>
      </c>
      <c r="L349" s="69">
        <f>_xlfn.IFNA(IF('Interactive Selection Sheet'!F201= "", VLOOKUP('Interactive Selection Sheet'!$G201, 'Master List Import'!$A$1:$P$519, 10, FALSE), ""), "")</f>
        <v>0</v>
      </c>
      <c r="M349" s="69">
        <f>_xlfn.IFNA(IF('Interactive Selection Sheet'!F201= "", VLOOKUP('Interactive Selection Sheet'!$G201, 'Master List Import'!$A$1:$P$519, 11, FALSE), ""), "")</f>
        <v>0</v>
      </c>
      <c r="N349" s="69">
        <f>_xlfn.IFNA(IF('Interactive Selection Sheet'!F201= "", VLOOKUP('Interactive Selection Sheet'!$G201, 'Master List Import'!$A$1:$P$519, 12, FALSE), ""), "")</f>
        <v>12</v>
      </c>
      <c r="O349" s="69">
        <f>_xlfn.IFNA(IF('Interactive Selection Sheet'!F201= "", VLOOKUP('Interactive Selection Sheet'!$G201, 'Master List Import'!$A$1:$P$519, 13, FALSE), ""), "")</f>
        <v>7081</v>
      </c>
      <c r="P349" s="69" t="str">
        <f>_xlfn.IFNA(IF('Interactive Selection Sheet'!F201= "", VLOOKUP('Interactive Selection Sheet'!$G201, 'Master List Import'!$A$1:$P$519, 14, FALSE), ""), "")</f>
        <v>Snack Crackers (10oz)</v>
      </c>
      <c r="Q349" s="69">
        <f>_xlfn.IFNA(IF('Interactive Selection Sheet'!F201= "", VLOOKUP('Interactive Selection Sheet'!$G201, 'Master List Import'!$A$1:$P$519, 15, FALSE), ""), "")</f>
        <v>1</v>
      </c>
      <c r="R349" s="74">
        <f>_xlfn.IFNA(IF('Interactive Selection Sheet'!F201= "", VLOOKUP('Interactive Selection Sheet'!$G201, 'Master List Import'!$A$1:$P$519, 16, FALSE), ""), "")</f>
        <v>5</v>
      </c>
    </row>
    <row r="350" spans="1:18" ht="21.75" customHeight="1" x14ac:dyDescent="0.25">
      <c r="A350" s="69">
        <f>_xlfn.IFNA(IF('Interactive Selection Sheet'!A236 = "", VLOOKUP('Interactive Selection Sheet'!$B236, 'Master List Import'!$A$1:$P$519, 2, FALSE), ""), "")</f>
        <v>7100</v>
      </c>
      <c r="B350" s="69" t="str">
        <f>_xlfn.IFNA(IF('Interactive Selection Sheet'!A236 = "", VLOOKUP('Interactive Selection Sheet'!$B236, 'Master List Import'!$A$1:$P$519, 3, FALSE), ""), "")</f>
        <v>Village Farm Instant Grits, Butter Flavor 12pk - 12/cs</v>
      </c>
      <c r="C350" s="76">
        <f>IF('Interactive Selection Sheet'!$T$2="", "", IF(B350="","",'Interactive Selection Sheet'!$T$2))</f>
        <v>3.5000000000000003E-2</v>
      </c>
      <c r="D350" s="70">
        <f>IF(B350 = "", "", 'Interactive Selection Sheet'!$P$2)</f>
        <v>4.4999999999999998E-2</v>
      </c>
      <c r="E350" s="70">
        <f>IF(B350="","", 'Interactive Selection Sheet'!$R$2)</f>
        <v>0.02</v>
      </c>
      <c r="F350" s="69" t="str">
        <f>_xlfn.IFNA(IF('Interactive Selection Sheet'!A236 = "", VLOOKUP('Interactive Selection Sheet'!$B236, 'Master List Import'!$A$1:$P$519, 4, FALSE), ""), "")</f>
        <v>Breakfast</v>
      </c>
      <c r="G350" s="69" t="str">
        <f>_xlfn.IFNA(IF('Interactive Selection Sheet'!A236 = "", VLOOKUP('Interactive Selection Sheet'!$B236, 'Master List Import'!$A$1:$P$519, 5, FALSE), ""), "")</f>
        <v>Breakfast</v>
      </c>
      <c r="H350" s="69" t="str">
        <f>_xlfn.IFNA(IF('Interactive Selection Sheet'!A236 = "", VLOOKUP('Interactive Selection Sheet'!$B236, 'Master List Import'!$A$1:$P$519, 6, FALSE), ""), "")</f>
        <v>Both</v>
      </c>
      <c r="I350" s="72">
        <f>_xlfn.IFNA(IF('Interactive Selection Sheet'!A236 = "", VLOOKUP('Interactive Selection Sheet'!$B236, 'Master List Import'!$A$1:$P$519, 7, FALSE), ""), "")</f>
        <v>2</v>
      </c>
      <c r="J350" s="69" t="str">
        <f>_xlfn.IFNA(IF('Interactive Selection Sheet'!A236 = "", VLOOKUP('Interactive Selection Sheet'!$B236, 'Master List Import'!$A$1:$P$519, 8, FALSE), ""), "")</f>
        <v>REI</v>
      </c>
      <c r="K350" s="69" t="str">
        <f>_xlfn.IFNA(IF('Interactive Selection Sheet'!A236 = "", VLOOKUP('Interactive Selection Sheet'!$B236, 'Master List Import'!$A$1:$P$519, 9, FALSE), ""), "")</f>
        <v>182020</v>
      </c>
      <c r="L350" s="69">
        <f>_xlfn.IFNA(IF('Interactive Selection Sheet'!A236 = "", VLOOKUP('Interactive Selection Sheet'!$B236, 'Master List Import'!$A$1:$P$519, 10, FALSE), ""), "")</f>
        <v>0</v>
      </c>
      <c r="M350" s="69">
        <f>_xlfn.IFNA(IF('Interactive Selection Sheet'!A236 = "", VLOOKUP('Interactive Selection Sheet'!$B236, 'Master List Import'!$A$1:$P$519, 11, FALSE), ""), "")</f>
        <v>0</v>
      </c>
      <c r="N350" s="69">
        <f>_xlfn.IFNA(IF('Interactive Selection Sheet'!A236 = "", VLOOKUP('Interactive Selection Sheet'!$B236, 'Master List Import'!$A$1:$P$519, 12, FALSE), ""), "")</f>
        <v>12</v>
      </c>
      <c r="O350" s="69">
        <f>_xlfn.IFNA(IF('Interactive Selection Sheet'!A236 = "", VLOOKUP('Interactive Selection Sheet'!$B236, 'Master List Import'!$A$1:$P$519, 13, FALSE), ""), "")</f>
        <v>7100</v>
      </c>
      <c r="P350" s="69" t="str">
        <f>_xlfn.IFNA(IF('Interactive Selection Sheet'!A236 = "", VLOOKUP('Interactive Selection Sheet'!$B236, 'Master List Import'!$A$1:$P$519, 14, FALSE), ""), "")</f>
        <v>Instant Grits, Butter Flavor (12pk)</v>
      </c>
      <c r="Q350" s="69">
        <f>_xlfn.IFNA(IF('Interactive Selection Sheet'!A236 = "", VLOOKUP('Interactive Selection Sheet'!$B236, 'Master List Import'!$A$1:$P$519, 15, FALSE), ""), "")</f>
        <v>1</v>
      </c>
      <c r="R350" s="74">
        <f>_xlfn.IFNA(IF('Interactive Selection Sheet'!A236 = "", VLOOKUP('Interactive Selection Sheet'!$B236, 'Master List Import'!$A$1:$P$519, 16, FALSE), ""), "")</f>
        <v>7</v>
      </c>
    </row>
    <row r="351" spans="1:18" ht="21.75" customHeight="1" x14ac:dyDescent="0.25">
      <c r="A351" s="69">
        <f>_xlfn.IFNA(IF('Interactive Selection Sheet'!A237 = "", VLOOKUP('Interactive Selection Sheet'!$B237, 'Master List Import'!$A$1:$P$519, 2, FALSE), ""), "")</f>
        <v>7101</v>
      </c>
      <c r="B351" s="69" t="str">
        <f>_xlfn.IFNA(IF('Interactive Selection Sheet'!A237 = "", VLOOKUP('Interactive Selection Sheet'!$B237, 'Master List Import'!$A$1:$P$519, 3, FALSE), ""), "")</f>
        <v>Village Farm Oatmeal, Variety Flavor 10pk - 12/cs</v>
      </c>
      <c r="C351" s="76">
        <f>IF('Interactive Selection Sheet'!$T$2="", "", IF(B351="","",'Interactive Selection Sheet'!$T$2))</f>
        <v>3.5000000000000003E-2</v>
      </c>
      <c r="D351" s="70">
        <f>IF(B351 = "", "", 'Interactive Selection Sheet'!$P$2)</f>
        <v>4.4999999999999998E-2</v>
      </c>
      <c r="E351" s="70">
        <f>IF(B351="","", 'Interactive Selection Sheet'!$R$2)</f>
        <v>0.02</v>
      </c>
      <c r="F351" s="69" t="str">
        <f>_xlfn.IFNA(IF('Interactive Selection Sheet'!A237 = "", VLOOKUP('Interactive Selection Sheet'!$B237, 'Master List Import'!$A$1:$P$519, 4, FALSE), ""), "")</f>
        <v>Breakfast</v>
      </c>
      <c r="G351" s="69" t="str">
        <f>_xlfn.IFNA(IF('Interactive Selection Sheet'!A237 = "", VLOOKUP('Interactive Selection Sheet'!$B237, 'Master List Import'!$A$1:$P$519, 5, FALSE), ""), "")</f>
        <v>Breakfast</v>
      </c>
      <c r="H351" s="69" t="str">
        <f>_xlfn.IFNA(IF('Interactive Selection Sheet'!A237 = "", VLOOKUP('Interactive Selection Sheet'!$B237, 'Master List Import'!$A$1:$P$519, 6, FALSE), ""), "")</f>
        <v>Both</v>
      </c>
      <c r="I351" s="72">
        <f>_xlfn.IFNA(IF('Interactive Selection Sheet'!A237 = "", VLOOKUP('Interactive Selection Sheet'!$B237, 'Master List Import'!$A$1:$P$519, 7, FALSE), ""), "")</f>
        <v>1.78</v>
      </c>
      <c r="J351" s="69" t="str">
        <f>_xlfn.IFNA(IF('Interactive Selection Sheet'!A237 = "", VLOOKUP('Interactive Selection Sheet'!$B237, 'Master List Import'!$A$1:$P$519, 8, FALSE), ""), "")</f>
        <v>REI</v>
      </c>
      <c r="K351" s="69" t="str">
        <f>_xlfn.IFNA(IF('Interactive Selection Sheet'!A237 = "", VLOOKUP('Interactive Selection Sheet'!$B237, 'Master List Import'!$A$1:$P$519, 9, FALSE), ""), "")</f>
        <v>182025</v>
      </c>
      <c r="L351" s="69">
        <f>_xlfn.IFNA(IF('Interactive Selection Sheet'!A237 = "", VLOOKUP('Interactive Selection Sheet'!$B237, 'Master List Import'!$A$1:$P$519, 10, FALSE), ""), "")</f>
        <v>0</v>
      </c>
      <c r="M351" s="69">
        <f>_xlfn.IFNA(IF('Interactive Selection Sheet'!A237 = "", VLOOKUP('Interactive Selection Sheet'!$B237, 'Master List Import'!$A$1:$P$519, 11, FALSE), ""), "")</f>
        <v>0</v>
      </c>
      <c r="N351" s="69">
        <f>_xlfn.IFNA(IF('Interactive Selection Sheet'!A237 = "", VLOOKUP('Interactive Selection Sheet'!$B237, 'Master List Import'!$A$1:$P$519, 12, FALSE), ""), "")</f>
        <v>12</v>
      </c>
      <c r="O351" s="69">
        <f>_xlfn.IFNA(IF('Interactive Selection Sheet'!A237 = "", VLOOKUP('Interactive Selection Sheet'!$B237, 'Master List Import'!$A$1:$P$519, 13, FALSE), ""), "")</f>
        <v>7101</v>
      </c>
      <c r="P351" s="69" t="str">
        <f>_xlfn.IFNA(IF('Interactive Selection Sheet'!A237 = "", VLOOKUP('Interactive Selection Sheet'!$B237, 'Master List Import'!$A$1:$P$519, 14, FALSE), ""), "")</f>
        <v>Instant Oatmeal (10pk Variety)</v>
      </c>
      <c r="Q351" s="69">
        <f>_xlfn.IFNA(IF('Interactive Selection Sheet'!A237 = "", VLOOKUP('Interactive Selection Sheet'!$B237, 'Master List Import'!$A$1:$P$519, 15, FALSE), ""), "")</f>
        <v>1</v>
      </c>
      <c r="R351" s="74">
        <f>_xlfn.IFNA(IF('Interactive Selection Sheet'!A237 = "", VLOOKUP('Interactive Selection Sheet'!$B237, 'Master List Import'!$A$1:$P$519, 16, FALSE), ""), "")</f>
        <v>5.8</v>
      </c>
    </row>
    <row r="352" spans="1:18" ht="21.75" customHeight="1" x14ac:dyDescent="0.25">
      <c r="A352" s="69">
        <f>_xlfn.IFNA(IF('Interactive Selection Sheet'!A238 = "", VLOOKUP('Interactive Selection Sheet'!$B238, 'Master List Import'!$A$1:$P$519, 2, FALSE), ""), "")</f>
        <v>7110</v>
      </c>
      <c r="B352" s="69" t="str">
        <f>_xlfn.IFNA(IF('Interactive Selection Sheet'!A238 = "", VLOOKUP('Interactive Selection Sheet'!$B238, 'Master List Import'!$A$1:$P$519, 3, FALSE), ""), "")</f>
        <v>M.O.M. Frosted Flakes Cereal, 1oz bowl - 96/cs</v>
      </c>
      <c r="C352" s="76">
        <f>IF('Interactive Selection Sheet'!$T$2="", "", IF(B352="","",'Interactive Selection Sheet'!$T$2))</f>
        <v>3.5000000000000003E-2</v>
      </c>
      <c r="D352" s="70">
        <f>IF(B352 = "", "", 'Interactive Selection Sheet'!$P$2)</f>
        <v>4.4999999999999998E-2</v>
      </c>
      <c r="E352" s="70">
        <f>IF(B352="","", 'Interactive Selection Sheet'!$R$2)</f>
        <v>0.02</v>
      </c>
      <c r="F352" s="69" t="str">
        <f>_xlfn.IFNA(IF('Interactive Selection Sheet'!A238 = "", VLOOKUP('Interactive Selection Sheet'!$B238, 'Master List Import'!$A$1:$P$519, 4, FALSE), ""), "")</f>
        <v>Breakfast</v>
      </c>
      <c r="G352" s="69" t="str">
        <f>_xlfn.IFNA(IF('Interactive Selection Sheet'!A238 = "", VLOOKUP('Interactive Selection Sheet'!$B238, 'Master List Import'!$A$1:$P$519, 5, FALSE), ""), "")</f>
        <v>Breakfast</v>
      </c>
      <c r="H352" s="69" t="str">
        <f>_xlfn.IFNA(IF('Interactive Selection Sheet'!A238 = "", VLOOKUP('Interactive Selection Sheet'!$B238, 'Master List Import'!$A$1:$P$519, 6, FALSE), ""), "")</f>
        <v>Both</v>
      </c>
      <c r="I352" s="72">
        <f>_xlfn.IFNA(IF('Interactive Selection Sheet'!A238 = "", VLOOKUP('Interactive Selection Sheet'!$B238, 'Master List Import'!$A$1:$P$519, 7, FALSE), ""), "")</f>
        <v>0.21410000000000001</v>
      </c>
      <c r="J352" s="69" t="str">
        <f>_xlfn.IFNA(IF('Interactive Selection Sheet'!A238 = "", VLOOKUP('Interactive Selection Sheet'!$B238, 'Master List Import'!$A$1:$P$519, 8, FALSE), ""), "")</f>
        <v>REI</v>
      </c>
      <c r="K352" s="69" t="str">
        <f>_xlfn.IFNA(IF('Interactive Selection Sheet'!A238 = "", VLOOKUP('Interactive Selection Sheet'!$B238, 'Master List Import'!$A$1:$P$519, 9, FALSE), ""), "")</f>
        <v>180100</v>
      </c>
      <c r="L352" s="69">
        <f>_xlfn.IFNA(IF('Interactive Selection Sheet'!A238 = "", VLOOKUP('Interactive Selection Sheet'!$B238, 'Master List Import'!$A$1:$P$519, 10, FALSE), ""), "")</f>
        <v>0</v>
      </c>
      <c r="M352" s="69">
        <f>_xlfn.IFNA(IF('Interactive Selection Sheet'!A238 = "", VLOOKUP('Interactive Selection Sheet'!$B238, 'Master List Import'!$A$1:$P$519, 11, FALSE), ""), "")</f>
        <v>0</v>
      </c>
      <c r="N352" s="69">
        <f>_xlfn.IFNA(IF('Interactive Selection Sheet'!A238 = "", VLOOKUP('Interactive Selection Sheet'!$B238, 'Master List Import'!$A$1:$P$519, 12, FALSE), ""), "")</f>
        <v>96</v>
      </c>
      <c r="O352" s="69">
        <f>_xlfn.IFNA(IF('Interactive Selection Sheet'!A238 = "", VLOOKUP('Interactive Selection Sheet'!$B238, 'Master List Import'!$A$1:$P$519, 13, FALSE), ""), "")</f>
        <v>7110</v>
      </c>
      <c r="P352" s="69" t="str">
        <f>_xlfn.IFNA(IF('Interactive Selection Sheet'!A238 = "", VLOOKUP('Interactive Selection Sheet'!$B238, 'Master List Import'!$A$1:$P$519, 14, FALSE), ""), "")</f>
        <v>Frosted Flakes Cereal Bowl</v>
      </c>
      <c r="Q352" s="69">
        <f>_xlfn.IFNA(IF('Interactive Selection Sheet'!A238 = "", VLOOKUP('Interactive Selection Sheet'!$B238, 'Master List Import'!$A$1:$P$519, 15, FALSE), ""), "")</f>
        <v>1</v>
      </c>
      <c r="R352" s="74">
        <f>_xlfn.IFNA(IF('Interactive Selection Sheet'!A238 = "", VLOOKUP('Interactive Selection Sheet'!$B238, 'Master List Import'!$A$1:$P$519, 16, FALSE), ""), "")</f>
        <v>0.75</v>
      </c>
    </row>
    <row r="353" spans="1:18" ht="21.75" customHeight="1" x14ac:dyDescent="0.25">
      <c r="A353" s="69">
        <f>_xlfn.IFNA(IF('Interactive Selection Sheet'!A239 = "", VLOOKUP('Interactive Selection Sheet'!$B239, 'Master List Import'!$A$1:$P$519, 2, FALSE), ""), "")</f>
        <v>7111</v>
      </c>
      <c r="B353" s="69" t="str">
        <f>_xlfn.IFNA(IF('Interactive Selection Sheet'!A239 = "", VLOOKUP('Interactive Selection Sheet'!$B239, 'Master List Import'!$A$1:$P$519, 3, FALSE), ""), "")</f>
        <v>M.O.M. Cinnamon Toaster Cereal, 1oz bowl - 96/cs</v>
      </c>
      <c r="C353" s="76">
        <f>IF('Interactive Selection Sheet'!$T$2="", "", IF(B353="","",'Interactive Selection Sheet'!$T$2))</f>
        <v>3.5000000000000003E-2</v>
      </c>
      <c r="D353" s="70">
        <f>IF(B353 = "", "", 'Interactive Selection Sheet'!$P$2)</f>
        <v>4.4999999999999998E-2</v>
      </c>
      <c r="E353" s="70">
        <f>IF(B353="","", 'Interactive Selection Sheet'!$R$2)</f>
        <v>0.02</v>
      </c>
      <c r="F353" s="69" t="str">
        <f>_xlfn.IFNA(IF('Interactive Selection Sheet'!A239 = "", VLOOKUP('Interactive Selection Sheet'!$B239, 'Master List Import'!$A$1:$P$519, 4, FALSE), ""), "")</f>
        <v>Breakfast</v>
      </c>
      <c r="G353" s="69" t="str">
        <f>_xlfn.IFNA(IF('Interactive Selection Sheet'!A239 = "", VLOOKUP('Interactive Selection Sheet'!$B239, 'Master List Import'!$A$1:$P$519, 5, FALSE), ""), "")</f>
        <v>Breakfast</v>
      </c>
      <c r="H353" s="69" t="str">
        <f>_xlfn.IFNA(IF('Interactive Selection Sheet'!A239 = "", VLOOKUP('Interactive Selection Sheet'!$B239, 'Master List Import'!$A$1:$P$519, 6, FALSE), ""), "")</f>
        <v>Both</v>
      </c>
      <c r="I353" s="72">
        <f>_xlfn.IFNA(IF('Interactive Selection Sheet'!A239 = "", VLOOKUP('Interactive Selection Sheet'!$B239, 'Master List Import'!$A$1:$P$519, 7, FALSE), ""), "")</f>
        <v>0.21410000000000001</v>
      </c>
      <c r="J353" s="69" t="str">
        <f>_xlfn.IFNA(IF('Interactive Selection Sheet'!A239 = "", VLOOKUP('Interactive Selection Sheet'!$B239, 'Master List Import'!$A$1:$P$519, 8, FALSE), ""), "")</f>
        <v>REI</v>
      </c>
      <c r="K353" s="69" t="str">
        <f>_xlfn.IFNA(IF('Interactive Selection Sheet'!A239 = "", VLOOKUP('Interactive Selection Sheet'!$B239, 'Master List Import'!$A$1:$P$519, 9, FALSE), ""), "")</f>
        <v>180101</v>
      </c>
      <c r="L353" s="69">
        <f>_xlfn.IFNA(IF('Interactive Selection Sheet'!A239 = "", VLOOKUP('Interactive Selection Sheet'!$B239, 'Master List Import'!$A$1:$P$519, 10, FALSE), ""), "")</f>
        <v>0</v>
      </c>
      <c r="M353" s="69">
        <f>_xlfn.IFNA(IF('Interactive Selection Sheet'!A239 = "", VLOOKUP('Interactive Selection Sheet'!$B239, 'Master List Import'!$A$1:$P$519, 11, FALSE), ""), "")</f>
        <v>0</v>
      </c>
      <c r="N353" s="69">
        <f>_xlfn.IFNA(IF('Interactive Selection Sheet'!A239 = "", VLOOKUP('Interactive Selection Sheet'!$B239, 'Master List Import'!$A$1:$P$519, 12, FALSE), ""), "")</f>
        <v>96</v>
      </c>
      <c r="O353" s="69">
        <f>_xlfn.IFNA(IF('Interactive Selection Sheet'!A239 = "", VLOOKUP('Interactive Selection Sheet'!$B239, 'Master List Import'!$A$1:$P$519, 13, FALSE), ""), "")</f>
        <v>7111</v>
      </c>
      <c r="P353" s="69" t="str">
        <f>_xlfn.IFNA(IF('Interactive Selection Sheet'!A239 = "", VLOOKUP('Interactive Selection Sheet'!$B239, 'Master List Import'!$A$1:$P$519, 14, FALSE), ""), "")</f>
        <v>Cinnamon Toaster Cereal Bowl</v>
      </c>
      <c r="Q353" s="69">
        <f>_xlfn.IFNA(IF('Interactive Selection Sheet'!A239 = "", VLOOKUP('Interactive Selection Sheet'!$B239, 'Master List Import'!$A$1:$P$519, 15, FALSE), ""), "")</f>
        <v>1</v>
      </c>
      <c r="R353" s="74">
        <f>_xlfn.IFNA(IF('Interactive Selection Sheet'!A239 = "", VLOOKUP('Interactive Selection Sheet'!$B239, 'Master List Import'!$A$1:$P$519, 16, FALSE), ""), "")</f>
        <v>0.75</v>
      </c>
    </row>
    <row r="354" spans="1:18" ht="21.75" customHeight="1" x14ac:dyDescent="0.25">
      <c r="A354" s="69">
        <f>_xlfn.IFNA(IF('Interactive Selection Sheet'!F236= "", VLOOKUP('Interactive Selection Sheet'!$G236, 'Master List Import'!$A$1:$P$519, 2, FALSE), ""), "")</f>
        <v>7120</v>
      </c>
      <c r="B354" s="69" t="str">
        <f>_xlfn.IFNA(IF('Interactive Selection Sheet'!F236= "", VLOOKUP('Interactive Selection Sheet'!$G236, 'Master List Import'!$A$1:$P$519, 3, FALSE), ""), "")</f>
        <v>Toast'em Frosted Strawberry Popups 3pk, 11oz - 12/3/cs</v>
      </c>
      <c r="C354" s="76">
        <f>IF('Interactive Selection Sheet'!$T$2="", "", IF(B354="","",'Interactive Selection Sheet'!$T$2))</f>
        <v>3.5000000000000003E-2</v>
      </c>
      <c r="D354" s="70">
        <f>IF(B354 = "", "", 'Interactive Selection Sheet'!$P$2)</f>
        <v>4.4999999999999998E-2</v>
      </c>
      <c r="E354" s="70">
        <f>IF(B354="","", 'Interactive Selection Sheet'!$R$2)</f>
        <v>0.02</v>
      </c>
      <c r="F354" s="69" t="str">
        <f>_xlfn.IFNA(IF('Interactive Selection Sheet'!F236= "", VLOOKUP('Interactive Selection Sheet'!$G236, 'Master List Import'!$A$1:$P$519, 4, FALSE), ""), "")</f>
        <v>Breakfast</v>
      </c>
      <c r="G354" s="69" t="str">
        <f>_xlfn.IFNA(IF('Interactive Selection Sheet'!F236= "", VLOOKUP('Interactive Selection Sheet'!$G236, 'Master List Import'!$A$1:$P$519, 5, FALSE), ""), "")</f>
        <v>Breakfast</v>
      </c>
      <c r="H354" s="69" t="str">
        <f>_xlfn.IFNA(IF('Interactive Selection Sheet'!F236= "", VLOOKUP('Interactive Selection Sheet'!$G236, 'Master List Import'!$A$1:$P$519, 6, FALSE), ""), "")</f>
        <v>Both</v>
      </c>
      <c r="I354" s="72">
        <f>_xlfn.IFNA(IF('Interactive Selection Sheet'!F236= "", VLOOKUP('Interactive Selection Sheet'!$G236, 'Master List Import'!$A$1:$P$519, 7, FALSE), ""), "")</f>
        <v>0.38</v>
      </c>
      <c r="J354" s="69" t="str">
        <f>_xlfn.IFNA(IF('Interactive Selection Sheet'!F236= "", VLOOKUP('Interactive Selection Sheet'!$G236, 'Master List Import'!$A$1:$P$519, 8, FALSE), ""), "")</f>
        <v>REI</v>
      </c>
      <c r="K354" s="69" t="str">
        <f>_xlfn.IFNA(IF('Interactive Selection Sheet'!F236= "", VLOOKUP('Interactive Selection Sheet'!$G236, 'Master List Import'!$A$1:$P$519, 9, FALSE), ""), "")</f>
        <v>185298</v>
      </c>
      <c r="L354" s="69">
        <f>_xlfn.IFNA(IF('Interactive Selection Sheet'!F236= "", VLOOKUP('Interactive Selection Sheet'!$G236, 'Master List Import'!$A$1:$P$519, 10, FALSE), ""), "")</f>
        <v>0</v>
      </c>
      <c r="M354" s="69">
        <f>_xlfn.IFNA(IF('Interactive Selection Sheet'!F236= "", VLOOKUP('Interactive Selection Sheet'!$G236, 'Master List Import'!$A$1:$P$519, 11, FALSE), ""), "")</f>
        <v>0</v>
      </c>
      <c r="N354" s="69">
        <f>_xlfn.IFNA(IF('Interactive Selection Sheet'!F236= "", VLOOKUP('Interactive Selection Sheet'!$G236, 'Master List Import'!$A$1:$P$519, 12, FALSE), ""), "")</f>
        <v>36</v>
      </c>
      <c r="O354" s="69">
        <f>_xlfn.IFNA(IF('Interactive Selection Sheet'!F236= "", VLOOKUP('Interactive Selection Sheet'!$G236, 'Master List Import'!$A$1:$P$519, 13, FALSE), ""), "")</f>
        <v>7120</v>
      </c>
      <c r="P354" s="69" t="str">
        <f>_xlfn.IFNA(IF('Interactive Selection Sheet'!F236= "", VLOOKUP('Interactive Selection Sheet'!$G236, 'Master List Import'!$A$1:$P$519, 14, FALSE), ""), "")</f>
        <v>Strawberry Pop-Ups (3pk)</v>
      </c>
      <c r="Q354" s="69">
        <f>_xlfn.IFNA(IF('Interactive Selection Sheet'!F236= "", VLOOKUP('Interactive Selection Sheet'!$G236, 'Master List Import'!$A$1:$P$519, 15, FALSE), ""), "")</f>
        <v>3</v>
      </c>
      <c r="R354" s="74">
        <f>_xlfn.IFNA(IF('Interactive Selection Sheet'!F236= "", VLOOKUP('Interactive Selection Sheet'!$G236, 'Master List Import'!$A$1:$P$519, 16, FALSE), ""), "")</f>
        <v>3.7</v>
      </c>
    </row>
    <row r="355" spans="1:18" ht="21.75" customHeight="1" x14ac:dyDescent="0.25">
      <c r="A355" s="69">
        <f>_xlfn.IFNA(IF('Interactive Selection Sheet'!$K236= "", VLOOKUP('Interactive Selection Sheet'!$L236, 'Master List Import'!$A$1:$P$519, 2, FALSE), ""), "")</f>
        <v>7120</v>
      </c>
      <c r="B355" s="69" t="str">
        <f>_xlfn.IFNA(IF('Interactive Selection Sheet'!K236= "", VLOOKUP('Interactive Selection Sheet'!$L236, 'Master List Import'!$A$1:$P$519, 3, FALSE), ""), "")</f>
        <v>Single Pack Toast'em Frosted Strawberry Popups</v>
      </c>
      <c r="C355" s="76">
        <f>IF('Interactive Selection Sheet'!$T$2="", "", IF(B355="","",'Interactive Selection Sheet'!$T$2))</f>
        <v>3.5000000000000003E-2</v>
      </c>
      <c r="D355" s="70">
        <f>IF(B355 = "", "", 'Interactive Selection Sheet'!$P$2)</f>
        <v>4.4999999999999998E-2</v>
      </c>
      <c r="E355" s="70">
        <f>IF(B355="","", 'Interactive Selection Sheet'!$R$2)</f>
        <v>0.02</v>
      </c>
      <c r="F355" s="69" t="str">
        <f>_xlfn.IFNA(IF('Interactive Selection Sheet'!K236= "", VLOOKUP('Interactive Selection Sheet'!$L236, 'Master List Import'!$A$1:$P$519, 4, FALSE), ""), "")</f>
        <v>Breakfast</v>
      </c>
      <c r="G355" s="69" t="str">
        <f>_xlfn.IFNA(IF('Interactive Selection Sheet'!K236= "", VLOOKUP('Interactive Selection Sheet'!$L236, 'Master List Import'!$A$1:$P$519, 5, FALSE), ""), "")</f>
        <v>Breakfast</v>
      </c>
      <c r="H355" s="69" t="str">
        <f>_xlfn.IFNA(IF('Interactive Selection Sheet'!K236= "", VLOOKUP('Interactive Selection Sheet'!$L236, 'Master List Import'!$A$1:$P$519, 6, FALSE), ""), "")</f>
        <v>Both</v>
      </c>
      <c r="I355" s="72">
        <f>_xlfn.IFNA(IF('Interactive Selection Sheet'!K236= "", VLOOKUP('Interactive Selection Sheet'!$L236, 'Master List Import'!$A$1:$P$519, 7, FALSE), ""), "")</f>
        <v>0.38</v>
      </c>
      <c r="J355" s="69" t="str">
        <f>_xlfn.IFNA(IF('Interactive Selection Sheet'!K236= "", VLOOKUP('Interactive Selection Sheet'!$L236, 'Master List Import'!$A$1:$P$519, 8, FALSE), ""), "")</f>
        <v>REI</v>
      </c>
      <c r="K355" s="69" t="str">
        <f>_xlfn.IFNA(IF('Interactive Selection Sheet'!K236= "", VLOOKUP('Interactive Selection Sheet'!$L236, 'Master List Import'!$A$1:$P$519, 9, FALSE), ""), "")</f>
        <v>185298-1</v>
      </c>
      <c r="L355" s="69">
        <f>_xlfn.IFNA(IF('Interactive Selection Sheet'!K236= "", VLOOKUP('Interactive Selection Sheet'!$L236, 'Master List Import'!$A$1:$P$519, 10, FALSE), ""), "")</f>
        <v>0</v>
      </c>
      <c r="M355" s="69">
        <f>_xlfn.IFNA(IF('Interactive Selection Sheet'!K236= "", VLOOKUP('Interactive Selection Sheet'!$L236, 'Master List Import'!$A$1:$P$519, 11, FALSE), ""), "")</f>
        <v>0</v>
      </c>
      <c r="N355" s="69">
        <f>_xlfn.IFNA(IF('Interactive Selection Sheet'!K236= "", VLOOKUP('Interactive Selection Sheet'!$L236, 'Master List Import'!$A$1:$P$519, 12, FALSE), ""), "")</f>
        <v>1</v>
      </c>
      <c r="O355" s="69">
        <f>_xlfn.IFNA(IF('Interactive Selection Sheet'!K236= "", VLOOKUP('Interactive Selection Sheet'!$L236, 'Master List Import'!$A$1:$P$519, 13, FALSE), ""), "")</f>
        <v>7130</v>
      </c>
      <c r="P355" s="69" t="str">
        <f>_xlfn.IFNA(IF('Interactive Selection Sheet'!K236= "", VLOOKUP('Interactive Selection Sheet'!$L236, 'Master List Import'!$A$1:$P$519, 14, FALSE), ""), "")</f>
        <v>Single Pack Strawberry Pop-Up</v>
      </c>
      <c r="Q355" s="69">
        <f>_xlfn.IFNA(IF('Interactive Selection Sheet'!K236= "", VLOOKUP('Interactive Selection Sheet'!$L236, 'Master List Import'!$A$1:$P$519, 15, FALSE), ""), "")</f>
        <v>1</v>
      </c>
      <c r="R355" s="74">
        <f>_xlfn.IFNA(IF('Interactive Selection Sheet'!K236= "", VLOOKUP('Interactive Selection Sheet'!$L236, 'Master List Import'!$A$1:$P$519, 16, FALSE), ""), "")</f>
        <v>1.2</v>
      </c>
    </row>
    <row r="356" spans="1:18" ht="21.75" customHeight="1" x14ac:dyDescent="0.25">
      <c r="A356" s="69">
        <f>_xlfn.IFNA(IF('Interactive Selection Sheet'!F237= "", VLOOKUP('Interactive Selection Sheet'!$G237, 'Master List Import'!$A$1:$P$519, 2, FALSE), ""), "")</f>
        <v>7121</v>
      </c>
      <c r="B356" s="69" t="str">
        <f>_xlfn.IFNA(IF('Interactive Selection Sheet'!F237= "", VLOOKUP('Interactive Selection Sheet'!$G237, 'Master List Import'!$A$1:$P$519, 3, FALSE), ""), "")</f>
        <v>Toast'em Frosted Wild Berry Popups 3pk, 11oz - 12/3/cs</v>
      </c>
      <c r="C356" s="76">
        <f>IF('Interactive Selection Sheet'!$T$2="", "", IF(B356="","",'Interactive Selection Sheet'!$T$2))</f>
        <v>3.5000000000000003E-2</v>
      </c>
      <c r="D356" s="70">
        <f>IF(B356 = "", "", 'Interactive Selection Sheet'!$P$2)</f>
        <v>4.4999999999999998E-2</v>
      </c>
      <c r="E356" s="70">
        <f>IF(B356="","", 'Interactive Selection Sheet'!$R$2)</f>
        <v>0.02</v>
      </c>
      <c r="F356" s="69" t="str">
        <f>_xlfn.IFNA(IF('Interactive Selection Sheet'!F237= "", VLOOKUP('Interactive Selection Sheet'!$G237, 'Master List Import'!$A$1:$P$519, 4, FALSE), ""), "")</f>
        <v>Breakfast</v>
      </c>
      <c r="G356" s="69" t="str">
        <f>_xlfn.IFNA(IF('Interactive Selection Sheet'!F237= "", VLOOKUP('Interactive Selection Sheet'!$G237, 'Master List Import'!$A$1:$P$519, 5, FALSE), ""), "")</f>
        <v>Breakfast</v>
      </c>
      <c r="H356" s="69" t="str">
        <f>_xlfn.IFNA(IF('Interactive Selection Sheet'!F237= "", VLOOKUP('Interactive Selection Sheet'!$G237, 'Master List Import'!$A$1:$P$519, 6, FALSE), ""), "")</f>
        <v>Both</v>
      </c>
      <c r="I356" s="72">
        <f>_xlfn.IFNA(IF('Interactive Selection Sheet'!F237= "", VLOOKUP('Interactive Selection Sheet'!$G237, 'Master List Import'!$A$1:$P$519, 7, FALSE), ""), "")</f>
        <v>0.38</v>
      </c>
      <c r="J356" s="69" t="str">
        <f>_xlfn.IFNA(IF('Interactive Selection Sheet'!F237= "", VLOOKUP('Interactive Selection Sheet'!$G237, 'Master List Import'!$A$1:$P$519, 8, FALSE), ""), "")</f>
        <v>REI</v>
      </c>
      <c r="K356" s="69" t="str">
        <f>_xlfn.IFNA(IF('Interactive Selection Sheet'!F237= "", VLOOKUP('Interactive Selection Sheet'!$G237, 'Master List Import'!$A$1:$P$519, 9, FALSE), ""), "")</f>
        <v>185299</v>
      </c>
      <c r="L356" s="69">
        <f>_xlfn.IFNA(IF('Interactive Selection Sheet'!F237= "", VLOOKUP('Interactive Selection Sheet'!$G237, 'Master List Import'!$A$1:$P$519, 10, FALSE), ""), "")</f>
        <v>0</v>
      </c>
      <c r="M356" s="69">
        <f>_xlfn.IFNA(IF('Interactive Selection Sheet'!F237= "", VLOOKUP('Interactive Selection Sheet'!$G237, 'Master List Import'!$A$1:$P$519, 11, FALSE), ""), "")</f>
        <v>0</v>
      </c>
      <c r="N356" s="69">
        <f>_xlfn.IFNA(IF('Interactive Selection Sheet'!F237= "", VLOOKUP('Interactive Selection Sheet'!$G237, 'Master List Import'!$A$1:$P$519, 12, FALSE), ""), "")</f>
        <v>36</v>
      </c>
      <c r="O356" s="69">
        <f>_xlfn.IFNA(IF('Interactive Selection Sheet'!F237= "", VLOOKUP('Interactive Selection Sheet'!$G237, 'Master List Import'!$A$1:$P$519, 13, FALSE), ""), "")</f>
        <v>7121</v>
      </c>
      <c r="P356" s="69" t="str">
        <f>_xlfn.IFNA(IF('Interactive Selection Sheet'!F237= "", VLOOKUP('Interactive Selection Sheet'!$G237, 'Master List Import'!$A$1:$P$519, 14, FALSE), ""), "")</f>
        <v>Wild Berry Pop-Ups (3pk)</v>
      </c>
      <c r="Q356" s="69">
        <f>_xlfn.IFNA(IF('Interactive Selection Sheet'!F237= "", VLOOKUP('Interactive Selection Sheet'!$G237, 'Master List Import'!$A$1:$P$519, 15, FALSE), ""), "")</f>
        <v>3</v>
      </c>
      <c r="R356" s="74">
        <f>_xlfn.IFNA(IF('Interactive Selection Sheet'!F237= "", VLOOKUP('Interactive Selection Sheet'!$G237, 'Master List Import'!$A$1:$P$519, 16, FALSE), ""), "")</f>
        <v>3.7</v>
      </c>
    </row>
    <row r="357" spans="1:18" ht="21.75" customHeight="1" x14ac:dyDescent="0.25">
      <c r="A357" s="69">
        <f>_xlfn.IFNA(IF('Interactive Selection Sheet'!$K237= "", VLOOKUP('Interactive Selection Sheet'!$L237, 'Master List Import'!$A$1:$P$519, 2, FALSE), ""), "")</f>
        <v>7121</v>
      </c>
      <c r="B357" s="69" t="str">
        <f>_xlfn.IFNA(IF('Interactive Selection Sheet'!K237= "", VLOOKUP('Interactive Selection Sheet'!$L237, 'Master List Import'!$A$1:$P$519, 3, FALSE), ""), "")</f>
        <v>Single Pack Toast'em Frosted Wild Berry Popups</v>
      </c>
      <c r="C357" s="76">
        <f>IF('Interactive Selection Sheet'!$T$2="", "", IF(B357="","",'Interactive Selection Sheet'!$T$2))</f>
        <v>3.5000000000000003E-2</v>
      </c>
      <c r="D357" s="70">
        <f>IF(B357 = "", "", 'Interactive Selection Sheet'!$P$2)</f>
        <v>4.4999999999999998E-2</v>
      </c>
      <c r="E357" s="70">
        <f>IF(B357="","", 'Interactive Selection Sheet'!$R$2)</f>
        <v>0.02</v>
      </c>
      <c r="F357" s="69" t="str">
        <f>_xlfn.IFNA(IF('Interactive Selection Sheet'!K237= "", VLOOKUP('Interactive Selection Sheet'!$L237, 'Master List Import'!$A$1:$P$519, 4, FALSE), ""), "")</f>
        <v>Breakfast</v>
      </c>
      <c r="G357" s="69" t="str">
        <f>_xlfn.IFNA(IF('Interactive Selection Sheet'!K237= "", VLOOKUP('Interactive Selection Sheet'!$L237, 'Master List Import'!$A$1:$P$519, 5, FALSE), ""), "")</f>
        <v>Breakfast</v>
      </c>
      <c r="H357" s="69" t="str">
        <f>_xlfn.IFNA(IF('Interactive Selection Sheet'!K237= "", VLOOKUP('Interactive Selection Sheet'!$L237, 'Master List Import'!$A$1:$P$519, 6, FALSE), ""), "")</f>
        <v>Both</v>
      </c>
      <c r="I357" s="72">
        <f>_xlfn.IFNA(IF('Interactive Selection Sheet'!K237= "", VLOOKUP('Interactive Selection Sheet'!$L237, 'Master List Import'!$A$1:$P$519, 7, FALSE), ""), "")</f>
        <v>0.38</v>
      </c>
      <c r="J357" s="69" t="str">
        <f>_xlfn.IFNA(IF('Interactive Selection Sheet'!K237= "", VLOOKUP('Interactive Selection Sheet'!$L237, 'Master List Import'!$A$1:$P$519, 8, FALSE), ""), "")</f>
        <v>REI</v>
      </c>
      <c r="K357" s="69" t="str">
        <f>_xlfn.IFNA(IF('Interactive Selection Sheet'!K237= "", VLOOKUP('Interactive Selection Sheet'!$L237, 'Master List Import'!$A$1:$P$519, 9, FALSE), ""), "")</f>
        <v>185299-1</v>
      </c>
      <c r="L357" s="69">
        <f>_xlfn.IFNA(IF('Interactive Selection Sheet'!K237= "", VLOOKUP('Interactive Selection Sheet'!$L237, 'Master List Import'!$A$1:$P$519, 10, FALSE), ""), "")</f>
        <v>0</v>
      </c>
      <c r="M357" s="69">
        <f>_xlfn.IFNA(IF('Interactive Selection Sheet'!K237= "", VLOOKUP('Interactive Selection Sheet'!$L237, 'Master List Import'!$A$1:$P$519, 11, FALSE), ""), "")</f>
        <v>0</v>
      </c>
      <c r="N357" s="69">
        <f>_xlfn.IFNA(IF('Interactive Selection Sheet'!K237= "", VLOOKUP('Interactive Selection Sheet'!$L237, 'Master List Import'!$A$1:$P$519, 12, FALSE), ""), "")</f>
        <v>1</v>
      </c>
      <c r="O357" s="69">
        <f>_xlfn.IFNA(IF('Interactive Selection Sheet'!K237= "", VLOOKUP('Interactive Selection Sheet'!$L237, 'Master List Import'!$A$1:$P$519, 13, FALSE), ""), "")</f>
        <v>7131</v>
      </c>
      <c r="P357" s="69" t="str">
        <f>_xlfn.IFNA(IF('Interactive Selection Sheet'!K237= "", VLOOKUP('Interactive Selection Sheet'!$L237, 'Master List Import'!$A$1:$P$519, 14, FALSE), ""), "")</f>
        <v>Single Pack Wild Berry Pop-Up</v>
      </c>
      <c r="Q357" s="69">
        <f>_xlfn.IFNA(IF('Interactive Selection Sheet'!K237= "", VLOOKUP('Interactive Selection Sheet'!$L237, 'Master List Import'!$A$1:$P$519, 15, FALSE), ""), "")</f>
        <v>1</v>
      </c>
      <c r="R357" s="74">
        <f>_xlfn.IFNA(IF('Interactive Selection Sheet'!K237= "", VLOOKUP('Interactive Selection Sheet'!$L237, 'Master List Import'!$A$1:$P$519, 16, FALSE), ""), "")</f>
        <v>1.2</v>
      </c>
    </row>
    <row r="358" spans="1:18" ht="21.75" customHeight="1" x14ac:dyDescent="0.25">
      <c r="A358" s="69">
        <f>_xlfn.IFNA(IF('Interactive Selection Sheet'!F238= "", VLOOKUP('Interactive Selection Sheet'!$G238, 'Master List Import'!$A$1:$P$519, 2, FALSE), ""), "")</f>
        <v>7122</v>
      </c>
      <c r="B358" s="69" t="str">
        <f>_xlfn.IFNA(IF('Interactive Selection Sheet'!F238= "", VLOOKUP('Interactive Selection Sheet'!$G238, 'Master List Import'!$A$1:$P$519, 3, FALSE), ""), "")</f>
        <v>Toast'em Frosted Cookies &amp; Cream Popups 3pk, 11oz - 12/3/cs</v>
      </c>
      <c r="C358" s="76">
        <f>IF('Interactive Selection Sheet'!$T$2="", "", IF(B358="","",'Interactive Selection Sheet'!$T$2))</f>
        <v>3.5000000000000003E-2</v>
      </c>
      <c r="D358" s="70">
        <f>IF(B358 = "", "", 'Interactive Selection Sheet'!$P$2)</f>
        <v>4.4999999999999998E-2</v>
      </c>
      <c r="E358" s="70">
        <f>IF(B358="","", 'Interactive Selection Sheet'!$R$2)</f>
        <v>0.02</v>
      </c>
      <c r="F358" s="69" t="str">
        <f>_xlfn.IFNA(IF('Interactive Selection Sheet'!F238= "", VLOOKUP('Interactive Selection Sheet'!$G238, 'Master List Import'!$A$1:$P$519, 4, FALSE), ""), "")</f>
        <v>Breakfast</v>
      </c>
      <c r="G358" s="69" t="str">
        <f>_xlfn.IFNA(IF('Interactive Selection Sheet'!F238= "", VLOOKUP('Interactive Selection Sheet'!$G238, 'Master List Import'!$A$1:$P$519, 5, FALSE), ""), "")</f>
        <v>Breakfast</v>
      </c>
      <c r="H358" s="69" t="str">
        <f>_xlfn.IFNA(IF('Interactive Selection Sheet'!F238= "", VLOOKUP('Interactive Selection Sheet'!$G238, 'Master List Import'!$A$1:$P$519, 6, FALSE), ""), "")</f>
        <v>Both</v>
      </c>
      <c r="I358" s="72">
        <f>_xlfn.IFNA(IF('Interactive Selection Sheet'!F238= "", VLOOKUP('Interactive Selection Sheet'!$G238, 'Master List Import'!$A$1:$P$519, 7, FALSE), ""), "")</f>
        <v>0.38</v>
      </c>
      <c r="J358" s="69" t="str">
        <f>_xlfn.IFNA(IF('Interactive Selection Sheet'!F238= "", VLOOKUP('Interactive Selection Sheet'!$G238, 'Master List Import'!$A$1:$P$519, 8, FALSE), ""), "")</f>
        <v>REI</v>
      </c>
      <c r="K358" s="69" t="str">
        <f>_xlfn.IFNA(IF('Interactive Selection Sheet'!F238= "", VLOOKUP('Interactive Selection Sheet'!$G238, 'Master List Import'!$A$1:$P$519, 9, FALSE), ""), "")</f>
        <v>185235</v>
      </c>
      <c r="L358" s="69">
        <f>_xlfn.IFNA(IF('Interactive Selection Sheet'!F238= "", VLOOKUP('Interactive Selection Sheet'!$G238, 'Master List Import'!$A$1:$P$519, 10, FALSE), ""), "")</f>
        <v>0</v>
      </c>
      <c r="M358" s="69">
        <f>_xlfn.IFNA(IF('Interactive Selection Sheet'!F238= "", VLOOKUP('Interactive Selection Sheet'!$G238, 'Master List Import'!$A$1:$P$519, 11, FALSE), ""), "")</f>
        <v>0</v>
      </c>
      <c r="N358" s="69">
        <f>_xlfn.IFNA(IF('Interactive Selection Sheet'!F238= "", VLOOKUP('Interactive Selection Sheet'!$G238, 'Master List Import'!$A$1:$P$519, 12, FALSE), ""), "")</f>
        <v>36</v>
      </c>
      <c r="O358" s="69">
        <f>_xlfn.IFNA(IF('Interactive Selection Sheet'!F238= "", VLOOKUP('Interactive Selection Sheet'!$G238, 'Master List Import'!$A$1:$P$519, 13, FALSE), ""), "")</f>
        <v>7122</v>
      </c>
      <c r="P358" s="69" t="str">
        <f>_xlfn.IFNA(IF('Interactive Selection Sheet'!F238= "", VLOOKUP('Interactive Selection Sheet'!$G238, 'Master List Import'!$A$1:$P$519, 14, FALSE), ""), "")</f>
        <v>Cookies &amp; Cream Pop-Ups (3pk)</v>
      </c>
      <c r="Q358" s="69">
        <f>_xlfn.IFNA(IF('Interactive Selection Sheet'!F238= "", VLOOKUP('Interactive Selection Sheet'!$G238, 'Master List Import'!$A$1:$P$519, 15, FALSE), ""), "")</f>
        <v>3</v>
      </c>
      <c r="R358" s="74">
        <f>_xlfn.IFNA(IF('Interactive Selection Sheet'!F238= "", VLOOKUP('Interactive Selection Sheet'!$G238, 'Master List Import'!$A$1:$P$519, 16, FALSE), ""), "")</f>
        <v>3.7</v>
      </c>
    </row>
    <row r="359" spans="1:18" ht="21.75" customHeight="1" x14ac:dyDescent="0.25">
      <c r="A359" s="69">
        <f>_xlfn.IFNA(IF('Interactive Selection Sheet'!$K238= "", VLOOKUP('Interactive Selection Sheet'!$L238, 'Master List Import'!$A$1:$P$519, 2, FALSE), ""), "")</f>
        <v>7122</v>
      </c>
      <c r="B359" s="69" t="str">
        <f>_xlfn.IFNA(IF('Interactive Selection Sheet'!K238= "", VLOOKUP('Interactive Selection Sheet'!$L238, 'Master List Import'!$A$1:$P$519, 3, FALSE), ""), "")</f>
        <v>Single Pack Toast'em Frosted Cookies &amp; Cream Popups</v>
      </c>
      <c r="C359" s="76">
        <f>IF('Interactive Selection Sheet'!$T$2="", "", IF(B359="","",'Interactive Selection Sheet'!$T$2))</f>
        <v>3.5000000000000003E-2</v>
      </c>
      <c r="D359" s="70">
        <f>IF(B359 = "", "", 'Interactive Selection Sheet'!$P$2)</f>
        <v>4.4999999999999998E-2</v>
      </c>
      <c r="E359" s="70">
        <f>IF(B359="","", 'Interactive Selection Sheet'!$R$2)</f>
        <v>0.02</v>
      </c>
      <c r="F359" s="69" t="str">
        <f>_xlfn.IFNA(IF('Interactive Selection Sheet'!K238= "", VLOOKUP('Interactive Selection Sheet'!$L238, 'Master List Import'!$A$1:$P$519, 4, FALSE), ""), "")</f>
        <v>Breakfast</v>
      </c>
      <c r="G359" s="69" t="str">
        <f>_xlfn.IFNA(IF('Interactive Selection Sheet'!K238= "", VLOOKUP('Interactive Selection Sheet'!$L238, 'Master List Import'!$A$1:$P$519, 5, FALSE), ""), "")</f>
        <v>Breakfast</v>
      </c>
      <c r="H359" s="69" t="str">
        <f>_xlfn.IFNA(IF('Interactive Selection Sheet'!K238= "", VLOOKUP('Interactive Selection Sheet'!$L238, 'Master List Import'!$A$1:$P$519, 6, FALSE), ""), "")</f>
        <v>Both</v>
      </c>
      <c r="I359" s="72">
        <f>_xlfn.IFNA(IF('Interactive Selection Sheet'!K238= "", VLOOKUP('Interactive Selection Sheet'!$L238, 'Master List Import'!$A$1:$P$519, 7, FALSE), ""), "")</f>
        <v>0.38</v>
      </c>
      <c r="J359" s="69" t="str">
        <f>_xlfn.IFNA(IF('Interactive Selection Sheet'!K238= "", VLOOKUP('Interactive Selection Sheet'!$L238, 'Master List Import'!$A$1:$P$519, 8, FALSE), ""), "")</f>
        <v>REI</v>
      </c>
      <c r="K359" s="69" t="str">
        <f>_xlfn.IFNA(IF('Interactive Selection Sheet'!K238= "", VLOOKUP('Interactive Selection Sheet'!$L238, 'Master List Import'!$A$1:$P$519, 9, FALSE), ""), "")</f>
        <v>185235-1</v>
      </c>
      <c r="L359" s="69">
        <f>_xlfn.IFNA(IF('Interactive Selection Sheet'!K238= "", VLOOKUP('Interactive Selection Sheet'!$L238, 'Master List Import'!$A$1:$P$519, 10, FALSE), ""), "")</f>
        <v>0</v>
      </c>
      <c r="M359" s="69">
        <f>_xlfn.IFNA(IF('Interactive Selection Sheet'!K238= "", VLOOKUP('Interactive Selection Sheet'!$L238, 'Master List Import'!$A$1:$P$519, 11, FALSE), ""), "")</f>
        <v>0</v>
      </c>
      <c r="N359" s="69">
        <f>_xlfn.IFNA(IF('Interactive Selection Sheet'!K238= "", VLOOKUP('Interactive Selection Sheet'!$L238, 'Master List Import'!$A$1:$P$519, 12, FALSE), ""), "")</f>
        <v>1</v>
      </c>
      <c r="O359" s="69">
        <f>_xlfn.IFNA(IF('Interactive Selection Sheet'!K238= "", VLOOKUP('Interactive Selection Sheet'!$L238, 'Master List Import'!$A$1:$P$519, 13, FALSE), ""), "")</f>
        <v>7132</v>
      </c>
      <c r="P359" s="69" t="str">
        <f>_xlfn.IFNA(IF('Interactive Selection Sheet'!K238= "", VLOOKUP('Interactive Selection Sheet'!$L238, 'Master List Import'!$A$1:$P$519, 14, FALSE), ""), "")</f>
        <v>Single Pack Cookies &amp; Cream Pop-Up</v>
      </c>
      <c r="Q359" s="69">
        <f>_xlfn.IFNA(IF('Interactive Selection Sheet'!K238= "", VLOOKUP('Interactive Selection Sheet'!$L238, 'Master List Import'!$A$1:$P$519, 15, FALSE), ""), "")</f>
        <v>1</v>
      </c>
      <c r="R359" s="74">
        <f>_xlfn.IFNA(IF('Interactive Selection Sheet'!K238= "", VLOOKUP('Interactive Selection Sheet'!$L238, 'Master List Import'!$A$1:$P$519, 16, FALSE), ""), "")</f>
        <v>1.2</v>
      </c>
    </row>
    <row r="360" spans="1:18" ht="21.75" customHeight="1" x14ac:dyDescent="0.25">
      <c r="A360" s="69">
        <f>_xlfn.IFNA(IF('Interactive Selection Sheet'!F239= "", VLOOKUP('Interactive Selection Sheet'!$G239, 'Master List Import'!$A$1:$P$519, 2, FALSE), ""), "")</f>
        <v>7123</v>
      </c>
      <c r="B360" s="69" t="str">
        <f>_xlfn.IFNA(IF('Interactive Selection Sheet'!F239= "", VLOOKUP('Interactive Selection Sheet'!$G239, 'Master List Import'!$A$1:$P$519, 3, FALSE), ""), "")</f>
        <v>Toast'em Frosted S'Mores Popups 3pk, 11oz - 12/3/cs</v>
      </c>
      <c r="C360" s="76">
        <f>IF('Interactive Selection Sheet'!$T$2="", "", IF(B360="","",'Interactive Selection Sheet'!$T$2))</f>
        <v>3.5000000000000003E-2</v>
      </c>
      <c r="D360" s="70">
        <f>IF(B360 = "", "", 'Interactive Selection Sheet'!$P$2)</f>
        <v>4.4999999999999998E-2</v>
      </c>
      <c r="E360" s="70">
        <f>IF(B360="","", 'Interactive Selection Sheet'!$R$2)</f>
        <v>0.02</v>
      </c>
      <c r="F360" s="69" t="str">
        <f>_xlfn.IFNA(IF('Interactive Selection Sheet'!F239= "", VLOOKUP('Interactive Selection Sheet'!$G239, 'Master List Import'!$A$1:$P$519, 4, FALSE), ""), "")</f>
        <v>Breakfast</v>
      </c>
      <c r="G360" s="69" t="str">
        <f>_xlfn.IFNA(IF('Interactive Selection Sheet'!F239= "", VLOOKUP('Interactive Selection Sheet'!$G239, 'Master List Import'!$A$1:$P$519, 5, FALSE), ""), "")</f>
        <v>Breakfast</v>
      </c>
      <c r="H360" s="69" t="str">
        <f>_xlfn.IFNA(IF('Interactive Selection Sheet'!F239= "", VLOOKUP('Interactive Selection Sheet'!$G239, 'Master List Import'!$A$1:$P$519, 6, FALSE), ""), "")</f>
        <v>Both</v>
      </c>
      <c r="I360" s="72">
        <f>_xlfn.IFNA(IF('Interactive Selection Sheet'!F239= "", VLOOKUP('Interactive Selection Sheet'!$G239, 'Master List Import'!$A$1:$P$519, 7, FALSE), ""), "")</f>
        <v>0.38</v>
      </c>
      <c r="J360" s="69" t="str">
        <f>_xlfn.IFNA(IF('Interactive Selection Sheet'!F239= "", VLOOKUP('Interactive Selection Sheet'!$G239, 'Master List Import'!$A$1:$P$519, 8, FALSE), ""), "")</f>
        <v>REI</v>
      </c>
      <c r="K360" s="69" t="str">
        <f>_xlfn.IFNA(IF('Interactive Selection Sheet'!F239= "", VLOOKUP('Interactive Selection Sheet'!$G239, 'Master List Import'!$A$1:$P$519, 9, FALSE), ""), "")</f>
        <v>185297</v>
      </c>
      <c r="L360" s="69">
        <f>_xlfn.IFNA(IF('Interactive Selection Sheet'!F239= "", VLOOKUP('Interactive Selection Sheet'!$G239, 'Master List Import'!$A$1:$P$519, 10, FALSE), ""), "")</f>
        <v>0</v>
      </c>
      <c r="M360" s="69">
        <f>_xlfn.IFNA(IF('Interactive Selection Sheet'!F239= "", VLOOKUP('Interactive Selection Sheet'!$G239, 'Master List Import'!$A$1:$P$519, 11, FALSE), ""), "")</f>
        <v>0</v>
      </c>
      <c r="N360" s="69">
        <f>_xlfn.IFNA(IF('Interactive Selection Sheet'!F239= "", VLOOKUP('Interactive Selection Sheet'!$G239, 'Master List Import'!$A$1:$P$519, 12, FALSE), ""), "")</f>
        <v>36</v>
      </c>
      <c r="O360" s="69">
        <f>_xlfn.IFNA(IF('Interactive Selection Sheet'!F239= "", VLOOKUP('Interactive Selection Sheet'!$G239, 'Master List Import'!$A$1:$P$519, 13, FALSE), ""), "")</f>
        <v>7123</v>
      </c>
      <c r="P360" s="69" t="str">
        <f>_xlfn.IFNA(IF('Interactive Selection Sheet'!F239= "", VLOOKUP('Interactive Selection Sheet'!$G239, 'Master List Import'!$A$1:$P$519, 14, FALSE), ""), "")</f>
        <v>S'mores Pop-Ups (3pk)</v>
      </c>
      <c r="Q360" s="69">
        <f>_xlfn.IFNA(IF('Interactive Selection Sheet'!F239= "", VLOOKUP('Interactive Selection Sheet'!$G239, 'Master List Import'!$A$1:$P$519, 15, FALSE), ""), "")</f>
        <v>3</v>
      </c>
      <c r="R360" s="74">
        <f>_xlfn.IFNA(IF('Interactive Selection Sheet'!F239= "", VLOOKUP('Interactive Selection Sheet'!$G239, 'Master List Import'!$A$1:$P$519, 16, FALSE), ""), "")</f>
        <v>3.7</v>
      </c>
    </row>
    <row r="361" spans="1:18" ht="21.75" customHeight="1" x14ac:dyDescent="0.25">
      <c r="A361" s="69">
        <f>_xlfn.IFNA(IF('Interactive Selection Sheet'!$K239= "", VLOOKUP('Interactive Selection Sheet'!$L239, 'Master List Import'!$A$1:$P$519, 2, FALSE), ""), "")</f>
        <v>7123</v>
      </c>
      <c r="B361" s="69" t="str">
        <f>_xlfn.IFNA(IF('Interactive Selection Sheet'!K239= "", VLOOKUP('Interactive Selection Sheet'!$L239, 'Master List Import'!$A$1:$P$519, 3, FALSE), ""), "")</f>
        <v>Single Pack Toast'em Frosted S'Mores Popups</v>
      </c>
      <c r="C361" s="76">
        <f>IF('Interactive Selection Sheet'!$T$2="", "", IF(B361="","",'Interactive Selection Sheet'!$T$2))</f>
        <v>3.5000000000000003E-2</v>
      </c>
      <c r="D361" s="70">
        <f>IF(B361 = "", "", 'Interactive Selection Sheet'!$P$2)</f>
        <v>4.4999999999999998E-2</v>
      </c>
      <c r="E361" s="70">
        <f>IF(B361="","", 'Interactive Selection Sheet'!$R$2)</f>
        <v>0.02</v>
      </c>
      <c r="F361" s="69" t="str">
        <f>_xlfn.IFNA(IF('Interactive Selection Sheet'!K239= "", VLOOKUP('Interactive Selection Sheet'!$L239, 'Master List Import'!$A$1:$P$519, 4, FALSE), ""), "")</f>
        <v>Breakfast</v>
      </c>
      <c r="G361" s="69" t="str">
        <f>_xlfn.IFNA(IF('Interactive Selection Sheet'!K239= "", VLOOKUP('Interactive Selection Sheet'!$L239, 'Master List Import'!$A$1:$P$519, 5, FALSE), ""), "")</f>
        <v>Breakfast</v>
      </c>
      <c r="H361" s="69" t="str">
        <f>_xlfn.IFNA(IF('Interactive Selection Sheet'!K239= "", VLOOKUP('Interactive Selection Sheet'!$L239, 'Master List Import'!$A$1:$P$519, 6, FALSE), ""), "")</f>
        <v>Both</v>
      </c>
      <c r="I361" s="72">
        <f>_xlfn.IFNA(IF('Interactive Selection Sheet'!K239= "", VLOOKUP('Interactive Selection Sheet'!$L239, 'Master List Import'!$A$1:$P$519, 7, FALSE), ""), "")</f>
        <v>0.38</v>
      </c>
      <c r="J361" s="69" t="str">
        <f>_xlfn.IFNA(IF('Interactive Selection Sheet'!K239= "", VLOOKUP('Interactive Selection Sheet'!$L239, 'Master List Import'!$A$1:$P$519, 8, FALSE), ""), "")</f>
        <v>REI</v>
      </c>
      <c r="K361" s="69" t="str">
        <f>_xlfn.IFNA(IF('Interactive Selection Sheet'!K239= "", VLOOKUP('Interactive Selection Sheet'!$L239, 'Master List Import'!$A$1:$P$519, 9, FALSE), ""), "")</f>
        <v>185297-1</v>
      </c>
      <c r="L361" s="69">
        <f>_xlfn.IFNA(IF('Interactive Selection Sheet'!K239= "", VLOOKUP('Interactive Selection Sheet'!$L239, 'Master List Import'!$A$1:$P$519, 10, FALSE), ""), "")</f>
        <v>0</v>
      </c>
      <c r="M361" s="69">
        <f>_xlfn.IFNA(IF('Interactive Selection Sheet'!K239= "", VLOOKUP('Interactive Selection Sheet'!$L239, 'Master List Import'!$A$1:$P$519, 11, FALSE), ""), "")</f>
        <v>0</v>
      </c>
      <c r="N361" s="69">
        <f>_xlfn.IFNA(IF('Interactive Selection Sheet'!K239= "", VLOOKUP('Interactive Selection Sheet'!$L239, 'Master List Import'!$A$1:$P$519, 12, FALSE), ""), "")</f>
        <v>1</v>
      </c>
      <c r="O361" s="69">
        <f>_xlfn.IFNA(IF('Interactive Selection Sheet'!K239= "", VLOOKUP('Interactive Selection Sheet'!$L239, 'Master List Import'!$A$1:$P$519, 13, FALSE), ""), "")</f>
        <v>7133</v>
      </c>
      <c r="P361" s="69" t="str">
        <f>_xlfn.IFNA(IF('Interactive Selection Sheet'!K239= "", VLOOKUP('Interactive Selection Sheet'!$L239, 'Master List Import'!$A$1:$P$519, 14, FALSE), ""), "")</f>
        <v>Single Pack S'mores Pop-Up</v>
      </c>
      <c r="Q361" s="69">
        <f>_xlfn.IFNA(IF('Interactive Selection Sheet'!K239= "", VLOOKUP('Interactive Selection Sheet'!$L239, 'Master List Import'!$A$1:$P$519, 15, FALSE), ""), "")</f>
        <v>1</v>
      </c>
      <c r="R361" s="74">
        <f>_xlfn.IFNA(IF('Interactive Selection Sheet'!K239= "", VLOOKUP('Interactive Selection Sheet'!$L239, 'Master List Import'!$A$1:$P$519, 16, FALSE), ""), "")</f>
        <v>1.2</v>
      </c>
    </row>
    <row r="362" spans="1:18" ht="21.75" customHeight="1" x14ac:dyDescent="0.25">
      <c r="A362" s="69">
        <f>_xlfn.IFNA(IF('Interactive Selection Sheet'!F240= "", VLOOKUP('Interactive Selection Sheet'!$G240, 'Master List Import'!$A$1:$P$519, 2, FALSE), ""), "")</f>
        <v>7124</v>
      </c>
      <c r="B362" s="69" t="str">
        <f>_xlfn.IFNA(IF('Interactive Selection Sheet'!F240= "", VLOOKUP('Interactive Selection Sheet'!$G240, 'Master List Import'!$A$1:$P$519, 3, FALSE), ""), "")</f>
        <v>Toast'em Frosted Cinnamon &amp; Brown Sugar Popups 3pk, 11oz - 12/3/cs</v>
      </c>
      <c r="C362" s="76">
        <f>IF('Interactive Selection Sheet'!$T$2="", "", IF(B362="","",'Interactive Selection Sheet'!$T$2))</f>
        <v>3.5000000000000003E-2</v>
      </c>
      <c r="D362" s="70">
        <f>IF(B362 = "", "", 'Interactive Selection Sheet'!$P$2)</f>
        <v>4.4999999999999998E-2</v>
      </c>
      <c r="E362" s="70">
        <f>IF(B362="","", 'Interactive Selection Sheet'!$R$2)</f>
        <v>0.02</v>
      </c>
      <c r="F362" s="69" t="str">
        <f>_xlfn.IFNA(IF('Interactive Selection Sheet'!F240= "", VLOOKUP('Interactive Selection Sheet'!$G240, 'Master List Import'!$A$1:$P$519, 4, FALSE), ""), "")</f>
        <v>Breakfast</v>
      </c>
      <c r="G362" s="69" t="str">
        <f>_xlfn.IFNA(IF('Interactive Selection Sheet'!F240= "", VLOOKUP('Interactive Selection Sheet'!$G240, 'Master List Import'!$A$1:$P$519, 5, FALSE), ""), "")</f>
        <v>Breakfast</v>
      </c>
      <c r="H362" s="69" t="str">
        <f>_xlfn.IFNA(IF('Interactive Selection Sheet'!F240= "", VLOOKUP('Interactive Selection Sheet'!$G240, 'Master List Import'!$A$1:$P$519, 6, FALSE), ""), "")</f>
        <v>Both</v>
      </c>
      <c r="I362" s="72">
        <f>_xlfn.IFNA(IF('Interactive Selection Sheet'!F240= "", VLOOKUP('Interactive Selection Sheet'!$G240, 'Master List Import'!$A$1:$P$519, 7, FALSE), ""), "")</f>
        <v>0.38</v>
      </c>
      <c r="J362" s="69" t="str">
        <f>_xlfn.IFNA(IF('Interactive Selection Sheet'!F240= "", VLOOKUP('Interactive Selection Sheet'!$G240, 'Master List Import'!$A$1:$P$519, 8, FALSE), ""), "")</f>
        <v>REI</v>
      </c>
      <c r="K362" s="69" t="str">
        <f>_xlfn.IFNA(IF('Interactive Selection Sheet'!F240= "", VLOOKUP('Interactive Selection Sheet'!$G240, 'Master List Import'!$A$1:$P$519, 9, FALSE), ""), "")</f>
        <v>185215</v>
      </c>
      <c r="L362" s="69">
        <f>_xlfn.IFNA(IF('Interactive Selection Sheet'!F240= "", VLOOKUP('Interactive Selection Sheet'!$G240, 'Master List Import'!$A$1:$P$519, 10, FALSE), ""), "")</f>
        <v>0</v>
      </c>
      <c r="M362" s="69">
        <f>_xlfn.IFNA(IF('Interactive Selection Sheet'!F240= "", VLOOKUP('Interactive Selection Sheet'!$G240, 'Master List Import'!$A$1:$P$519, 11, FALSE), ""), "")</f>
        <v>0</v>
      </c>
      <c r="N362" s="69">
        <f>_xlfn.IFNA(IF('Interactive Selection Sheet'!F240= "", VLOOKUP('Interactive Selection Sheet'!$G240, 'Master List Import'!$A$1:$P$519, 12, FALSE), ""), "")</f>
        <v>36</v>
      </c>
      <c r="O362" s="69">
        <f>_xlfn.IFNA(IF('Interactive Selection Sheet'!F240= "", VLOOKUP('Interactive Selection Sheet'!$G240, 'Master List Import'!$A$1:$P$519, 13, FALSE), ""), "")</f>
        <v>7124</v>
      </c>
      <c r="P362" s="69" t="str">
        <f>_xlfn.IFNA(IF('Interactive Selection Sheet'!F240= "", VLOOKUP('Interactive Selection Sheet'!$G240, 'Master List Import'!$A$1:$P$519, 14, FALSE), ""), "")</f>
        <v>Brown Sugar Cinnamon Pop-Ups (3pk)</v>
      </c>
      <c r="Q362" s="69">
        <f>_xlfn.IFNA(IF('Interactive Selection Sheet'!F240= "", VLOOKUP('Interactive Selection Sheet'!$G240, 'Master List Import'!$A$1:$P$519, 15, FALSE), ""), "")</f>
        <v>3</v>
      </c>
      <c r="R362" s="74">
        <f>_xlfn.IFNA(IF('Interactive Selection Sheet'!F240= "", VLOOKUP('Interactive Selection Sheet'!$G240, 'Master List Import'!$A$1:$P$519, 16, FALSE), ""), "")</f>
        <v>3.7</v>
      </c>
    </row>
    <row r="363" spans="1:18" ht="21.75" customHeight="1" x14ac:dyDescent="0.25">
      <c r="A363" s="69">
        <f>_xlfn.IFNA(IF('Interactive Selection Sheet'!$K240= "", VLOOKUP('Interactive Selection Sheet'!$L240, 'Master List Import'!$A$1:$P$519, 2, FALSE), ""), "")</f>
        <v>7124</v>
      </c>
      <c r="B363" s="69" t="str">
        <f>_xlfn.IFNA(IF('Interactive Selection Sheet'!K240= "", VLOOKUP('Interactive Selection Sheet'!$L240, 'Master List Import'!$A$1:$P$519, 3, FALSE), ""), "")</f>
        <v>Single Pack Toast'em Frosted Cinnamon &amp; Brown Sugar Popups</v>
      </c>
      <c r="C363" s="76">
        <f>IF('Interactive Selection Sheet'!$T$2="", "", IF(B363="","",'Interactive Selection Sheet'!$T$2))</f>
        <v>3.5000000000000003E-2</v>
      </c>
      <c r="D363" s="70">
        <f>IF(B363 = "", "", 'Interactive Selection Sheet'!$P$2)</f>
        <v>4.4999999999999998E-2</v>
      </c>
      <c r="E363" s="70">
        <f>IF(B363="","", 'Interactive Selection Sheet'!$R$2)</f>
        <v>0.02</v>
      </c>
      <c r="F363" s="69" t="str">
        <f>_xlfn.IFNA(IF('Interactive Selection Sheet'!K240= "", VLOOKUP('Interactive Selection Sheet'!$L240, 'Master List Import'!$A$1:$P$519, 4, FALSE), ""), "")</f>
        <v>Breakfast</v>
      </c>
      <c r="G363" s="69" t="str">
        <f>_xlfn.IFNA(IF('Interactive Selection Sheet'!K240= "", VLOOKUP('Interactive Selection Sheet'!$L240, 'Master List Import'!$A$1:$P$519, 5, FALSE), ""), "")</f>
        <v>Breakfast</v>
      </c>
      <c r="H363" s="69" t="str">
        <f>_xlfn.IFNA(IF('Interactive Selection Sheet'!K240= "", VLOOKUP('Interactive Selection Sheet'!$L240, 'Master List Import'!$A$1:$P$519, 6, FALSE), ""), "")</f>
        <v>Both</v>
      </c>
      <c r="I363" s="72">
        <f>_xlfn.IFNA(IF('Interactive Selection Sheet'!K240= "", VLOOKUP('Interactive Selection Sheet'!$L240, 'Master List Import'!$A$1:$P$519, 7, FALSE), ""), "")</f>
        <v>0.38</v>
      </c>
      <c r="J363" s="69" t="str">
        <f>_xlfn.IFNA(IF('Interactive Selection Sheet'!K240= "", VLOOKUP('Interactive Selection Sheet'!$L240, 'Master List Import'!$A$1:$P$519, 8, FALSE), ""), "")</f>
        <v>REI</v>
      </c>
      <c r="K363" s="69" t="str">
        <f>_xlfn.IFNA(IF('Interactive Selection Sheet'!K240= "", VLOOKUP('Interactive Selection Sheet'!$L240, 'Master List Import'!$A$1:$P$519, 9, FALSE), ""), "")</f>
        <v>185215-1</v>
      </c>
      <c r="L363" s="69">
        <f>_xlfn.IFNA(IF('Interactive Selection Sheet'!K240= "", VLOOKUP('Interactive Selection Sheet'!$L240, 'Master List Import'!$A$1:$P$519, 10, FALSE), ""), "")</f>
        <v>0</v>
      </c>
      <c r="M363" s="69">
        <f>_xlfn.IFNA(IF('Interactive Selection Sheet'!K240= "", VLOOKUP('Interactive Selection Sheet'!$L240, 'Master List Import'!$A$1:$P$519, 11, FALSE), ""), "")</f>
        <v>0</v>
      </c>
      <c r="N363" s="69">
        <f>_xlfn.IFNA(IF('Interactive Selection Sheet'!K240= "", VLOOKUP('Interactive Selection Sheet'!$L240, 'Master List Import'!$A$1:$P$519, 12, FALSE), ""), "")</f>
        <v>1</v>
      </c>
      <c r="O363" s="69">
        <f>_xlfn.IFNA(IF('Interactive Selection Sheet'!K240= "", VLOOKUP('Interactive Selection Sheet'!$L240, 'Master List Import'!$A$1:$P$519, 13, FALSE), ""), "")</f>
        <v>7134</v>
      </c>
      <c r="P363" s="69" t="str">
        <f>_xlfn.IFNA(IF('Interactive Selection Sheet'!K240= "", VLOOKUP('Interactive Selection Sheet'!$L240, 'Master List Import'!$A$1:$P$519, 14, FALSE), ""), "")</f>
        <v>Single Pack Brown Sugar Cinnamon Pop-Up</v>
      </c>
      <c r="Q363" s="69">
        <f>_xlfn.IFNA(IF('Interactive Selection Sheet'!K240= "", VLOOKUP('Interactive Selection Sheet'!$L240, 'Master List Import'!$A$1:$P$519, 15, FALSE), ""), "")</f>
        <v>1</v>
      </c>
      <c r="R363" s="74">
        <f>_xlfn.IFNA(IF('Interactive Selection Sheet'!K240= "", VLOOKUP('Interactive Selection Sheet'!$L240, 'Master List Import'!$A$1:$P$519, 16, FALSE), ""), "")</f>
        <v>1.2</v>
      </c>
    </row>
    <row r="364" spans="1:18" ht="21.75" customHeight="1" x14ac:dyDescent="0.25">
      <c r="A364" s="69">
        <f>_xlfn.IFNA(IF('Interactive Selection Sheet'!F241= "", VLOOKUP('Interactive Selection Sheet'!$G241, 'Master List Import'!$A$1:$P$519, 2, FALSE), ""), "")</f>
        <v>7125</v>
      </c>
      <c r="B364" s="69" t="str">
        <f>_xlfn.IFNA(IF('Interactive Selection Sheet'!F241= "", VLOOKUP('Interactive Selection Sheet'!$G241, 'Master List Import'!$A$1:$P$519, 3, FALSE), ""), "")</f>
        <v>Toast'em Frosted Chocolate Fudge Poptarts, 12/3/cs</v>
      </c>
      <c r="C364" s="76">
        <f>IF('Interactive Selection Sheet'!$T$2="", "", IF(B364="","",'Interactive Selection Sheet'!$T$2))</f>
        <v>3.5000000000000003E-2</v>
      </c>
      <c r="D364" s="70">
        <f>IF(B364 = "", "", 'Interactive Selection Sheet'!$P$2)</f>
        <v>4.4999999999999998E-2</v>
      </c>
      <c r="E364" s="70">
        <f>IF(B364="","", 'Interactive Selection Sheet'!$R$2)</f>
        <v>0.02</v>
      </c>
      <c r="F364" s="69" t="str">
        <f>_xlfn.IFNA(IF('Interactive Selection Sheet'!F241= "", VLOOKUP('Interactive Selection Sheet'!$G241, 'Master List Import'!$A$1:$P$519, 4, FALSE), ""), "")</f>
        <v>Breakfast</v>
      </c>
      <c r="G364" s="69" t="str">
        <f>_xlfn.IFNA(IF('Interactive Selection Sheet'!F241= "", VLOOKUP('Interactive Selection Sheet'!$G241, 'Master List Import'!$A$1:$P$519, 5, FALSE), ""), "")</f>
        <v>Breakfast</v>
      </c>
      <c r="H364" s="69" t="str">
        <f>_xlfn.IFNA(IF('Interactive Selection Sheet'!F241= "", VLOOKUP('Interactive Selection Sheet'!$G241, 'Master List Import'!$A$1:$P$519, 6, FALSE), ""), "")</f>
        <v>Both</v>
      </c>
      <c r="I364" s="72">
        <f>_xlfn.IFNA(IF('Interactive Selection Sheet'!F241= "", VLOOKUP('Interactive Selection Sheet'!$G241, 'Master List Import'!$A$1:$P$519, 7, FALSE), ""), "")</f>
        <v>0.38</v>
      </c>
      <c r="J364" s="69" t="str">
        <f>_xlfn.IFNA(IF('Interactive Selection Sheet'!F241= "", VLOOKUP('Interactive Selection Sheet'!$G241, 'Master List Import'!$A$1:$P$519, 8, FALSE), ""), "")</f>
        <v>REI</v>
      </c>
      <c r="K364" s="69" t="str">
        <f>_xlfn.IFNA(IF('Interactive Selection Sheet'!F241= "", VLOOKUP('Interactive Selection Sheet'!$G241, 'Master List Import'!$A$1:$P$519, 9, FALSE), ""), "")</f>
        <v>185230</v>
      </c>
      <c r="L364" s="69">
        <f>_xlfn.IFNA(IF('Interactive Selection Sheet'!F241= "", VLOOKUP('Interactive Selection Sheet'!$G241, 'Master List Import'!$A$1:$P$519, 10, FALSE), ""), "")</f>
        <v>0</v>
      </c>
      <c r="M364" s="69">
        <f>_xlfn.IFNA(IF('Interactive Selection Sheet'!F241= "", VLOOKUP('Interactive Selection Sheet'!$G241, 'Master List Import'!$A$1:$P$519, 11, FALSE), ""), "")</f>
        <v>0</v>
      </c>
      <c r="N364" s="69">
        <f>_xlfn.IFNA(IF('Interactive Selection Sheet'!F241= "", VLOOKUP('Interactive Selection Sheet'!$G241, 'Master List Import'!$A$1:$P$519, 12, FALSE), ""), "")</f>
        <v>36</v>
      </c>
      <c r="O364" s="69">
        <f>_xlfn.IFNA(IF('Interactive Selection Sheet'!F241= "", VLOOKUP('Interactive Selection Sheet'!$G241, 'Master List Import'!$A$1:$P$519, 13, FALSE), ""), "")</f>
        <v>7125</v>
      </c>
      <c r="P364" s="69" t="str">
        <f>_xlfn.IFNA(IF('Interactive Selection Sheet'!F241= "", VLOOKUP('Interactive Selection Sheet'!$G241, 'Master List Import'!$A$1:$P$519, 14, FALSE), ""), "")</f>
        <v>Chocolate Fudge Pop-Ups (3pk)</v>
      </c>
      <c r="Q364" s="69">
        <f>_xlfn.IFNA(IF('Interactive Selection Sheet'!F241= "", VLOOKUP('Interactive Selection Sheet'!$G241, 'Master List Import'!$A$1:$P$519, 15, FALSE), ""), "")</f>
        <v>3</v>
      </c>
      <c r="R364" s="74">
        <f>_xlfn.IFNA(IF('Interactive Selection Sheet'!F241= "", VLOOKUP('Interactive Selection Sheet'!$G241, 'Master List Import'!$A$1:$P$519, 16, FALSE), ""), "")</f>
        <v>3.7</v>
      </c>
    </row>
    <row r="365" spans="1:18" ht="21.75" customHeight="1" x14ac:dyDescent="0.25">
      <c r="A365" s="69">
        <f>_xlfn.IFNA(IF('Interactive Selection Sheet'!$K241= "", VLOOKUP('Interactive Selection Sheet'!$L241, 'Master List Import'!$A$1:$P$519, 2, FALSE), ""), "")</f>
        <v>7125</v>
      </c>
      <c r="B365" s="69" t="str">
        <f>_xlfn.IFNA(IF('Interactive Selection Sheet'!K241= "", VLOOKUP('Interactive Selection Sheet'!$L241, 'Master List Import'!$A$1:$P$519, 3, FALSE), ""), "")</f>
        <v>Single Pack Chocolate Fudge Pop-Up</v>
      </c>
      <c r="C365" s="76">
        <f>IF('Interactive Selection Sheet'!$T$2="", "", IF(B365="","",'Interactive Selection Sheet'!$T$2))</f>
        <v>3.5000000000000003E-2</v>
      </c>
      <c r="D365" s="70">
        <f>IF(B365 = "", "", 'Interactive Selection Sheet'!$P$2)</f>
        <v>4.4999999999999998E-2</v>
      </c>
      <c r="E365" s="70">
        <f>IF(B365="","", 'Interactive Selection Sheet'!$R$2)</f>
        <v>0.02</v>
      </c>
      <c r="F365" s="69" t="str">
        <f>_xlfn.IFNA(IF('Interactive Selection Sheet'!K241= "", VLOOKUP('Interactive Selection Sheet'!$L241, 'Master List Import'!$A$1:$P$519, 4, FALSE), ""), "")</f>
        <v>Breakfast</v>
      </c>
      <c r="G365" s="69" t="str">
        <f>_xlfn.IFNA(IF('Interactive Selection Sheet'!K241= "", VLOOKUP('Interactive Selection Sheet'!$L241, 'Master List Import'!$A$1:$P$519,5, FALSE), ""), "")</f>
        <v>Breakfast</v>
      </c>
      <c r="H365" s="69" t="str">
        <f>_xlfn.IFNA(IF('Interactive Selection Sheet'!K241= "", VLOOKUP('Interactive Selection Sheet'!$L241, 'Master List Import'!$A$1:$P$519, 6, FALSE), ""), "")</f>
        <v>Both</v>
      </c>
      <c r="I365" s="72">
        <f>_xlfn.IFNA(IF('Interactive Selection Sheet'!K241= "", VLOOKUP('Interactive Selection Sheet'!$L241, 'Master List Import'!$A$1:$P$519, 7, FALSE), ""), "")</f>
        <v>0.38</v>
      </c>
      <c r="J365" s="69" t="str">
        <f>_xlfn.IFNA(IF('Interactive Selection Sheet'!K241= "", VLOOKUP('Interactive Selection Sheet'!$L241, 'Master List Import'!$A$1:$P$519, 8, FALSE), ""), "")</f>
        <v>REI</v>
      </c>
      <c r="K365" s="69" t="str">
        <f>_xlfn.IFNA(IF('Interactive Selection Sheet'!K241= "", VLOOKUP('Interactive Selection Sheet'!$L241, 'Master List Import'!$A$1:$P$519, 9, FALSE), ""), "")</f>
        <v>185230-1</v>
      </c>
      <c r="L365" s="69">
        <f>_xlfn.IFNA(IF('Interactive Selection Sheet'!K241= "", VLOOKUP('Interactive Selection Sheet'!$L241, 'Master List Import'!$A$1:$P$519, 10, FALSE), ""), "")</f>
        <v>0</v>
      </c>
      <c r="M365" s="69">
        <f>_xlfn.IFNA(IF('Interactive Selection Sheet'!K241= "", VLOOKUP('Interactive Selection Sheet'!$L241, 'Master List Import'!$A$1:$P$519, 11, FALSE), ""), "")</f>
        <v>0</v>
      </c>
      <c r="N365" s="69">
        <f>_xlfn.IFNA(IF('Interactive Selection Sheet'!K241= "", VLOOKUP('Interactive Selection Sheet'!$L241, 'Master List Import'!$A$1:$P$519, 12, FALSE), ""), "")</f>
        <v>1</v>
      </c>
      <c r="O365" s="69">
        <f>_xlfn.IFNA(IF('Interactive Selection Sheet'!K241= "", VLOOKUP('Interactive Selection Sheet'!$L241, 'Master List Import'!$A$1:$P$519, 13, FALSE), ""), "")</f>
        <v>7135</v>
      </c>
      <c r="P365" s="69" t="str">
        <f>_xlfn.IFNA(IF('Interactive Selection Sheet'!K241= "", VLOOKUP('Interactive Selection Sheet'!$L241, 'Master List Import'!$A$1:$P$519, 14, FALSE), ""), "")</f>
        <v>Single Pack Chocolate Fudge Pop-Up</v>
      </c>
      <c r="Q365" s="69">
        <f>_xlfn.IFNA(IF('Interactive Selection Sheet'!K241= "", VLOOKUP('Interactive Selection Sheet'!$L241, 'Master List Import'!$A$1:$P$519, 15, FALSE), ""), "")</f>
        <v>1</v>
      </c>
      <c r="R365" s="74">
        <f>_xlfn.IFNA(IF('Interactive Selection Sheet'!K241= "", VLOOKUP('Interactive Selection Sheet'!$L241, 'Master List Import'!$A$1:$P$519, 16, FALSE), ""), "")</f>
        <v>1.2</v>
      </c>
    </row>
    <row r="366" spans="1:18" ht="21.75" customHeight="1" x14ac:dyDescent="0.25">
      <c r="A366" s="69">
        <f>_xlfn.IFNA(IF('Interactive Selection Sheet'!F242= "", VLOOKUP('Interactive Selection Sheet'!$G242, 'Master List Import'!$A$1:$P$519, 2, FALSE), ""), "")</f>
        <v>7126</v>
      </c>
      <c r="B366" s="69" t="str">
        <f>_xlfn.IFNA(IF('Interactive Selection Sheet'!F242= "", VLOOKUP('Interactive Selection Sheet'!$G242, 'Master List Import'!$A$1:$P$519, 3, FALSE), ""), "")</f>
        <v>Toast' em Frosted Cherry Poptarts, 11oz - 12/3/cs</v>
      </c>
      <c r="C366" s="76">
        <f>IF('Interactive Selection Sheet'!$T$2="", "", IF(B366="","",'Interactive Selection Sheet'!$T$2))</f>
        <v>3.5000000000000003E-2</v>
      </c>
      <c r="D366" s="70">
        <f>IF(B366 = "", "", 'Interactive Selection Sheet'!$P$2)</f>
        <v>4.4999999999999998E-2</v>
      </c>
      <c r="E366" s="70">
        <f>IF(B366="","", 'Interactive Selection Sheet'!$R$2)</f>
        <v>0.02</v>
      </c>
      <c r="F366" s="69" t="str">
        <f>_xlfn.IFNA(IF('Interactive Selection Sheet'!F242= "", VLOOKUP('Interactive Selection Sheet'!$G242, 'Master List Import'!$A$1:$P$519, 4, FALSE), ""), "")</f>
        <v>Breakfast</v>
      </c>
      <c r="G366" s="69" t="str">
        <f>_xlfn.IFNA(IF('Interactive Selection Sheet'!F242= "", VLOOKUP('Interactive Selection Sheet'!$G242, 'Master List Import'!$A$1:$P$519, 5, FALSE), ""), "")</f>
        <v>Breakfast</v>
      </c>
      <c r="H366" s="69" t="str">
        <f>_xlfn.IFNA(IF('Interactive Selection Sheet'!F242= "", VLOOKUP('Interactive Selection Sheet'!$G242, 'Master List Import'!$A$1:$P$519, 6, FALSE), ""), "")</f>
        <v>Both</v>
      </c>
      <c r="I366" s="72">
        <f>_xlfn.IFNA(IF('Interactive Selection Sheet'!F242= "", VLOOKUP('Interactive Selection Sheet'!$G242, 'Master List Import'!$A$1:$P$519, 7, FALSE), ""), "")</f>
        <v>0.38</v>
      </c>
      <c r="J366" s="69" t="str">
        <f>_xlfn.IFNA(IF('Interactive Selection Sheet'!F242= "", VLOOKUP('Interactive Selection Sheet'!$G242, 'Master List Import'!$A$1:$P$519, 8, FALSE), ""), "")</f>
        <v>REI</v>
      </c>
      <c r="K366" s="69" t="str">
        <f>_xlfn.IFNA(IF('Interactive Selection Sheet'!F242= "", VLOOKUP('Interactive Selection Sheet'!$G242, 'Master List Import'!$A$1:$P$519, 9, FALSE), ""), "")</f>
        <v>185173</v>
      </c>
      <c r="L366" s="69">
        <f>_xlfn.IFNA(IF('Interactive Selection Sheet'!F242= "", VLOOKUP('Interactive Selection Sheet'!$G242, 'Master List Import'!$A$1:$P$519, 10, FALSE), ""), "")</f>
        <v>0</v>
      </c>
      <c r="M366" s="69">
        <f>_xlfn.IFNA(IF('Interactive Selection Sheet'!F242= "", VLOOKUP('Interactive Selection Sheet'!$G242, 'Master List Import'!$A$1:$P$519, 11, FALSE), ""), "")</f>
        <v>0</v>
      </c>
      <c r="N366" s="69">
        <f>_xlfn.IFNA(IF('Interactive Selection Sheet'!F242= "", VLOOKUP('Interactive Selection Sheet'!$G242, 'Master List Import'!$A$1:$P$519, 12, FALSE), ""), "")</f>
        <v>36</v>
      </c>
      <c r="O366" s="69">
        <f>_xlfn.IFNA(IF('Interactive Selection Sheet'!F242= "", VLOOKUP('Interactive Selection Sheet'!$G242, 'Master List Import'!$A$1:$P$519, 13, FALSE), ""), "")</f>
        <v>7126</v>
      </c>
      <c r="P366" s="69" t="str">
        <f>_xlfn.IFNA(IF('Interactive Selection Sheet'!F242= "", VLOOKUP('Interactive Selection Sheet'!$G242, 'Master List Import'!$A$1:$P$519, 14, FALSE), ""), "")</f>
        <v>Frosted Cherry Pop-Ups (3pk)</v>
      </c>
      <c r="Q366" s="69">
        <f>_xlfn.IFNA(IF('Interactive Selection Sheet'!F242= "", VLOOKUP('Interactive Selection Sheet'!$G242, 'Master List Import'!$A$1:$P$519, 15, FALSE), ""), "")</f>
        <v>3</v>
      </c>
      <c r="R366" s="74">
        <f>_xlfn.IFNA(IF('Interactive Selection Sheet'!F242= "", VLOOKUP('Interactive Selection Sheet'!$G242, 'Master List Import'!$A$1:$P$519, 16, FALSE), ""), "")</f>
        <v>3.7</v>
      </c>
    </row>
    <row r="367" spans="1:18" ht="21.75" customHeight="1" x14ac:dyDescent="0.25">
      <c r="A367" s="69">
        <f>_xlfn.IFNA(IF('Interactive Selection Sheet'!$K242= "", VLOOKUP('Interactive Selection Sheet'!$L242, 'Master List Import'!$A$1:$P$519, 2, FALSE), ""), "")</f>
        <v>7126</v>
      </c>
      <c r="B367" s="69" t="str">
        <f>_xlfn.IFNA(IF('Interactive Selection Sheet'!K242= "", VLOOKUP('Interactive Selection Sheet'!$L242, 'Master List Import'!$A$1:$P$519, 3, FALSE), ""), "")</f>
        <v>Single Pack Frosted Cherry Pop-Up</v>
      </c>
      <c r="C367" s="76">
        <f>IF('Interactive Selection Sheet'!$T$2="", "", IF(B367="","",'Interactive Selection Sheet'!$T$2))</f>
        <v>3.5000000000000003E-2</v>
      </c>
      <c r="D367" s="70">
        <f>IF(B367 = "", "", 'Interactive Selection Sheet'!$P$2)</f>
        <v>4.4999999999999998E-2</v>
      </c>
      <c r="E367" s="70">
        <f>IF(B367="","", 'Interactive Selection Sheet'!$R$2)</f>
        <v>0.02</v>
      </c>
      <c r="F367" s="69" t="str">
        <f>_xlfn.IFNA(IF('Interactive Selection Sheet'!K242= "", VLOOKUP('Interactive Selection Sheet'!$L242, 'Master List Import'!$A$1:$P$519, 4, FALSE), ""), "")</f>
        <v>Breakfast</v>
      </c>
      <c r="G367" s="69" t="str">
        <f>_xlfn.IFNA(IF('Interactive Selection Sheet'!K242= "", VLOOKUP('Interactive Selection Sheet'!$L242, 'Master List Import'!$A$1:$P$519,5, FALSE), ""), "")</f>
        <v>Breakfast</v>
      </c>
      <c r="H367" s="69" t="str">
        <f>_xlfn.IFNA(IF('Interactive Selection Sheet'!K242= "", VLOOKUP('Interactive Selection Sheet'!$L242, 'Master List Import'!$A$1:$P$519, 6, FALSE), ""), "")</f>
        <v>Both</v>
      </c>
      <c r="I367" s="72">
        <f>_xlfn.IFNA(IF('Interactive Selection Sheet'!K242= "", VLOOKUP('Interactive Selection Sheet'!$L242, 'Master List Import'!$A$1:$P$519, 7, FALSE), ""), "")</f>
        <v>0.38</v>
      </c>
      <c r="J367" s="69" t="str">
        <f>_xlfn.IFNA(IF('Interactive Selection Sheet'!K242= "", VLOOKUP('Interactive Selection Sheet'!$L242, 'Master List Import'!$A$1:$P$519, 8, FALSE), ""), "")</f>
        <v>REI</v>
      </c>
      <c r="K367" s="69" t="str">
        <f>_xlfn.IFNA(IF('Interactive Selection Sheet'!K242= "", VLOOKUP('Interactive Selection Sheet'!$L242, 'Master List Import'!$A$1:$P$519, 9, FALSE), ""), "")</f>
        <v>185173-1</v>
      </c>
      <c r="L367" s="69">
        <f>_xlfn.IFNA(IF('Interactive Selection Sheet'!K242= "", VLOOKUP('Interactive Selection Sheet'!$L242, 'Master List Import'!$A$1:$P$519, 10, FALSE), ""), "")</f>
        <v>0</v>
      </c>
      <c r="M367" s="69">
        <f>_xlfn.IFNA(IF('Interactive Selection Sheet'!K242= "", VLOOKUP('Interactive Selection Sheet'!$L242, 'Master List Import'!$A$1:$P$519, 11, FALSE), ""), "")</f>
        <v>0</v>
      </c>
      <c r="N367" s="69">
        <f>_xlfn.IFNA(IF('Interactive Selection Sheet'!K242= "", VLOOKUP('Interactive Selection Sheet'!$L242, 'Master List Import'!$A$1:$P$519, 12, FALSE), ""), "")</f>
        <v>1</v>
      </c>
      <c r="O367" s="69">
        <f>_xlfn.IFNA(IF('Interactive Selection Sheet'!K242= "", VLOOKUP('Interactive Selection Sheet'!$L242, 'Master List Import'!$A$1:$P$519, 13, FALSE), ""), "")</f>
        <v>7136</v>
      </c>
      <c r="P367" s="69" t="str">
        <f>_xlfn.IFNA(IF('Interactive Selection Sheet'!K242= "", VLOOKUP('Interactive Selection Sheet'!$L242, 'Master List Import'!$A$1:$P$519, 14, FALSE), ""), "")</f>
        <v>Single Pack Cherry Pop-Up</v>
      </c>
      <c r="Q367" s="69">
        <f>_xlfn.IFNA(IF('Interactive Selection Sheet'!K242= "", VLOOKUP('Interactive Selection Sheet'!$L242, 'Master List Import'!$A$1:$P$519, 15, FALSE), ""), "")</f>
        <v>1</v>
      </c>
      <c r="R367" s="74">
        <f>_xlfn.IFNA(IF('Interactive Selection Sheet'!K242= "", VLOOKUP('Interactive Selection Sheet'!$L242, 'Master List Import'!$A$1:$P$519, 16, FALSE), ""), "")</f>
        <v>1.2</v>
      </c>
    </row>
    <row r="368" spans="1:18" ht="21.75" customHeight="1" x14ac:dyDescent="0.25">
      <c r="A368" s="69">
        <f>_xlfn.IFNA(IF('Interactive Selection Sheet'!F246= "", VLOOKUP('Interactive Selection Sheet'!$G246, 'Master List Import'!$A$1:$P$519, 2, FALSE), ""), "")</f>
        <v>7200</v>
      </c>
      <c r="B368" s="69" t="str">
        <f>_xlfn.IFNA(IF('Interactive Selection Sheet'!F246= "", VLOOKUP('Interactive Selection Sheet'!$G246, 'Master List Import'!$A$1:$P$519, 3, FALSE), ""), "")</f>
        <v>Duplex Crème Sandwich Cookies, 5oz - 24/cs</v>
      </c>
      <c r="C368" s="76">
        <f>IF('Interactive Selection Sheet'!$T$2="", "", IF(B368="","",'Interactive Selection Sheet'!$T$2))</f>
        <v>3.5000000000000003E-2</v>
      </c>
      <c r="D368" s="70">
        <f>IF(B368 = "", "", 'Interactive Selection Sheet'!$P$2)</f>
        <v>4.4999999999999998E-2</v>
      </c>
      <c r="E368" s="70">
        <f>IF(B368="","", 'Interactive Selection Sheet'!$R$2)</f>
        <v>0.02</v>
      </c>
      <c r="F368" s="69" t="str">
        <f>_xlfn.IFNA(IF('Interactive Selection Sheet'!F246= "", VLOOKUP('Interactive Selection Sheet'!$G246, 'Master List Import'!$A$1:$P$519, 4, FALSE), ""), "")</f>
        <v>Snacks - Cookies/Crackers</v>
      </c>
      <c r="G368" s="69" t="str">
        <f>_xlfn.IFNA(IF('Interactive Selection Sheet'!F246= "", VLOOKUP('Interactive Selection Sheet'!$G246, 'Master List Import'!$A$1:$P$519, 5, FALSE), ""), "")</f>
        <v>Snacks - Cookies/Crackers</v>
      </c>
      <c r="H368" s="69" t="str">
        <f>_xlfn.IFNA(IF('Interactive Selection Sheet'!F246= "", VLOOKUP('Interactive Selection Sheet'!$G246, 'Master List Import'!$A$1:$P$519, 6, FALSE), ""), "")</f>
        <v>Both</v>
      </c>
      <c r="I368" s="72">
        <f>_xlfn.IFNA(IF('Interactive Selection Sheet'!F246= "", VLOOKUP('Interactive Selection Sheet'!$G246, 'Master List Import'!$A$1:$P$519, 7, FALSE), ""), "")</f>
        <v>0.39410000000000001</v>
      </c>
      <c r="J368" s="69" t="str">
        <f>_xlfn.IFNA(IF('Interactive Selection Sheet'!F246= "", VLOOKUP('Interactive Selection Sheet'!$G246, 'Master List Import'!$A$1:$P$519, 8, FALSE), ""), "")</f>
        <v>REI</v>
      </c>
      <c r="K368" s="69" t="str">
        <f>_xlfn.IFNA(IF('Interactive Selection Sheet'!F246= "", VLOOKUP('Interactive Selection Sheet'!$G246, 'Master List Import'!$A$1:$P$519, 9, FALSE), ""), "")</f>
        <v>199904</v>
      </c>
      <c r="L368" s="69">
        <f>_xlfn.IFNA(IF('Interactive Selection Sheet'!F246= "", VLOOKUP('Interactive Selection Sheet'!$G246, 'Master List Import'!$A$1:$P$519, 10, FALSE), ""), "")</f>
        <v>0</v>
      </c>
      <c r="M368" s="69">
        <f>_xlfn.IFNA(IF('Interactive Selection Sheet'!F246= "", VLOOKUP('Interactive Selection Sheet'!$G246, 'Master List Import'!$A$1:$P$519, 11, FALSE), ""), "")</f>
        <v>0</v>
      </c>
      <c r="N368" s="69">
        <f>_xlfn.IFNA(IF('Interactive Selection Sheet'!F246= "", VLOOKUP('Interactive Selection Sheet'!$G246, 'Master List Import'!$A$1:$P$519, 12, FALSE), ""), "")</f>
        <v>12</v>
      </c>
      <c r="O368" s="69">
        <f>_xlfn.IFNA(IF('Interactive Selection Sheet'!F246= "", VLOOKUP('Interactive Selection Sheet'!$G246, 'Master List Import'!$A$1:$P$519, 13, FALSE), ""), "")</f>
        <v>7200</v>
      </c>
      <c r="P368" s="69" t="str">
        <f>_xlfn.IFNA(IF('Interactive Selection Sheet'!F246= "", VLOOKUP('Interactive Selection Sheet'!$G246, 'Master List Import'!$A$1:$P$519, 14, FALSE), ""), "")</f>
        <v>Duplex Crème Cookies</v>
      </c>
      <c r="Q368" s="69">
        <f>_xlfn.IFNA(IF('Interactive Selection Sheet'!F246= "", VLOOKUP('Interactive Selection Sheet'!$G246, 'Master List Import'!$A$1:$P$519, 15, FALSE), ""), "")</f>
        <v>1</v>
      </c>
      <c r="R368" s="74">
        <f>_xlfn.IFNA(IF('Interactive Selection Sheet'!F246= "", VLOOKUP('Interactive Selection Sheet'!$G246, 'Master List Import'!$A$1:$P$519, 16, FALSE), ""), "")</f>
        <v>1.6</v>
      </c>
    </row>
    <row r="369" spans="1:18" ht="21.75" customHeight="1" x14ac:dyDescent="0.25">
      <c r="A369" s="69">
        <f>_xlfn.IFNA(IF('Interactive Selection Sheet'!F247= "", VLOOKUP('Interactive Selection Sheet'!$G247, 'Master List Import'!$A$1:$P$519, 2, FALSE), ""), "")</f>
        <v>7201</v>
      </c>
      <c r="B369" s="69" t="str">
        <f>_xlfn.IFNA(IF('Interactive Selection Sheet'!F247= "", VLOOKUP('Interactive Selection Sheet'!$G247, 'Master List Import'!$A$1:$P$519, 3, FALSE), ""), "")</f>
        <v>Vanilla Crème Sandwich Cookies, 5oz - 24/cs</v>
      </c>
      <c r="C369" s="76">
        <f>IF('Interactive Selection Sheet'!$T$2="", "", IF(B369="","",'Interactive Selection Sheet'!$T$2))</f>
        <v>3.5000000000000003E-2</v>
      </c>
      <c r="D369" s="70">
        <f>IF(B369 = "", "", 'Interactive Selection Sheet'!$P$2)</f>
        <v>4.4999999999999998E-2</v>
      </c>
      <c r="E369" s="70">
        <f>IF(B369="","", 'Interactive Selection Sheet'!$R$2)</f>
        <v>0.02</v>
      </c>
      <c r="F369" s="69" t="str">
        <f>_xlfn.IFNA(IF('Interactive Selection Sheet'!F247= "", VLOOKUP('Interactive Selection Sheet'!$G247, 'Master List Import'!$A$1:$P$519, 4, FALSE), ""), "")</f>
        <v>Snacks - Cookies/Crackers</v>
      </c>
      <c r="G369" s="69" t="str">
        <f>_xlfn.IFNA(IF('Interactive Selection Sheet'!F247= "", VLOOKUP('Interactive Selection Sheet'!$G247, 'Master List Import'!$A$1:$P$519, 5, FALSE), ""), "")</f>
        <v>Snacks - Cookies/Crackers</v>
      </c>
      <c r="H369" s="69" t="str">
        <f>_xlfn.IFNA(IF('Interactive Selection Sheet'!F247= "", VLOOKUP('Interactive Selection Sheet'!$G247, 'Master List Import'!$A$1:$P$519, 6, FALSE), ""), "")</f>
        <v>Both</v>
      </c>
      <c r="I369" s="72">
        <f>_xlfn.IFNA(IF('Interactive Selection Sheet'!F247= "", VLOOKUP('Interactive Selection Sheet'!$G247, 'Master List Import'!$A$1:$P$519, 7, FALSE), ""), "")</f>
        <v>0.39410000000000001</v>
      </c>
      <c r="J369" s="69" t="str">
        <f>_xlfn.IFNA(IF('Interactive Selection Sheet'!F247= "", VLOOKUP('Interactive Selection Sheet'!$G247, 'Master List Import'!$A$1:$P$519, 8, FALSE), ""), "")</f>
        <v>REI</v>
      </c>
      <c r="K369" s="69" t="str">
        <f>_xlfn.IFNA(IF('Interactive Selection Sheet'!F247= "", VLOOKUP('Interactive Selection Sheet'!$G247, 'Master List Import'!$A$1:$P$519, 9, FALSE), ""), "")</f>
        <v>199902</v>
      </c>
      <c r="L369" s="69">
        <f>_xlfn.IFNA(IF('Interactive Selection Sheet'!F247= "", VLOOKUP('Interactive Selection Sheet'!$G247, 'Master List Import'!$A$1:$P$519, 10, FALSE), ""), "")</f>
        <v>0</v>
      </c>
      <c r="M369" s="69">
        <f>_xlfn.IFNA(IF('Interactive Selection Sheet'!F247= "", VLOOKUP('Interactive Selection Sheet'!$G247, 'Master List Import'!$A$1:$P$519, 11, FALSE), ""), "")</f>
        <v>0</v>
      </c>
      <c r="N369" s="69">
        <f>_xlfn.IFNA(IF('Interactive Selection Sheet'!F247= "", VLOOKUP('Interactive Selection Sheet'!$G247, 'Master List Import'!$A$1:$P$519, 12, FALSE), ""), "")</f>
        <v>12</v>
      </c>
      <c r="O369" s="69">
        <f>_xlfn.IFNA(IF('Interactive Selection Sheet'!F247= "", VLOOKUP('Interactive Selection Sheet'!$G247, 'Master List Import'!$A$1:$P$519, 13, FALSE), ""), "")</f>
        <v>7201</v>
      </c>
      <c r="P369" s="69" t="str">
        <f>_xlfn.IFNA(IF('Interactive Selection Sheet'!F247= "", VLOOKUP('Interactive Selection Sheet'!$G247, 'Master List Import'!$A$1:$P$519, 14, FALSE), ""), "")</f>
        <v>Vanilla Crème Cookies</v>
      </c>
      <c r="Q369" s="69">
        <f>_xlfn.IFNA(IF('Interactive Selection Sheet'!F247= "", VLOOKUP('Interactive Selection Sheet'!$G247, 'Master List Import'!$A$1:$P$519, 15, FALSE), ""), "")</f>
        <v>1</v>
      </c>
      <c r="R369" s="74">
        <f>_xlfn.IFNA(IF('Interactive Selection Sheet'!F247= "", VLOOKUP('Interactive Selection Sheet'!$G247, 'Master List Import'!$A$1:$P$519, 16, FALSE), ""), "")</f>
        <v>1.6</v>
      </c>
    </row>
    <row r="370" spans="1:18" ht="21.75" customHeight="1" x14ac:dyDescent="0.25">
      <c r="A370" s="69">
        <f>_xlfn.IFNA(IF('Interactive Selection Sheet'!F248= "", VLOOKUP('Interactive Selection Sheet'!$G248, 'Master List Import'!$A$1:$P$519, 2, FALSE), ""), "")</f>
        <v>7202</v>
      </c>
      <c r="B370" s="69" t="str">
        <f>_xlfn.IFNA(IF('Interactive Selection Sheet'!F248= "", VLOOKUP('Interactive Selection Sheet'!$G248, 'Master List Import'!$A$1:$P$519, 3, FALSE), ""), "")</f>
        <v>Strawberry Crème Sandwich Cookies, 5oz - 24/cs</v>
      </c>
      <c r="C370" s="76">
        <f>IF('Interactive Selection Sheet'!$T$2="", "", IF(B370="","",'Interactive Selection Sheet'!$T$2))</f>
        <v>3.5000000000000003E-2</v>
      </c>
      <c r="D370" s="70">
        <f>IF(B370 = "", "", 'Interactive Selection Sheet'!$P$2)</f>
        <v>4.4999999999999998E-2</v>
      </c>
      <c r="E370" s="70">
        <f>IF(B370="","", 'Interactive Selection Sheet'!$R$2)</f>
        <v>0.02</v>
      </c>
      <c r="F370" s="69" t="str">
        <f>_xlfn.IFNA(IF('Interactive Selection Sheet'!F248= "", VLOOKUP('Interactive Selection Sheet'!$G248, 'Master List Import'!$A$1:$P$519, 4, FALSE), ""), "")</f>
        <v>Snacks - Cookies/Crackers</v>
      </c>
      <c r="G370" s="69" t="str">
        <f>_xlfn.IFNA(IF('Interactive Selection Sheet'!F248= "", VLOOKUP('Interactive Selection Sheet'!$G248, 'Master List Import'!$A$1:$P$519, 5, FALSE), ""), "")</f>
        <v>Snacks - Cookies/Crackers</v>
      </c>
      <c r="H370" s="69" t="str">
        <f>_xlfn.IFNA(IF('Interactive Selection Sheet'!F248= "", VLOOKUP('Interactive Selection Sheet'!$G248, 'Master List Import'!$A$1:$P$519, 6, FALSE), ""), "")</f>
        <v>Both</v>
      </c>
      <c r="I370" s="72">
        <f>_xlfn.IFNA(IF('Interactive Selection Sheet'!F248= "", VLOOKUP('Interactive Selection Sheet'!$G248, 'Master List Import'!$A$1:$P$519, 7, FALSE), ""), "")</f>
        <v>0.39410000000000001</v>
      </c>
      <c r="J370" s="69" t="str">
        <f>_xlfn.IFNA(IF('Interactive Selection Sheet'!F248= "", VLOOKUP('Interactive Selection Sheet'!$G248, 'Master List Import'!$A$1:$P$519, 8, FALSE), ""), "")</f>
        <v>REI</v>
      </c>
      <c r="K370" s="69" t="str">
        <f>_xlfn.IFNA(IF('Interactive Selection Sheet'!F248= "", VLOOKUP('Interactive Selection Sheet'!$G248, 'Master List Import'!$A$1:$P$519, 9, FALSE), ""), "")</f>
        <v>199903</v>
      </c>
      <c r="L370" s="69">
        <f>_xlfn.IFNA(IF('Interactive Selection Sheet'!F248= "", VLOOKUP('Interactive Selection Sheet'!$G248, 'Master List Import'!$A$1:$P$519, 10, FALSE), ""), "")</f>
        <v>0</v>
      </c>
      <c r="M370" s="69">
        <f>_xlfn.IFNA(IF('Interactive Selection Sheet'!F248= "", VLOOKUP('Interactive Selection Sheet'!$G248, 'Master List Import'!$A$1:$P$519, 11, FALSE), ""), "")</f>
        <v>0</v>
      </c>
      <c r="N370" s="69">
        <f>_xlfn.IFNA(IF('Interactive Selection Sheet'!F248= "", VLOOKUP('Interactive Selection Sheet'!$G248, 'Master List Import'!$A$1:$P$519, 12, FALSE), ""), "")</f>
        <v>12</v>
      </c>
      <c r="O370" s="69">
        <f>_xlfn.IFNA(IF('Interactive Selection Sheet'!F248= "", VLOOKUP('Interactive Selection Sheet'!$G248, 'Master List Import'!$A$1:$P$519, 13, FALSE), ""), "")</f>
        <v>7202</v>
      </c>
      <c r="P370" s="69" t="str">
        <f>_xlfn.IFNA(IF('Interactive Selection Sheet'!F248= "", VLOOKUP('Interactive Selection Sheet'!$G248, 'Master List Import'!$A$1:$P$519, 14, FALSE), ""), "")</f>
        <v>Strawberry Crème Cookies</v>
      </c>
      <c r="Q370" s="69">
        <f>_xlfn.IFNA(IF('Interactive Selection Sheet'!F248= "", VLOOKUP('Interactive Selection Sheet'!$G248, 'Master List Import'!$A$1:$P$519, 15, FALSE), ""), "")</f>
        <v>1</v>
      </c>
      <c r="R370" s="74">
        <f>_xlfn.IFNA(IF('Interactive Selection Sheet'!F248= "", VLOOKUP('Interactive Selection Sheet'!$G248, 'Master List Import'!$A$1:$P$519, 16, FALSE), ""), "")</f>
        <v>1.6</v>
      </c>
    </row>
    <row r="371" spans="1:18" ht="21.75" customHeight="1" x14ac:dyDescent="0.25">
      <c r="A371" s="69">
        <f>_xlfn.IFNA(IF('Interactive Selection Sheet'!F249= "", VLOOKUP('Interactive Selection Sheet'!$G249, 'Master List Import'!$A$1:$P$519, 2, FALSE), ""), "")</f>
        <v>7203</v>
      </c>
      <c r="B371" s="69" t="str">
        <f>_xlfn.IFNA(IF('Interactive Selection Sheet'!F249= "", VLOOKUP('Interactive Selection Sheet'!$G249, 'Master List Import'!$A$1:$P$519, 3, FALSE), ""), "")</f>
        <v>Peanut Butter Crème Sandwhich Cookies, 5oz - 24/cs</v>
      </c>
      <c r="C371" s="76">
        <f>IF('Interactive Selection Sheet'!$T$2="", "", IF(B371="","",'Interactive Selection Sheet'!$T$2))</f>
        <v>3.5000000000000003E-2</v>
      </c>
      <c r="D371" s="70">
        <f>IF(B371 = "", "", 'Interactive Selection Sheet'!$P$2)</f>
        <v>4.4999999999999998E-2</v>
      </c>
      <c r="E371" s="70">
        <f>IF(B371="","", 'Interactive Selection Sheet'!$R$2)</f>
        <v>0.02</v>
      </c>
      <c r="F371" s="69" t="str">
        <f>_xlfn.IFNA(IF('Interactive Selection Sheet'!F249= "", VLOOKUP('Interactive Selection Sheet'!$G249, 'Master List Import'!$A$1:$P$519, 4, FALSE), ""), "")</f>
        <v>Snacks - Cookies/Crackers</v>
      </c>
      <c r="G371" s="69" t="str">
        <f>_xlfn.IFNA(IF('Interactive Selection Sheet'!F249= "", VLOOKUP('Interactive Selection Sheet'!$G249, 'Master List Import'!$A$1:$P$519, 5, FALSE), ""), "")</f>
        <v>Snacks - Cookies/Crackers</v>
      </c>
      <c r="H371" s="69" t="str">
        <f>_xlfn.IFNA(IF('Interactive Selection Sheet'!F249= "", VLOOKUP('Interactive Selection Sheet'!$G249, 'Master List Import'!$A$1:$P$519, 6, FALSE), ""), "")</f>
        <v>Both</v>
      </c>
      <c r="I371" s="72">
        <f>_xlfn.IFNA(IF('Interactive Selection Sheet'!F249= "", VLOOKUP('Interactive Selection Sheet'!$G249, 'Master List Import'!$A$1:$P$519, 7, FALSE), ""), "")</f>
        <v>0.39410000000000001</v>
      </c>
      <c r="J371" s="69" t="str">
        <f>_xlfn.IFNA(IF('Interactive Selection Sheet'!F249= "", VLOOKUP('Interactive Selection Sheet'!$G249, 'Master List Import'!$A$1:$P$519, 8, FALSE), ""), "")</f>
        <v>REI</v>
      </c>
      <c r="K371" s="69" t="str">
        <f>_xlfn.IFNA(IF('Interactive Selection Sheet'!F249= "", VLOOKUP('Interactive Selection Sheet'!$G249, 'Master List Import'!$A$1:$P$519, 9, FALSE), ""), "")</f>
        <v>199900</v>
      </c>
      <c r="L371" s="69">
        <f>_xlfn.IFNA(IF('Interactive Selection Sheet'!F249= "", VLOOKUP('Interactive Selection Sheet'!$G249, 'Master List Import'!$A$1:$P$519, 10, FALSE), ""), "")</f>
        <v>0</v>
      </c>
      <c r="M371" s="69">
        <f>_xlfn.IFNA(IF('Interactive Selection Sheet'!F249= "", VLOOKUP('Interactive Selection Sheet'!$G249, 'Master List Import'!$A$1:$P$519, 11, FALSE), ""), "")</f>
        <v>0</v>
      </c>
      <c r="N371" s="69">
        <f>_xlfn.IFNA(IF('Interactive Selection Sheet'!F249= "", VLOOKUP('Interactive Selection Sheet'!$G249, 'Master List Import'!$A$1:$P$519, 12, FALSE), ""), "")</f>
        <v>12</v>
      </c>
      <c r="O371" s="69">
        <f>_xlfn.IFNA(IF('Interactive Selection Sheet'!F249= "", VLOOKUP('Interactive Selection Sheet'!$G249, 'Master List Import'!$A$1:$P$519, 13, FALSE), ""), "")</f>
        <v>7203</v>
      </c>
      <c r="P371" s="69" t="str">
        <f>_xlfn.IFNA(IF('Interactive Selection Sheet'!F249= "", VLOOKUP('Interactive Selection Sheet'!$G249, 'Master List Import'!$A$1:$P$519, 14, FALSE), ""), "")</f>
        <v>Peanut Butter Crème Cookies</v>
      </c>
      <c r="Q371" s="69">
        <f>_xlfn.IFNA(IF('Interactive Selection Sheet'!F249= "", VLOOKUP('Interactive Selection Sheet'!$G249, 'Master List Import'!$A$1:$P$519, 15, FALSE), ""), "")</f>
        <v>1</v>
      </c>
      <c r="R371" s="74">
        <f>_xlfn.IFNA(IF('Interactive Selection Sheet'!F249= "", VLOOKUP('Interactive Selection Sheet'!$G249, 'Master List Import'!$A$1:$P$519, 16, FALSE), ""), "")</f>
        <v>1.6</v>
      </c>
    </row>
    <row r="372" spans="1:18" ht="21.75" customHeight="1" x14ac:dyDescent="0.25">
      <c r="A372" s="69">
        <f>_xlfn.IFNA(IF('Interactive Selection Sheet'!F250= "", VLOOKUP('Interactive Selection Sheet'!$G250, 'Master List Import'!$A$1:$P$519, 2, FALSE), ""), "")</f>
        <v>7204</v>
      </c>
      <c r="B372" s="69" t="str">
        <f>_xlfn.IFNA(IF('Interactive Selection Sheet'!F250= "", VLOOKUP('Interactive Selection Sheet'!$G250, 'Master List Import'!$A$1:$P$519, 3, FALSE), ""), "")</f>
        <v>Uncle Al's Banana Crème Cookies, 5oz - 12/cs</v>
      </c>
      <c r="C372" s="76">
        <f>IF('Interactive Selection Sheet'!$T$2="", "", IF(B372="","",'Interactive Selection Sheet'!$T$2))</f>
        <v>3.5000000000000003E-2</v>
      </c>
      <c r="D372" s="70">
        <f>IF(B372 = "", "", 'Interactive Selection Sheet'!$P$2)</f>
        <v>4.4999999999999998E-2</v>
      </c>
      <c r="E372" s="70">
        <f>IF(B372="","", 'Interactive Selection Sheet'!$R$2)</f>
        <v>0.02</v>
      </c>
      <c r="F372" s="69" t="str">
        <f>_xlfn.IFNA(IF('Interactive Selection Sheet'!F250= "", VLOOKUP('Interactive Selection Sheet'!$G250, 'Master List Import'!$A$1:$P$519, 4, FALSE), ""), "")</f>
        <v>Snacks - Cookies/Crackers</v>
      </c>
      <c r="G372" s="69" t="str">
        <f>_xlfn.IFNA(IF('Interactive Selection Sheet'!F250= "", VLOOKUP('Interactive Selection Sheet'!$G250, 'Master List Import'!$A$1:$P$519, 5, FALSE), ""), "")</f>
        <v>Snacks - Cookies/Crackers</v>
      </c>
      <c r="H372" s="69" t="str">
        <f>_xlfn.IFNA(IF('Interactive Selection Sheet'!F250= "", VLOOKUP('Interactive Selection Sheet'!$G250, 'Master List Import'!$A$1:$P$519, 6, FALSE), ""), "")</f>
        <v>Both</v>
      </c>
      <c r="I372" s="72">
        <f>_xlfn.IFNA(IF('Interactive Selection Sheet'!F250= "", VLOOKUP('Interactive Selection Sheet'!$G250, 'Master List Import'!$A$1:$P$519, 7, FALSE), ""), "")</f>
        <v>0.39410000000000001</v>
      </c>
      <c r="J372" s="69" t="str">
        <f>_xlfn.IFNA(IF('Interactive Selection Sheet'!F250= "", VLOOKUP('Interactive Selection Sheet'!$G250, 'Master List Import'!$A$1:$P$519, 8, FALSE), ""), "")</f>
        <v>REI</v>
      </c>
      <c r="K372" s="69" t="str">
        <f>_xlfn.IFNA(IF('Interactive Selection Sheet'!F250= "", VLOOKUP('Interactive Selection Sheet'!$G250, 'Master List Import'!$A$1:$P$519, 9, FALSE), ""), "")</f>
        <v>199907</v>
      </c>
      <c r="L372" s="69">
        <f>_xlfn.IFNA(IF('Interactive Selection Sheet'!F250= "", VLOOKUP('Interactive Selection Sheet'!$G250, 'Master List Import'!$A$1:$P$519, 10, FALSE), ""), "")</f>
        <v>0</v>
      </c>
      <c r="M372" s="69">
        <f>_xlfn.IFNA(IF('Interactive Selection Sheet'!F250= "", VLOOKUP('Interactive Selection Sheet'!$G250, 'Master List Import'!$A$1:$P$519, 11, FALSE), ""), "")</f>
        <v>0</v>
      </c>
      <c r="N372" s="69">
        <f>_xlfn.IFNA(IF('Interactive Selection Sheet'!F250= "", VLOOKUP('Interactive Selection Sheet'!$G250, 'Master List Import'!$A$1:$P$519, 12, FALSE), ""), "")</f>
        <v>12</v>
      </c>
      <c r="O372" s="69">
        <f>_xlfn.IFNA(IF('Interactive Selection Sheet'!F250= "", VLOOKUP('Interactive Selection Sheet'!$G250, 'Master List Import'!$A$1:$P$519, 13, FALSE), ""), "")</f>
        <v>7204</v>
      </c>
      <c r="P372" s="69" t="str">
        <f>_xlfn.IFNA(IF('Interactive Selection Sheet'!F250= "", VLOOKUP('Interactive Selection Sheet'!$G250, 'Master List Import'!$A$1:$P$519, 14, FALSE), ""), "")</f>
        <v>Banana Crème Cookies</v>
      </c>
      <c r="Q372" s="69">
        <f>_xlfn.IFNA(IF('Interactive Selection Sheet'!F250= "", VLOOKUP('Interactive Selection Sheet'!$G250, 'Master List Import'!$A$1:$P$519, 15, FALSE), ""), "")</f>
        <v>1</v>
      </c>
      <c r="R372" s="74">
        <f>_xlfn.IFNA(IF('Interactive Selection Sheet'!F250= "", VLOOKUP('Interactive Selection Sheet'!$G250, 'Master List Import'!$A$1:$P$519, 16, FALSE), ""), "")</f>
        <v>1.6</v>
      </c>
    </row>
    <row r="373" spans="1:18" ht="21.75" customHeight="1" x14ac:dyDescent="0.25">
      <c r="A373" s="69">
        <f>_xlfn.IFNA(IF('Interactive Selection Sheet'!F251= "", VLOOKUP('Interactive Selection Sheet'!$G251, 'Master List Import'!$A$1:$P$519, 2, FALSE), ""), "")</f>
        <v>7205</v>
      </c>
      <c r="B373" s="69" t="str">
        <f>_xlfn.IFNA(IF('Interactive Selection Sheet'!F251= "", VLOOKUP('Interactive Selection Sheet'!$G251, 'Master List Import'!$A$1:$P$519, 3, FALSE), ""), "")</f>
        <v>Uncle Al's Lemon Creme Cookies, 5oz - 12/cs</v>
      </c>
      <c r="C373" s="76">
        <f>IF('Interactive Selection Sheet'!$T$2="", "", IF(B373="","",'Interactive Selection Sheet'!$T$2))</f>
        <v>3.5000000000000003E-2</v>
      </c>
      <c r="D373" s="70">
        <f>IF(B373 = "", "", 'Interactive Selection Sheet'!$P$2)</f>
        <v>4.4999999999999998E-2</v>
      </c>
      <c r="E373" s="70">
        <f>IF(B373="","", 'Interactive Selection Sheet'!$R$2)</f>
        <v>0.02</v>
      </c>
      <c r="F373" s="69" t="str">
        <f>_xlfn.IFNA(IF('Interactive Selection Sheet'!F251= "", VLOOKUP('Interactive Selection Sheet'!$G251, 'Master List Import'!$A$1:$P$519, 4, FALSE), ""), "")</f>
        <v>Snacks - Cookies/Crackers</v>
      </c>
      <c r="G373" s="69" t="str">
        <f>_xlfn.IFNA(IF('Interactive Selection Sheet'!F251= "", VLOOKUP('Interactive Selection Sheet'!$G251, 'Master List Import'!$A$1:$P$519, 5, FALSE), ""), "")</f>
        <v>Snacks - Cookies/Crackers</v>
      </c>
      <c r="H373" s="69" t="str">
        <f>_xlfn.IFNA(IF('Interactive Selection Sheet'!F251= "", VLOOKUP('Interactive Selection Sheet'!$G251, 'Master List Import'!$A$1:$P$519, 6, FALSE), ""), "")</f>
        <v>Both</v>
      </c>
      <c r="I373" s="72">
        <f>_xlfn.IFNA(IF('Interactive Selection Sheet'!F251= "", VLOOKUP('Interactive Selection Sheet'!$G251, 'Master List Import'!$A$1:$P$519, 7, FALSE), ""), "")</f>
        <v>0.39410000000000001</v>
      </c>
      <c r="J373" s="69" t="str">
        <f>_xlfn.IFNA(IF('Interactive Selection Sheet'!F251= "", VLOOKUP('Interactive Selection Sheet'!$G251, 'Master List Import'!$A$1:$P$519, 8, FALSE), ""), "")</f>
        <v>REI</v>
      </c>
      <c r="K373" s="69" t="str">
        <f>_xlfn.IFNA(IF('Interactive Selection Sheet'!F251= "", VLOOKUP('Interactive Selection Sheet'!$G251, 'Master List Import'!$A$1:$P$519, 9, FALSE), ""), "")</f>
        <v>199906</v>
      </c>
      <c r="L373" s="69">
        <f>_xlfn.IFNA(IF('Interactive Selection Sheet'!F251= "", VLOOKUP('Interactive Selection Sheet'!$G251, 'Master List Import'!$A$1:$P$519, 10, FALSE), ""), "")</f>
        <v>0</v>
      </c>
      <c r="M373" s="69">
        <f>_xlfn.IFNA(IF('Interactive Selection Sheet'!F251= "", VLOOKUP('Interactive Selection Sheet'!$G251, 'Master List Import'!$A$1:$P$519, 11, FALSE), ""), "")</f>
        <v>0</v>
      </c>
      <c r="N373" s="69">
        <f>_xlfn.IFNA(IF('Interactive Selection Sheet'!F251= "", VLOOKUP('Interactive Selection Sheet'!$G251, 'Master List Import'!$A$1:$P$519, 12, FALSE), ""), "")</f>
        <v>12</v>
      </c>
      <c r="O373" s="69">
        <f>_xlfn.IFNA(IF('Interactive Selection Sheet'!F251= "", VLOOKUP('Interactive Selection Sheet'!$G251, 'Master List Import'!$A$1:$P$519, 13, FALSE), ""), "")</f>
        <v>7205</v>
      </c>
      <c r="P373" s="69" t="str">
        <f>_xlfn.IFNA(IF('Interactive Selection Sheet'!F251= "", VLOOKUP('Interactive Selection Sheet'!$G251, 'Master List Import'!$A$1:$P$519, 14, FALSE), ""), "")</f>
        <v>Lemon Crème Cookies</v>
      </c>
      <c r="Q373" s="69">
        <f>_xlfn.IFNA(IF('Interactive Selection Sheet'!F251= "", VLOOKUP('Interactive Selection Sheet'!$G251, 'Master List Import'!$A$1:$P$519, 15, FALSE), ""), "")</f>
        <v>1</v>
      </c>
      <c r="R373" s="74">
        <f>_xlfn.IFNA(IF('Interactive Selection Sheet'!F251= "", VLOOKUP('Interactive Selection Sheet'!$G251, 'Master List Import'!$A$1:$P$519, 16, FALSE), ""), "")</f>
        <v>1.6</v>
      </c>
    </row>
    <row r="374" spans="1:18" ht="21.75" customHeight="1" x14ac:dyDescent="0.25">
      <c r="A374" s="69">
        <f>_xlfn.IFNA(IF('Interactive Selection Sheet'!F252= "", VLOOKUP('Interactive Selection Sheet'!$G252, 'Master List Import'!$A$1:$P$519, 2, FALSE), ""), "")</f>
        <v>7220</v>
      </c>
      <c r="B374" s="69" t="str">
        <f>_xlfn.IFNA(IF('Interactive Selection Sheet'!F252= "", VLOOKUP('Interactive Selection Sheet'!$G252, 'Master List Import'!$A$1:$P$519, 3, FALSE), ""), "")</f>
        <v>Uncle Al's Chocolate Chip Cookies, 5oz - 12/cs</v>
      </c>
      <c r="C374" s="76">
        <f>IF('Interactive Selection Sheet'!$T$2="", "", IF(B374="","",'Interactive Selection Sheet'!$T$2))</f>
        <v>3.5000000000000003E-2</v>
      </c>
      <c r="D374" s="70">
        <f>IF(B374 = "", "", 'Interactive Selection Sheet'!$P$2)</f>
        <v>4.4999999999999998E-2</v>
      </c>
      <c r="E374" s="70">
        <f>IF(B374="","", 'Interactive Selection Sheet'!$R$2)</f>
        <v>0.02</v>
      </c>
      <c r="F374" s="69" t="str">
        <f>_xlfn.IFNA(IF('Interactive Selection Sheet'!F252= "", VLOOKUP('Interactive Selection Sheet'!$G252, 'Master List Import'!$A$1:$P$519, 4, FALSE), ""), "")</f>
        <v>Snacks - Cookies/Crackers</v>
      </c>
      <c r="G374" s="69" t="str">
        <f>_xlfn.IFNA(IF('Interactive Selection Sheet'!F252= "", VLOOKUP('Interactive Selection Sheet'!$G252, 'Master List Import'!$A$1:$P$519, 5, FALSE), ""), "")</f>
        <v>Snacks - Cookies/Crackers</v>
      </c>
      <c r="H374" s="69" t="str">
        <f>_xlfn.IFNA(IF('Interactive Selection Sheet'!F252= "", VLOOKUP('Interactive Selection Sheet'!$G252, 'Master List Import'!$A$1:$P$519, 6, FALSE), ""), "")</f>
        <v>Both</v>
      </c>
      <c r="I374" s="72">
        <f>_xlfn.IFNA(IF('Interactive Selection Sheet'!F252= "", VLOOKUP('Interactive Selection Sheet'!$G252, 'Master List Import'!$A$1:$P$519, 7, FALSE), ""), "")</f>
        <v>0.39410000000000001</v>
      </c>
      <c r="J374" s="69" t="str">
        <f>_xlfn.IFNA(IF('Interactive Selection Sheet'!F252= "", VLOOKUP('Interactive Selection Sheet'!$G252, 'Master List Import'!$A$1:$P$519, 8, FALSE), ""), "")</f>
        <v>REI</v>
      </c>
      <c r="K374" s="69" t="str">
        <f>_xlfn.IFNA(IF('Interactive Selection Sheet'!F252= "", VLOOKUP('Interactive Selection Sheet'!$G252, 'Master List Import'!$A$1:$P$519, 9, FALSE), ""), "")</f>
        <v>199909</v>
      </c>
      <c r="L374" s="69">
        <f>_xlfn.IFNA(IF('Interactive Selection Sheet'!F252= "", VLOOKUP('Interactive Selection Sheet'!$G252, 'Master List Import'!$A$1:$P$519, 10, FALSE), ""), "")</f>
        <v>0</v>
      </c>
      <c r="M374" s="69">
        <f>_xlfn.IFNA(IF('Interactive Selection Sheet'!F252= "", VLOOKUP('Interactive Selection Sheet'!$G252, 'Master List Import'!$A$1:$P$519, 11, FALSE), ""), "")</f>
        <v>0</v>
      </c>
      <c r="N374" s="69">
        <f>_xlfn.IFNA(IF('Interactive Selection Sheet'!F252= "", VLOOKUP('Interactive Selection Sheet'!$G252, 'Master List Import'!$A$1:$P$519, 12, FALSE), ""), "")</f>
        <v>12</v>
      </c>
      <c r="O374" s="69">
        <f>_xlfn.IFNA(IF('Interactive Selection Sheet'!F252= "", VLOOKUP('Interactive Selection Sheet'!$G252, 'Master List Import'!$A$1:$P$519, 13, FALSE), ""), "")</f>
        <v>7220</v>
      </c>
      <c r="P374" s="69" t="str">
        <f>_xlfn.IFNA(IF('Interactive Selection Sheet'!F252= "", VLOOKUP('Interactive Selection Sheet'!$G252, 'Master List Import'!$A$1:$P$519, 14, FALSE), ""), "")</f>
        <v>Chocolate Chip Cookies</v>
      </c>
      <c r="Q374" s="69">
        <f>_xlfn.IFNA(IF('Interactive Selection Sheet'!F252= "", VLOOKUP('Interactive Selection Sheet'!$G252, 'Master List Import'!$A$1:$P$519, 15, FALSE), ""), "")</f>
        <v>1</v>
      </c>
      <c r="R374" s="74">
        <f>_xlfn.IFNA(IF('Interactive Selection Sheet'!F252= "", VLOOKUP('Interactive Selection Sheet'!$G252, 'Master List Import'!$A$1:$P$519, 16, FALSE), ""), "")</f>
        <v>1.6</v>
      </c>
    </row>
    <row r="375" spans="1:18" ht="21.75" customHeight="1" x14ac:dyDescent="0.25">
      <c r="A375" s="69">
        <f>_xlfn.IFNA(IF('Interactive Selection Sheet'!F253= "", VLOOKUP('Interactive Selection Sheet'!$G253, 'Master List Import'!$A$1:$P$519, 2, FALSE), ""), "")</f>
        <v>7221</v>
      </c>
      <c r="B375" s="69" t="str">
        <f>_xlfn.IFNA(IF('Interactive Selection Sheet'!F253= "", VLOOKUP('Interactive Selection Sheet'!$G253, 'Master List Import'!$A$1:$P$519, 3, FALSE), ""), "")</f>
        <v>Uncle Al's Iced Oatmeal Cookies, 5oz - 12/cs</v>
      </c>
      <c r="C375" s="76">
        <f>IF('Interactive Selection Sheet'!$T$2="", "", IF(B375="","",'Interactive Selection Sheet'!$T$2))</f>
        <v>3.5000000000000003E-2</v>
      </c>
      <c r="D375" s="70">
        <f>IF(B375 = "", "", 'Interactive Selection Sheet'!$P$2)</f>
        <v>4.4999999999999998E-2</v>
      </c>
      <c r="E375" s="70">
        <f>IF(B375="","", 'Interactive Selection Sheet'!$R$2)</f>
        <v>0.02</v>
      </c>
      <c r="F375" s="69" t="str">
        <f>_xlfn.IFNA(IF('Interactive Selection Sheet'!F253= "", VLOOKUP('Interactive Selection Sheet'!$G253, 'Master List Import'!$A$1:$P$519, 4, FALSE), ""), "")</f>
        <v>Snacks - Cookies/Crackers</v>
      </c>
      <c r="G375" s="69" t="str">
        <f>_xlfn.IFNA(IF('Interactive Selection Sheet'!F253= "", VLOOKUP('Interactive Selection Sheet'!$G253, 'Master List Import'!$A$1:$P$519, 5, FALSE), ""), "")</f>
        <v>Snacks - Cookies/Crackers</v>
      </c>
      <c r="H375" s="69" t="str">
        <f>_xlfn.IFNA(IF('Interactive Selection Sheet'!F253= "", VLOOKUP('Interactive Selection Sheet'!$G253, 'Master List Import'!$A$1:$P$519, 6, FALSE), ""), "")</f>
        <v>Both</v>
      </c>
      <c r="I375" s="72">
        <f>_xlfn.IFNA(IF('Interactive Selection Sheet'!F253= "", VLOOKUP('Interactive Selection Sheet'!$G253, 'Master List Import'!$A$1:$P$519, 7, FALSE), ""), "")</f>
        <v>0.39410000000000001</v>
      </c>
      <c r="J375" s="69" t="str">
        <f>_xlfn.IFNA(IF('Interactive Selection Sheet'!F253= "", VLOOKUP('Interactive Selection Sheet'!$G253, 'Master List Import'!$A$1:$P$519, 8, FALSE), ""), "")</f>
        <v>REI</v>
      </c>
      <c r="K375" s="69" t="str">
        <f>_xlfn.IFNA(IF('Interactive Selection Sheet'!F253= "", VLOOKUP('Interactive Selection Sheet'!$G253, 'Master List Import'!$A$1:$P$519, 9, FALSE), ""), "")</f>
        <v>199912</v>
      </c>
      <c r="L375" s="69">
        <f>_xlfn.IFNA(IF('Interactive Selection Sheet'!F253= "", VLOOKUP('Interactive Selection Sheet'!$G253, 'Master List Import'!$A$1:$P$519, 10, FALSE), ""), "")</f>
        <v>0</v>
      </c>
      <c r="M375" s="69">
        <f>_xlfn.IFNA(IF('Interactive Selection Sheet'!F253= "", VLOOKUP('Interactive Selection Sheet'!$G253, 'Master List Import'!$A$1:$P$519, 11, FALSE), ""), "")</f>
        <v>0</v>
      </c>
      <c r="N375" s="69">
        <f>_xlfn.IFNA(IF('Interactive Selection Sheet'!F253= "", VLOOKUP('Interactive Selection Sheet'!$G253, 'Master List Import'!$A$1:$P$519, 12, FALSE), ""), "")</f>
        <v>12</v>
      </c>
      <c r="O375" s="69">
        <f>_xlfn.IFNA(IF('Interactive Selection Sheet'!F253= "", VLOOKUP('Interactive Selection Sheet'!$G253, 'Master List Import'!$A$1:$P$519, 13, FALSE), ""), "")</f>
        <v>7221</v>
      </c>
      <c r="P375" s="69" t="str">
        <f>_xlfn.IFNA(IF('Interactive Selection Sheet'!F253= "", VLOOKUP('Interactive Selection Sheet'!$G253, 'Master List Import'!$A$1:$P$519, 14, FALSE), ""), "")</f>
        <v>Iced Oatmeal Cookies</v>
      </c>
      <c r="Q375" s="69">
        <f>_xlfn.IFNA(IF('Interactive Selection Sheet'!F253= "", VLOOKUP('Interactive Selection Sheet'!$G253, 'Master List Import'!$A$1:$P$519, 15, FALSE), ""), "")</f>
        <v>1</v>
      </c>
      <c r="R375" s="74">
        <f>_xlfn.IFNA(IF('Interactive Selection Sheet'!F253= "", VLOOKUP('Interactive Selection Sheet'!$G253, 'Master List Import'!$A$1:$P$519, 16, FALSE), ""), "")</f>
        <v>1.6</v>
      </c>
    </row>
    <row r="376" spans="1:18" ht="21.75" customHeight="1" x14ac:dyDescent="0.25">
      <c r="A376" s="69">
        <f>_xlfn.IFNA(IF('Interactive Selection Sheet'!F255= "", VLOOKUP('Interactive Selection Sheet'!$G255, 'Master List Import'!$A$1:$P$519, 2, FALSE), ""), "")</f>
        <v>7241</v>
      </c>
      <c r="B376" s="69" t="str">
        <f>_xlfn.IFNA(IF('Interactive Selection Sheet'!F255= "", VLOOKUP('Interactive Selection Sheet'!$G255, 'Master List Import'!$A$1:$P$519, 3, FALSE), ""), "")</f>
        <v>Vanilla Wafers, 10oz - 12/cs</v>
      </c>
      <c r="C376" s="76">
        <f>IF('Interactive Selection Sheet'!$T$2="", "", IF(B376="","",'Interactive Selection Sheet'!$T$2))</f>
        <v>3.5000000000000003E-2</v>
      </c>
      <c r="D376" s="70">
        <f>IF(B376 = "", "", 'Interactive Selection Sheet'!$P$2)</f>
        <v>4.4999999999999998E-2</v>
      </c>
      <c r="E376" s="70">
        <f>IF(B376="","", 'Interactive Selection Sheet'!$R$2)</f>
        <v>0.02</v>
      </c>
      <c r="F376" s="69" t="str">
        <f>_xlfn.IFNA(IF('Interactive Selection Sheet'!F255= "", VLOOKUP('Interactive Selection Sheet'!$G255, 'Master List Import'!$A$1:$P$519, 4, FALSE), ""), "")</f>
        <v>Snacks - Cookies/Crackers</v>
      </c>
      <c r="G376" s="69" t="str">
        <f>_xlfn.IFNA(IF('Interactive Selection Sheet'!F255= "", VLOOKUP('Interactive Selection Sheet'!$G255, 'Master List Import'!$A$1:$P$519, 5, FALSE), ""), "")</f>
        <v>Snacks - Cookies/Crackers</v>
      </c>
      <c r="H376" s="69" t="str">
        <f>_xlfn.IFNA(IF('Interactive Selection Sheet'!F255= "", VLOOKUP('Interactive Selection Sheet'!$G255, 'Master List Import'!$A$1:$P$519, 6, FALSE), ""), "")</f>
        <v>Both</v>
      </c>
      <c r="I376" s="72">
        <f>_xlfn.IFNA(IF('Interactive Selection Sheet'!F255= "", VLOOKUP('Interactive Selection Sheet'!$G255, 'Master List Import'!$A$1:$P$519, 7, FALSE), ""), "")</f>
        <v>1.02</v>
      </c>
      <c r="J376" s="69" t="str">
        <f>_xlfn.IFNA(IF('Interactive Selection Sheet'!F255= "", VLOOKUP('Interactive Selection Sheet'!$G255, 'Master List Import'!$A$1:$P$519, 8, FALSE), ""), "")</f>
        <v>REI</v>
      </c>
      <c r="K376" s="69" t="str">
        <f>_xlfn.IFNA(IF('Interactive Selection Sheet'!F255= "", VLOOKUP('Interactive Selection Sheet'!$G255, 'Master List Import'!$A$1:$P$519, 9, FALSE), ""), "")</f>
        <v>196592</v>
      </c>
      <c r="L376" s="69">
        <f>_xlfn.IFNA(IF('Interactive Selection Sheet'!F255= "", VLOOKUP('Interactive Selection Sheet'!$G255, 'Master List Import'!$A$1:$P$519, 10, FALSE), ""), "")</f>
        <v>0</v>
      </c>
      <c r="M376" s="69">
        <f>_xlfn.IFNA(IF('Interactive Selection Sheet'!F255= "", VLOOKUP('Interactive Selection Sheet'!$G255, 'Master List Import'!$A$1:$P$519, 11, FALSE), ""), "")</f>
        <v>0</v>
      </c>
      <c r="N376" s="69">
        <f>_xlfn.IFNA(IF('Interactive Selection Sheet'!F255= "", VLOOKUP('Interactive Selection Sheet'!$G255, 'Master List Import'!$A$1:$P$519, 12, FALSE), ""), "")</f>
        <v>12</v>
      </c>
      <c r="O376" s="69">
        <f>_xlfn.IFNA(IF('Interactive Selection Sheet'!F255= "", VLOOKUP('Interactive Selection Sheet'!$G255, 'Master List Import'!$A$1:$P$519, 13, FALSE), ""), "")</f>
        <v>7241</v>
      </c>
      <c r="P376" s="69" t="str">
        <f>_xlfn.IFNA(IF('Interactive Selection Sheet'!F255= "", VLOOKUP('Interactive Selection Sheet'!$G255, 'Master List Import'!$A$1:$P$519, 14, FALSE), ""), "")</f>
        <v>Vanilla Wafers</v>
      </c>
      <c r="Q376" s="69">
        <f>_xlfn.IFNA(IF('Interactive Selection Sheet'!F255= "", VLOOKUP('Interactive Selection Sheet'!$G255, 'Master List Import'!$A$1:$P$519, 15, FALSE), ""), "")</f>
        <v>1</v>
      </c>
      <c r="R376" s="74">
        <f>_xlfn.IFNA(IF('Interactive Selection Sheet'!F255= "", VLOOKUP('Interactive Selection Sheet'!$G255, 'Master List Import'!$A$1:$P$519, 16, FALSE), ""), "")</f>
        <v>3</v>
      </c>
    </row>
    <row r="377" spans="1:18" ht="21.75" customHeight="1" x14ac:dyDescent="0.25">
      <c r="A377" s="69">
        <f>_xlfn.IFNA(IF('Interactive Selection Sheet'!F255= "", VLOOKUP('Interactive Selection Sheet'!$G255, 'Master List Import'!$A$1:$P$519, 2, FALSE), ""), "")</f>
        <v>7241</v>
      </c>
      <c r="B377" s="69" t="str">
        <f>_xlfn.IFNA(IF('Interactive Selection Sheet'!F255= "", VLOOKUP('Interactive Selection Sheet'!$G255, 'Master List Import'!$A$1:$P$519, 3, FALSE), ""), "")</f>
        <v>Vanilla Wafers, 10oz - 12/cs</v>
      </c>
      <c r="C377" s="76">
        <f>IF('Interactive Selection Sheet'!$T$2="", "", IF(B377="","",'Interactive Selection Sheet'!$T$2))</f>
        <v>3.5000000000000003E-2</v>
      </c>
      <c r="D377" s="70">
        <f>IF(B377 = "", "", 'Interactive Selection Sheet'!$P$2)</f>
        <v>4.4999999999999998E-2</v>
      </c>
      <c r="E377" s="70">
        <f>IF(B377="","", 'Interactive Selection Sheet'!$R$2)</f>
        <v>0.02</v>
      </c>
      <c r="F377" s="69" t="str">
        <f>_xlfn.IFNA(IF('Interactive Selection Sheet'!F255= "", VLOOKUP('Interactive Selection Sheet'!$G255, 'Master List Import'!$A$1:$P$519, 4, FALSE), ""), "")</f>
        <v>Snacks - Cookies/Crackers</v>
      </c>
      <c r="G377" s="69" t="str">
        <f>_xlfn.IFNA(IF('Interactive Selection Sheet'!F255= "", VLOOKUP('Interactive Selection Sheet'!$G255, 'Master List Import'!$A$1:$P$519, 5, FALSE), ""), "")</f>
        <v>Snacks - Cookies/Crackers</v>
      </c>
      <c r="H377" s="69" t="str">
        <f>_xlfn.IFNA(IF('Interactive Selection Sheet'!F255= "", VLOOKUP('Interactive Selection Sheet'!$G255, 'Master List Import'!$A$1:$P$519, 6, FALSE), ""), "")</f>
        <v>Both</v>
      </c>
      <c r="I377" s="72">
        <f>_xlfn.IFNA(IF('Interactive Selection Sheet'!F255= "", VLOOKUP('Interactive Selection Sheet'!$G255, 'Master List Import'!$A$1:$P$519, 7, FALSE), ""), "")</f>
        <v>1.02</v>
      </c>
      <c r="J377" s="69" t="str">
        <f>_xlfn.IFNA(IF('Interactive Selection Sheet'!F255= "", VLOOKUP('Interactive Selection Sheet'!$G255, 'Master List Import'!$A$1:$P$519, 8, FALSE), ""), "")</f>
        <v>REI</v>
      </c>
      <c r="K377" s="69" t="str">
        <f>_xlfn.IFNA(IF('Interactive Selection Sheet'!F255= "", VLOOKUP('Interactive Selection Sheet'!$G255, 'Master List Import'!$A$1:$P$519, 9, FALSE), ""), "")</f>
        <v>196592</v>
      </c>
      <c r="L377" s="69">
        <f>_xlfn.IFNA(IF('Interactive Selection Sheet'!F255= "", VLOOKUP('Interactive Selection Sheet'!$G255, 'Master List Import'!$A$1:$P$519, 10, FALSE), ""), "")</f>
        <v>0</v>
      </c>
      <c r="M377" s="69">
        <f>_xlfn.IFNA(IF('Interactive Selection Sheet'!F255= "", VLOOKUP('Interactive Selection Sheet'!$G255, 'Master List Import'!$A$1:$P$519, 11, FALSE), ""), "")</f>
        <v>0</v>
      </c>
      <c r="N377" s="69">
        <f>_xlfn.IFNA(IF('Interactive Selection Sheet'!F255= "", VLOOKUP('Interactive Selection Sheet'!$G255, 'Master List Import'!$A$1:$P$519, 12, FALSE), ""), "")</f>
        <v>12</v>
      </c>
      <c r="O377" s="69">
        <f>_xlfn.IFNA(IF('Interactive Selection Sheet'!F255= "", VLOOKUP('Interactive Selection Sheet'!$G255, 'Master List Import'!$A$1:$P$519, 13, FALSE), ""), "")</f>
        <v>7241</v>
      </c>
      <c r="P377" s="69" t="str">
        <f>_xlfn.IFNA(IF('Interactive Selection Sheet'!F255= "", VLOOKUP('Interactive Selection Sheet'!$G255, 'Master List Import'!$A$1:$P$519, 14, FALSE), ""), "")</f>
        <v>Vanilla Wafers</v>
      </c>
      <c r="Q377" s="69">
        <f>_xlfn.IFNA(IF('Interactive Selection Sheet'!F255= "", VLOOKUP('Interactive Selection Sheet'!$G255, 'Master List Import'!$A$1:$P$519, 15, FALSE), ""), "")</f>
        <v>1</v>
      </c>
      <c r="R377" s="74">
        <f>_xlfn.IFNA(IF('Interactive Selection Sheet'!F255= "", VLOOKUP('Interactive Selection Sheet'!$G255, 'Master List Import'!$A$1:$P$519, 16, FALSE), ""), "")</f>
        <v>3</v>
      </c>
    </row>
    <row r="378" spans="1:18" ht="21.75" customHeight="1" x14ac:dyDescent="0.25">
      <c r="A378" s="69">
        <f>_xlfn.IFNA(IF('Interactive Selection Sheet'!A240 = "", VLOOKUP('Interactive Selection Sheet'!$B240, 'Master List Import'!$A$1:$P$519, 2, FALSE), ""), "")</f>
        <v>7260</v>
      </c>
      <c r="B378" s="69" t="str">
        <f>_xlfn.IFNA(IF('Interactive Selection Sheet'!A240 = "", VLOOKUP('Interactive Selection Sheet'!$B240, 'Master List Import'!$A$1:$P$519, 3, FALSE), ""), "")</f>
        <v>Nature Valley Peanut Butter Protein Bar, 1.42oz - 30/cs</v>
      </c>
      <c r="C378" s="76">
        <f>IF('Interactive Selection Sheet'!$T$2="", "", IF(B378="","",'Interactive Selection Sheet'!$T$2))</f>
        <v>3.5000000000000003E-2</v>
      </c>
      <c r="D378" s="70">
        <f>IF(B378 = "", "", 'Interactive Selection Sheet'!$P$2)</f>
        <v>4.4999999999999998E-2</v>
      </c>
      <c r="E378" s="70">
        <f>IF(B378="","", 'Interactive Selection Sheet'!$R$2)</f>
        <v>0.02</v>
      </c>
      <c r="F378" s="69" t="str">
        <f>_xlfn.IFNA(IF('Interactive Selection Sheet'!A240 = "", VLOOKUP('Interactive Selection Sheet'!$B240, 'Master List Import'!$A$1:$P$519, 4, FALSE), ""), "")</f>
        <v>Snacks - Bars/Nuts</v>
      </c>
      <c r="G378" s="69" t="str">
        <f>_xlfn.IFNA(IF('Interactive Selection Sheet'!A240 = "", VLOOKUP('Interactive Selection Sheet'!$B240, 'Master List Import'!$A$1:$P$519, 5, FALSE), ""), "")</f>
        <v>Snacks - Bars/Nuts</v>
      </c>
      <c r="H378" s="69" t="str">
        <f>_xlfn.IFNA(IF('Interactive Selection Sheet'!A240 = "", VLOOKUP('Interactive Selection Sheet'!$B240, 'Master List Import'!$A$1:$P$519, 6, FALSE), ""), "")</f>
        <v>Both</v>
      </c>
      <c r="I378" s="72">
        <f>_xlfn.IFNA(IF('Interactive Selection Sheet'!A240 = "", VLOOKUP('Interactive Selection Sheet'!$B240, 'Master List Import'!$A$1:$P$519, 7, FALSE), ""), "")</f>
        <v>0.57999999999999996</v>
      </c>
      <c r="J378" s="69" t="str">
        <f>_xlfn.IFNA(IF('Interactive Selection Sheet'!A240 = "", VLOOKUP('Interactive Selection Sheet'!$B240, 'Master List Import'!$A$1:$P$519, 8, FALSE), ""), "")</f>
        <v>REI</v>
      </c>
      <c r="K378" s="69" t="str">
        <f>_xlfn.IFNA(IF('Interactive Selection Sheet'!A240 = "", VLOOKUP('Interactive Selection Sheet'!$B240, 'Master List Import'!$A$1:$P$519, 9, FALSE), ""), "")</f>
        <v>28056</v>
      </c>
      <c r="L378" s="69">
        <f>_xlfn.IFNA(IF('Interactive Selection Sheet'!A240 = "", VLOOKUP('Interactive Selection Sheet'!$B240, 'Master List Import'!$A$1:$P$519, 10, FALSE), ""), "")</f>
        <v>0</v>
      </c>
      <c r="M378" s="69">
        <f>_xlfn.IFNA(IF('Interactive Selection Sheet'!A240 = "", VLOOKUP('Interactive Selection Sheet'!$B240, 'Master List Import'!$A$1:$P$519, 11, FALSE), ""), "")</f>
        <v>0</v>
      </c>
      <c r="N378" s="69">
        <f>_xlfn.IFNA(IF('Interactive Selection Sheet'!A240 = "", VLOOKUP('Interactive Selection Sheet'!$B240, 'Master List Import'!$A$1:$P$519, 12, FALSE), ""), "")</f>
        <v>30</v>
      </c>
      <c r="O378" s="69">
        <f>_xlfn.IFNA(IF('Interactive Selection Sheet'!A240 = "", VLOOKUP('Interactive Selection Sheet'!$B240, 'Master List Import'!$A$1:$P$519, 13, FALSE), ""), "")</f>
        <v>7260</v>
      </c>
      <c r="P378" s="69" t="str">
        <f>_xlfn.IFNA(IF('Interactive Selection Sheet'!A240 = "", VLOOKUP('Interactive Selection Sheet'!$B240, 'Master List Import'!$A$1:$P$519, 14, FALSE), ""), "")</f>
        <v>Chewy Granola Bar</v>
      </c>
      <c r="Q378" s="69">
        <f>_xlfn.IFNA(IF('Interactive Selection Sheet'!A240 = "", VLOOKUP('Interactive Selection Sheet'!$B240, 'Master List Import'!$A$1:$P$519, 15, FALSE), ""), "")</f>
        <v>1</v>
      </c>
      <c r="R378" s="74">
        <f>_xlfn.IFNA(IF('Interactive Selection Sheet'!A240 = "", VLOOKUP('Interactive Selection Sheet'!$B240, 'Master List Import'!$A$1:$P$519, 16, FALSE), ""), "")</f>
        <v>1.85</v>
      </c>
    </row>
    <row r="379" spans="1:18" ht="21.75" customHeight="1" x14ac:dyDescent="0.25">
      <c r="A379" s="69">
        <f>_xlfn.IFNA(IF('Interactive Selection Sheet'!A241 = "", VLOOKUP('Interactive Selection Sheet'!$B241, 'Master List Import'!$A$1:$P$519, 2, FALSE), ""), "")</f>
        <v>7261</v>
      </c>
      <c r="B379" s="69" t="str">
        <f>_xlfn.IFNA(IF('Interactive Selection Sheet'!A241 = "", VLOOKUP('Interactive Selection Sheet'!$B241, 'Master List Import'!$A$1:$P$519, 3, FALSE), ""), "")</f>
        <v>Granola Bar, Oat &amp; Honey, 1.5oz - 6/28/cs</v>
      </c>
      <c r="C379" s="76">
        <f>IF('Interactive Selection Sheet'!$T$2="", "", IF(B379="","",'Interactive Selection Sheet'!$T$2))</f>
        <v>3.5000000000000003E-2</v>
      </c>
      <c r="D379" s="70">
        <f>IF(B379 = "", "", 'Interactive Selection Sheet'!$P$2)</f>
        <v>4.4999999999999998E-2</v>
      </c>
      <c r="E379" s="70">
        <f>IF(B379="","", 'Interactive Selection Sheet'!$R$2)</f>
        <v>0.02</v>
      </c>
      <c r="F379" s="69" t="str">
        <f>_xlfn.IFNA(IF('Interactive Selection Sheet'!A241 = "", VLOOKUP('Interactive Selection Sheet'!$B241, 'Master List Import'!$A$1:$P$519, 4, FALSE), ""), "")</f>
        <v>Snacks - Bars/Nuts</v>
      </c>
      <c r="G379" s="69" t="str">
        <f>_xlfn.IFNA(IF('Interactive Selection Sheet'!A241 = "", VLOOKUP('Interactive Selection Sheet'!$B241, 'Master List Import'!$A$1:$P$519, 5, FALSE), ""), "")</f>
        <v>Snacks - Bars/Nuts</v>
      </c>
      <c r="H379" s="69" t="str">
        <f>_xlfn.IFNA(IF('Interactive Selection Sheet'!A241 = "", VLOOKUP('Interactive Selection Sheet'!$B241, 'Master List Import'!$A$1:$P$519, 6, FALSE), ""), "")</f>
        <v>Both</v>
      </c>
      <c r="I379" s="72">
        <f>_xlfn.IFNA(IF('Interactive Selection Sheet'!A241 = "", VLOOKUP('Interactive Selection Sheet'!$B241, 'Master List Import'!$A$1:$P$519, 7, FALSE), ""), "")</f>
        <v>0.49390000000000001</v>
      </c>
      <c r="J379" s="69" t="str">
        <f>_xlfn.IFNA(IF('Interactive Selection Sheet'!A241 = "", VLOOKUP('Interactive Selection Sheet'!$B241, 'Master List Import'!$A$1:$P$519, 8, FALSE), ""), "")</f>
        <v>Vistar</v>
      </c>
      <c r="K379" s="69" t="str">
        <f>_xlfn.IFNA(IF('Interactive Selection Sheet'!A241 = "", VLOOKUP('Interactive Selection Sheet'!$B241, 'Master List Import'!$A$1:$P$519, 9, FALSE), ""), "")</f>
        <v>GEM2382</v>
      </c>
      <c r="L379" s="69">
        <f>_xlfn.IFNA(IF('Interactive Selection Sheet'!A241 = "", VLOOKUP('Interactive Selection Sheet'!$B241, 'Master List Import'!$A$1:$P$519, 10, FALSE), ""), "")</f>
        <v>0</v>
      </c>
      <c r="M379" s="69">
        <f>_xlfn.IFNA(IF('Interactive Selection Sheet'!A241 = "", VLOOKUP('Interactive Selection Sheet'!$B241, 'Master List Import'!$A$1:$P$519, 11, FALSE), ""), "")</f>
        <v>0</v>
      </c>
      <c r="N379" s="69">
        <f>_xlfn.IFNA(IF('Interactive Selection Sheet'!A241 = "", VLOOKUP('Interactive Selection Sheet'!$B241, 'Master List Import'!$A$1:$P$519, 12, FALSE), ""), "")</f>
        <v>28</v>
      </c>
      <c r="O379" s="69">
        <f>_xlfn.IFNA(IF('Interactive Selection Sheet'!A241 = "", VLOOKUP('Interactive Selection Sheet'!$B241, 'Master List Import'!$A$1:$P$519, 13, FALSE), ""), "")</f>
        <v>7261</v>
      </c>
      <c r="P379" s="69" t="str">
        <f>_xlfn.IFNA(IF('Interactive Selection Sheet'!A241 = "", VLOOKUP('Interactive Selection Sheet'!$B241, 'Master List Import'!$A$1:$P$519, 14, FALSE), ""), "")</f>
        <v>Crunchy Granola Bar</v>
      </c>
      <c r="Q379" s="69">
        <f>_xlfn.IFNA(IF('Interactive Selection Sheet'!A241 = "", VLOOKUP('Interactive Selection Sheet'!$B241, 'Master List Import'!$A$1:$P$519, 15, FALSE), ""), "")</f>
        <v>1</v>
      </c>
      <c r="R379" s="74">
        <f>_xlfn.IFNA(IF('Interactive Selection Sheet'!A241 = "", VLOOKUP('Interactive Selection Sheet'!$B241, 'Master List Import'!$A$1:$P$519, 16, FALSE), ""), "")</f>
        <v>1.3</v>
      </c>
    </row>
    <row r="380" spans="1:18" ht="21.75" customHeight="1" x14ac:dyDescent="0.25">
      <c r="A380" s="69">
        <f>_xlfn.IFNA(IF('Interactive Selection Sheet'!A268 = "", VLOOKUP('Interactive Selection Sheet'!$B268, 'Master List Import'!$A$1:$P$519, 2, FALSE), ""), "")</f>
        <v>7262</v>
      </c>
      <c r="B380" s="69" t="str">
        <f>_xlfn.IFNA(IF('Interactive Selection Sheet'!A268 = "", VLOOKUP('Interactive Selection Sheet'!$B268, 'Master List Import'!$A$1:$P$519, 3, FALSE), ""), "")</f>
        <v>Buddy Bars, 3oz - 12/8/cs</v>
      </c>
      <c r="C380" s="76">
        <f>IF('Interactive Selection Sheet'!$T$2="", "", IF(B380="","",'Interactive Selection Sheet'!$T$2))</f>
        <v>3.5000000000000003E-2</v>
      </c>
      <c r="D380" s="70">
        <f>IF(B380 = "", "", 'Interactive Selection Sheet'!$P$2)</f>
        <v>4.4999999999999998E-2</v>
      </c>
      <c r="E380" s="70">
        <f>IF(B380="","", 'Interactive Selection Sheet'!$R$2)</f>
        <v>0.02</v>
      </c>
      <c r="F380" s="69" t="str">
        <f>_xlfn.IFNA(IF('Interactive Selection Sheet'!A268 = "", VLOOKUP('Interactive Selection Sheet'!$B268, 'Master List Import'!$A$1:$P$519, 4, FALSE), ""), "")</f>
        <v>Snacks - Cookies/Crackers</v>
      </c>
      <c r="G380" s="69" t="str">
        <f>_xlfn.IFNA(IF('Interactive Selection Sheet'!A268 = "", VLOOKUP('Interactive Selection Sheet'!$B268, 'Master List Import'!$A$1:$P$519, 5, FALSE), ""), "")</f>
        <v>Snacks - Cookies/Crackers</v>
      </c>
      <c r="H380" s="69" t="str">
        <f>_xlfn.IFNA(IF('Interactive Selection Sheet'!A268 = "", VLOOKUP('Interactive Selection Sheet'!$B268, 'Master List Import'!$A$1:$P$519, 6, FALSE), ""), "")</f>
        <v>Both</v>
      </c>
      <c r="I380" s="72">
        <f>_xlfn.IFNA(IF('Interactive Selection Sheet'!A268 = "", VLOOKUP('Interactive Selection Sheet'!$B268, 'Master List Import'!$A$1:$P$519, 7, FALSE), ""), "")</f>
        <v>0.49709999999999999</v>
      </c>
      <c r="J380" s="69" t="str">
        <f>_xlfn.IFNA(IF('Interactive Selection Sheet'!A268 = "", VLOOKUP('Interactive Selection Sheet'!$B268, 'Master List Import'!$A$1:$P$519, 8, FALSE), ""), "")</f>
        <v>Vistar</v>
      </c>
      <c r="K380" s="69" t="str">
        <f>_xlfn.IFNA(IF('Interactive Selection Sheet'!A268 = "", VLOOKUP('Interactive Selection Sheet'!$B268, 'Master List Import'!$A$1:$P$519, 9, FALSE), ""), "")</f>
        <v>FLO48051250FOA</v>
      </c>
      <c r="L380" s="69">
        <f>_xlfn.IFNA(IF('Interactive Selection Sheet'!A268 = "", VLOOKUP('Interactive Selection Sheet'!$B268, 'Master List Import'!$A$1:$P$519, 10, FALSE), ""), "")</f>
        <v>0</v>
      </c>
      <c r="M380" s="69">
        <f>_xlfn.IFNA(IF('Interactive Selection Sheet'!A268 = "", VLOOKUP('Interactive Selection Sheet'!$B268, 'Master List Import'!$A$1:$P$519, 11, FALSE), ""), "")</f>
        <v>0</v>
      </c>
      <c r="N380" s="69">
        <f>_xlfn.IFNA(IF('Interactive Selection Sheet'!A268 = "", VLOOKUP('Interactive Selection Sheet'!$B268, 'Master List Import'!$A$1:$P$519, 12, FALSE), ""), "")</f>
        <v>96</v>
      </c>
      <c r="O380" s="69">
        <f>_xlfn.IFNA(IF('Interactive Selection Sheet'!A268 = "", VLOOKUP('Interactive Selection Sheet'!$B268, 'Master List Import'!$A$1:$P$519, 13, FALSE), ""), "")</f>
        <v>7262</v>
      </c>
      <c r="P380" s="69" t="str">
        <f>_xlfn.IFNA(IF('Interactive Selection Sheet'!A268 = "", VLOOKUP('Interactive Selection Sheet'!$B268, 'Master List Import'!$A$1:$P$519, 14, FALSE), ""), "")</f>
        <v>Buddy Bars</v>
      </c>
      <c r="Q380" s="69">
        <f>_xlfn.IFNA(IF('Interactive Selection Sheet'!A268 = "", VLOOKUP('Interactive Selection Sheet'!$B268, 'Master List Import'!$A$1:$P$519, 15, FALSE), ""), "")</f>
        <v>1</v>
      </c>
      <c r="R380" s="74">
        <f>_xlfn.IFNA(IF('Interactive Selection Sheet'!A268 = "", VLOOKUP('Interactive Selection Sheet'!$B268, 'Master List Import'!$A$1:$P$519, 16, FALSE), ""), "")</f>
        <v>1.6</v>
      </c>
    </row>
    <row r="381" spans="1:18" ht="21.75" customHeight="1" x14ac:dyDescent="0.25">
      <c r="A381" s="69">
        <f>_xlfn.IFNA(IF('Interactive Selection Sheet'!A269 = "", VLOOKUP('Interactive Selection Sheet'!$B269, 'Master List Import'!$A$1:$P$519, 2, FALSE), ""), "")</f>
        <v>7263</v>
      </c>
      <c r="B381" s="69" t="str">
        <f>_xlfn.IFNA(IF('Interactive Selection Sheet'!A269 = "", VLOOKUP('Interactive Selection Sheet'!$B269, 'Master List Import'!$A$1:$P$519, 3, FALSE), ""), "")</f>
        <v>Rice Krispies Treats Original, 2.13oz - 4/12/cs</v>
      </c>
      <c r="C381" s="76">
        <f>IF('Interactive Selection Sheet'!$T$2="", "", IF(B381="","",'Interactive Selection Sheet'!$T$2))</f>
        <v>3.5000000000000003E-2</v>
      </c>
      <c r="D381" s="70">
        <f>IF(B381 = "", "", 'Interactive Selection Sheet'!$P$2)</f>
        <v>4.4999999999999998E-2</v>
      </c>
      <c r="E381" s="70">
        <f>IF(B381="","", 'Interactive Selection Sheet'!$R$2)</f>
        <v>0.02</v>
      </c>
      <c r="F381" s="69" t="str">
        <f>_xlfn.IFNA(IF('Interactive Selection Sheet'!A269 = "", VLOOKUP('Interactive Selection Sheet'!$B269, 'Master List Import'!$A$1:$P$519, 4, FALSE), ""), "")</f>
        <v>Snacks - Cookies/Crackers</v>
      </c>
      <c r="G381" s="69" t="str">
        <f>_xlfn.IFNA(IF('Interactive Selection Sheet'!A269 = "", VLOOKUP('Interactive Selection Sheet'!$B269, 'Master List Import'!$A$1:$P$519, 5, FALSE), ""), "")</f>
        <v>Snacks - Cookies/Crackers</v>
      </c>
      <c r="H381" s="69" t="str">
        <f>_xlfn.IFNA(IF('Interactive Selection Sheet'!A269 = "", VLOOKUP('Interactive Selection Sheet'!$B269, 'Master List Import'!$A$1:$P$519, 6, FALSE), ""), "")</f>
        <v>Both</v>
      </c>
      <c r="I381" s="72">
        <f>_xlfn.IFNA(IF('Interactive Selection Sheet'!A269 = "", VLOOKUP('Interactive Selection Sheet'!$B269, 'Master List Import'!$A$1:$P$519, 7, FALSE), ""), "")</f>
        <v>0.56869999999999998</v>
      </c>
      <c r="J381" s="69" t="str">
        <f>_xlfn.IFNA(IF('Interactive Selection Sheet'!A269 = "", VLOOKUP('Interactive Selection Sheet'!$B269, 'Master List Import'!$A$1:$P$519, 8, FALSE), ""), "")</f>
        <v>Vistar</v>
      </c>
      <c r="K381" s="69" t="str">
        <f>_xlfn.IFNA(IF('Interactive Selection Sheet'!A269 = "", VLOOKUP('Interactive Selection Sheet'!$B269, 'Master List Import'!$A$1:$P$519, 9, FALSE), ""), "")</f>
        <v>KEE52402</v>
      </c>
      <c r="L381" s="69">
        <f>_xlfn.IFNA(IF('Interactive Selection Sheet'!A269 = "", VLOOKUP('Interactive Selection Sheet'!$B269, 'Master List Import'!$A$1:$P$519, 10, FALSE), ""), "")</f>
        <v>0</v>
      </c>
      <c r="M381" s="69">
        <f>_xlfn.IFNA(IF('Interactive Selection Sheet'!A269 = "", VLOOKUP('Interactive Selection Sheet'!$B269, 'Master List Import'!$A$1:$P$519, 11, FALSE), ""), "")</f>
        <v>0</v>
      </c>
      <c r="N381" s="69">
        <f>_xlfn.IFNA(IF('Interactive Selection Sheet'!A269 = "", VLOOKUP('Interactive Selection Sheet'!$B269, 'Master List Import'!$A$1:$P$519, 12, FALSE), ""), "")</f>
        <v>48</v>
      </c>
      <c r="O381" s="69">
        <f>_xlfn.IFNA(IF('Interactive Selection Sheet'!A269 = "", VLOOKUP('Interactive Selection Sheet'!$B269, 'Master List Import'!$A$1:$P$519, 13, FALSE), ""), "")</f>
        <v>7263</v>
      </c>
      <c r="P381" s="69" t="str">
        <f>_xlfn.IFNA(IF('Interactive Selection Sheet'!A269 = "", VLOOKUP('Interactive Selection Sheet'!$B269, 'Master List Import'!$A$1:$P$519, 14, FALSE), ""), "")</f>
        <v>Rice Krispies Treat</v>
      </c>
      <c r="Q381" s="69">
        <f>_xlfn.IFNA(IF('Interactive Selection Sheet'!A269 = "", VLOOKUP('Interactive Selection Sheet'!$B269, 'Master List Import'!$A$1:$P$519, 15, FALSE), ""), "")</f>
        <v>1</v>
      </c>
      <c r="R381" s="74">
        <f>_xlfn.IFNA(IF('Interactive Selection Sheet'!A269 = "", VLOOKUP('Interactive Selection Sheet'!$B269, 'Master List Import'!$A$1:$P$519, 16, FALSE), ""), "")</f>
        <v>1.65</v>
      </c>
    </row>
    <row r="382" spans="1:18" ht="21.75" customHeight="1" x14ac:dyDescent="0.25">
      <c r="A382" s="69">
        <f>_xlfn.IFNA(IF('Interactive Selection Sheet'!A246 = "", VLOOKUP('Interactive Selection Sheet'!$B246, 'Master List Import'!$A$1:$P$519, 2, FALSE), ""), "")</f>
        <v>7300</v>
      </c>
      <c r="B382" s="69" t="str">
        <f>_xlfn.IFNA(IF('Interactive Selection Sheet'!A246 = "", VLOOKUP('Interactive Selection Sheet'!$B246, 'Master List Import'!$A$1:$P$519, 3, FALSE), ""), "")</f>
        <v>Icy White Honey Bun, 6oz - 8/6/cs</v>
      </c>
      <c r="C382" s="76">
        <f>IF('Interactive Selection Sheet'!$T$2="", "", IF(B382="","",'Interactive Selection Sheet'!$T$2))</f>
        <v>3.5000000000000003E-2</v>
      </c>
      <c r="D382" s="70">
        <f>IF(B382 = "", "", 'Interactive Selection Sheet'!$P$2)</f>
        <v>4.4999999999999998E-2</v>
      </c>
      <c r="E382" s="70">
        <f>IF(B382="","", 'Interactive Selection Sheet'!$R$2)</f>
        <v>0.02</v>
      </c>
      <c r="F382" s="69" t="str">
        <f>_xlfn.IFNA(IF('Interactive Selection Sheet'!A246 = "", VLOOKUP('Interactive Selection Sheet'!$B246, 'Master List Import'!$A$1:$P$519, 4, FALSE), ""), "")</f>
        <v>Pastries</v>
      </c>
      <c r="G382" s="69" t="str">
        <f>_xlfn.IFNA(IF('Interactive Selection Sheet'!A246 = "", VLOOKUP('Interactive Selection Sheet'!$B246, 'Master List Import'!$A$1:$P$519, 5, FALSE), ""), "")</f>
        <v>Pastries</v>
      </c>
      <c r="H382" s="69" t="str">
        <f>_xlfn.IFNA(IF('Interactive Selection Sheet'!A246 = "", VLOOKUP('Interactive Selection Sheet'!$B246, 'Master List Import'!$A$1:$P$519, 6, FALSE), ""), "")</f>
        <v>Both</v>
      </c>
      <c r="I382" s="72">
        <f>_xlfn.IFNA(IF('Interactive Selection Sheet'!A246 = "", VLOOKUP('Interactive Selection Sheet'!$B246, 'Master List Import'!$A$1:$P$519, 7, FALSE), ""), "")</f>
        <v>0.62139999999999995</v>
      </c>
      <c r="J382" s="69" t="str">
        <f>_xlfn.IFNA(IF('Interactive Selection Sheet'!A246 = "", VLOOKUP('Interactive Selection Sheet'!$B246, 'Master List Import'!$A$1:$P$519, 8, FALSE), ""), "")</f>
        <v>Vistar</v>
      </c>
      <c r="K382" s="69" t="str">
        <f>_xlfn.IFNA(IF('Interactive Selection Sheet'!A246 = "", VLOOKUP('Interactive Selection Sheet'!$B246, 'Master List Import'!$A$1:$P$519, 9, FALSE), ""), "")</f>
        <v>FLO00765FOA</v>
      </c>
      <c r="L382" s="69">
        <f>_xlfn.IFNA(IF('Interactive Selection Sheet'!A246 = "", VLOOKUP('Interactive Selection Sheet'!$B246, 'Master List Import'!$A$1:$P$519, 10, FALSE), ""), "")</f>
        <v>0</v>
      </c>
      <c r="M382" s="69">
        <f>_xlfn.IFNA(IF('Interactive Selection Sheet'!A246 = "", VLOOKUP('Interactive Selection Sheet'!$B246, 'Master List Import'!$A$1:$P$519, 11, FALSE), ""), "")</f>
        <v>0</v>
      </c>
      <c r="N382" s="69">
        <f>_xlfn.IFNA(IF('Interactive Selection Sheet'!A246 = "", VLOOKUP('Interactive Selection Sheet'!$B246, 'Master List Import'!$A$1:$P$519, 12, FALSE), ""), "")</f>
        <v>48</v>
      </c>
      <c r="O382" s="69">
        <f>_xlfn.IFNA(IF('Interactive Selection Sheet'!A246 = "", VLOOKUP('Interactive Selection Sheet'!$B246, 'Master List Import'!$A$1:$P$519, 13, FALSE), ""), "")</f>
        <v>7300</v>
      </c>
      <c r="P382" s="69" t="str">
        <f>_xlfn.IFNA(IF('Interactive Selection Sheet'!A246 = "", VLOOKUP('Interactive Selection Sheet'!$B246, 'Master List Import'!$A$1:$P$519, 14, FALSE), ""), "")</f>
        <v>Iced Honey Bun</v>
      </c>
      <c r="Q382" s="69">
        <f>_xlfn.IFNA(IF('Interactive Selection Sheet'!A246 = "", VLOOKUP('Interactive Selection Sheet'!$B246, 'Master List Import'!$A$1:$P$519, 15, FALSE), ""), "")</f>
        <v>1</v>
      </c>
      <c r="R382" s="74">
        <f>_xlfn.IFNA(IF('Interactive Selection Sheet'!A246 = "", VLOOKUP('Interactive Selection Sheet'!$B246, 'Master List Import'!$A$1:$P$519, 16, FALSE), ""), "")</f>
        <v>1.75</v>
      </c>
    </row>
    <row r="383" spans="1:18" ht="21.75" customHeight="1" x14ac:dyDescent="0.25">
      <c r="A383" s="69">
        <f>_xlfn.IFNA(IF('Interactive Selection Sheet'!A247 = "", VLOOKUP('Interactive Selection Sheet'!$B247, 'Master List Import'!$A$1:$P$519, 2, FALSE), ""), "")</f>
        <v>7301</v>
      </c>
      <c r="B383" s="69" t="str">
        <f>_xlfn.IFNA(IF('Interactive Selection Sheet'!A247 = "", VLOOKUP('Interactive Selection Sheet'!$B247, 'Master List Import'!$A$1:$P$519, 3, FALSE), ""), "")</f>
        <v>Jumbo Glazed Honey Bun, 5oz - 8/6/cs</v>
      </c>
      <c r="C383" s="76">
        <f>IF('Interactive Selection Sheet'!$T$2="", "", IF(B383="","",'Interactive Selection Sheet'!$T$2))</f>
        <v>3.5000000000000003E-2</v>
      </c>
      <c r="D383" s="70">
        <f>IF(B383 = "", "", 'Interactive Selection Sheet'!$P$2)</f>
        <v>4.4999999999999998E-2</v>
      </c>
      <c r="E383" s="70">
        <f>IF(B383="","", 'Interactive Selection Sheet'!$R$2)</f>
        <v>0.02</v>
      </c>
      <c r="F383" s="69" t="str">
        <f>_xlfn.IFNA(IF('Interactive Selection Sheet'!A247 = "", VLOOKUP('Interactive Selection Sheet'!$B247, 'Master List Import'!$A$1:$P$519, 4, FALSE), ""), "")</f>
        <v>Pastries</v>
      </c>
      <c r="G383" s="69" t="str">
        <f>_xlfn.IFNA(IF('Interactive Selection Sheet'!A247 = "", VLOOKUP('Interactive Selection Sheet'!$B247, 'Master List Import'!$A$1:$P$519, 5, FALSE), ""), "")</f>
        <v>Pastries</v>
      </c>
      <c r="H383" s="69" t="str">
        <f>_xlfn.IFNA(IF('Interactive Selection Sheet'!A247 = "", VLOOKUP('Interactive Selection Sheet'!$B247, 'Master List Import'!$A$1:$P$519, 6, FALSE), ""), "")</f>
        <v>Both</v>
      </c>
      <c r="I383" s="72">
        <f>_xlfn.IFNA(IF('Interactive Selection Sheet'!A247 = "", VLOOKUP('Interactive Selection Sheet'!$B247, 'Master List Import'!$A$1:$P$519, 7, FALSE), ""), "")</f>
        <v>0.55369999999999997</v>
      </c>
      <c r="J383" s="69" t="str">
        <f>_xlfn.IFNA(IF('Interactive Selection Sheet'!A247 = "", VLOOKUP('Interactive Selection Sheet'!$B247, 'Master List Import'!$A$1:$P$519, 8, FALSE), ""), "")</f>
        <v>Vistar</v>
      </c>
      <c r="K383" s="69" t="str">
        <f>_xlfn.IFNA(IF('Interactive Selection Sheet'!A247 = "", VLOOKUP('Interactive Selection Sheet'!$B247, 'Master List Import'!$A$1:$P$519, 9, FALSE), ""), "")</f>
        <v>FLO00723FOA</v>
      </c>
      <c r="L383" s="69">
        <f>_xlfn.IFNA(IF('Interactive Selection Sheet'!A247 = "", VLOOKUP('Interactive Selection Sheet'!$B247, 'Master List Import'!$A$1:$P$519, 10, FALSE), ""), "")</f>
        <v>0</v>
      </c>
      <c r="M383" s="69">
        <f>_xlfn.IFNA(IF('Interactive Selection Sheet'!A247 = "", VLOOKUP('Interactive Selection Sheet'!$B247, 'Master List Import'!$A$1:$P$519, 11, FALSE), ""), "")</f>
        <v>0</v>
      </c>
      <c r="N383" s="69">
        <f>_xlfn.IFNA(IF('Interactive Selection Sheet'!A247 = "", VLOOKUP('Interactive Selection Sheet'!$B247, 'Master List Import'!$A$1:$P$519, 12, FALSE), ""), "")</f>
        <v>48</v>
      </c>
      <c r="O383" s="69">
        <f>_xlfn.IFNA(IF('Interactive Selection Sheet'!A247 = "", VLOOKUP('Interactive Selection Sheet'!$B247, 'Master List Import'!$A$1:$P$519, 13, FALSE), ""), "")</f>
        <v>7301</v>
      </c>
      <c r="P383" s="69" t="str">
        <f>_xlfn.IFNA(IF('Interactive Selection Sheet'!A247 = "", VLOOKUP('Interactive Selection Sheet'!$B247, 'Master List Import'!$A$1:$P$519, 14, FALSE), ""), "")</f>
        <v>Glazed Honey Bun</v>
      </c>
      <c r="Q383" s="69">
        <f>_xlfn.IFNA(IF('Interactive Selection Sheet'!A247 = "", VLOOKUP('Interactive Selection Sheet'!$B247, 'Master List Import'!$A$1:$P$519, 15, FALSE), ""), "")</f>
        <v>1</v>
      </c>
      <c r="R383" s="74">
        <f>_xlfn.IFNA(IF('Interactive Selection Sheet'!A247 = "", VLOOKUP('Interactive Selection Sheet'!$B247, 'Master List Import'!$A$1:$P$519, 16, FALSE), ""), "")</f>
        <v>1.75</v>
      </c>
    </row>
    <row r="384" spans="1:18" ht="21.75" customHeight="1" x14ac:dyDescent="0.25">
      <c r="A384" s="69">
        <f>_xlfn.IFNA(IF('Interactive Selection Sheet'!A248 = "", VLOOKUP('Interactive Selection Sheet'!$B248, 'Master List Import'!$A$1:$P$519, 2, FALSE), ""), "")</f>
        <v>7302</v>
      </c>
      <c r="B384" s="69" t="str">
        <f>_xlfn.IFNA(IF('Interactive Selection Sheet'!A248 = "", VLOOKUP('Interactive Selection Sheet'!$B248, 'Master List Import'!$A$1:$P$519, 3, FALSE), ""), "")</f>
        <v>Big Texas Cinnamon Roll, 4oz - 36/cs</v>
      </c>
      <c r="C384" s="76">
        <f>IF('Interactive Selection Sheet'!$T$2="", "", IF(B384="","",'Interactive Selection Sheet'!$T$2))</f>
        <v>3.5000000000000003E-2</v>
      </c>
      <c r="D384" s="70">
        <f>IF(B384 = "", "", 'Interactive Selection Sheet'!$P$2)</f>
        <v>4.4999999999999998E-2</v>
      </c>
      <c r="E384" s="70">
        <f>IF(B384="","", 'Interactive Selection Sheet'!$R$2)</f>
        <v>0.02</v>
      </c>
      <c r="F384" s="69" t="str">
        <f>_xlfn.IFNA(IF('Interactive Selection Sheet'!A248 = "", VLOOKUP('Interactive Selection Sheet'!$B248, 'Master List Import'!$A$1:$P$519, 4, FALSE), ""), "")</f>
        <v>Pastries</v>
      </c>
      <c r="G384" s="69" t="str">
        <f>_xlfn.IFNA(IF('Interactive Selection Sheet'!A248 = "", VLOOKUP('Interactive Selection Sheet'!$B248, 'Master List Import'!$A$1:$P$519, 5, FALSE), ""), "")</f>
        <v>Pastries</v>
      </c>
      <c r="H384" s="69" t="str">
        <f>_xlfn.IFNA(IF('Interactive Selection Sheet'!A248 = "", VLOOKUP('Interactive Selection Sheet'!$B248, 'Master List Import'!$A$1:$P$519, 6, FALSE), ""), "")</f>
        <v>Both</v>
      </c>
      <c r="I384" s="72">
        <f>_xlfn.IFNA(IF('Interactive Selection Sheet'!A248 = "", VLOOKUP('Interactive Selection Sheet'!$B248, 'Master List Import'!$A$1:$P$519, 7, FALSE), ""), "")</f>
        <v>0.61329999999999996</v>
      </c>
      <c r="J384" s="69" t="str">
        <f>_xlfn.IFNA(IF('Interactive Selection Sheet'!A248 = "", VLOOKUP('Interactive Selection Sheet'!$B248, 'Master List Import'!$A$1:$P$519, 8, FALSE), ""), "")</f>
        <v>Vistar</v>
      </c>
      <c r="K384" s="69" t="str">
        <f>_xlfn.IFNA(IF('Interactive Selection Sheet'!A248 = "", VLOOKUP('Interactive Selection Sheet'!$B248, 'Master List Import'!$A$1:$P$519, 9, FALSE), ""), "")</f>
        <v>HOS80035</v>
      </c>
      <c r="L384" s="69">
        <f>_xlfn.IFNA(IF('Interactive Selection Sheet'!A248 = "", VLOOKUP('Interactive Selection Sheet'!$B248, 'Master List Import'!$A$1:$P$519, 10, FALSE), ""), "")</f>
        <v>0</v>
      </c>
      <c r="M384" s="69">
        <f>_xlfn.IFNA(IF('Interactive Selection Sheet'!A248 = "", VLOOKUP('Interactive Selection Sheet'!$B248, 'Master List Import'!$A$1:$P$519, 11, FALSE), ""), "")</f>
        <v>0</v>
      </c>
      <c r="N384" s="69">
        <f>_xlfn.IFNA(IF('Interactive Selection Sheet'!A248 = "", VLOOKUP('Interactive Selection Sheet'!$B248, 'Master List Import'!$A$1:$P$519, 12, FALSE), ""), "")</f>
        <v>36</v>
      </c>
      <c r="O384" s="69">
        <f>_xlfn.IFNA(IF('Interactive Selection Sheet'!A248 = "", VLOOKUP('Interactive Selection Sheet'!$B248, 'Master List Import'!$A$1:$P$519, 13, FALSE), ""), "")</f>
        <v>7302</v>
      </c>
      <c r="P384" s="69" t="str">
        <f>_xlfn.IFNA(IF('Interactive Selection Sheet'!A248 = "", VLOOKUP('Interactive Selection Sheet'!$B248, 'Master List Import'!$A$1:$P$519, 14, FALSE), ""), "")</f>
        <v>Big Texas Cinnamon Roll</v>
      </c>
      <c r="Q384" s="69">
        <f>_xlfn.IFNA(IF('Interactive Selection Sheet'!A248 = "", VLOOKUP('Interactive Selection Sheet'!$B248, 'Master List Import'!$A$1:$P$519, 15, FALSE), ""), "")</f>
        <v>1</v>
      </c>
      <c r="R384" s="74">
        <f>_xlfn.IFNA(IF('Interactive Selection Sheet'!A248 = "", VLOOKUP('Interactive Selection Sheet'!$B248, 'Master List Import'!$A$1:$P$519, 16, FALSE), ""), "")</f>
        <v>1.95</v>
      </c>
    </row>
    <row r="385" spans="1:18" ht="21.75" customHeight="1" x14ac:dyDescent="0.25">
      <c r="A385" s="69">
        <f>_xlfn.IFNA(IF('Interactive Selection Sheet'!A249 = "", VLOOKUP('Interactive Selection Sheet'!$B249, 'Master List Import'!$A$1:$P$519, 2, FALSE), ""), "")</f>
        <v>7303</v>
      </c>
      <c r="B385" s="69" t="str">
        <f>_xlfn.IFNA(IF('Interactive Selection Sheet'!A249 = "", VLOOKUP('Interactive Selection Sheet'!$B249, 'Master List Import'!$A$1:$P$519, 3, FALSE), ""), "")</f>
        <v>Honey Bun Creamy Curl 6/9/4oz</v>
      </c>
      <c r="C385" s="76">
        <f>IF('Interactive Selection Sheet'!$T$2="", "", IF(B385="","",'Interactive Selection Sheet'!$T$2))</f>
        <v>3.5000000000000003E-2</v>
      </c>
      <c r="D385" s="70">
        <f>IF(B385 = "", "", 'Interactive Selection Sheet'!$P$2)</f>
        <v>4.4999999999999998E-2</v>
      </c>
      <c r="E385" s="70">
        <f>IF(B385="","", 'Interactive Selection Sheet'!$R$2)</f>
        <v>0.02</v>
      </c>
      <c r="F385" s="69" t="str">
        <f>_xlfn.IFNA(IF('Interactive Selection Sheet'!A249 = "", VLOOKUP('Interactive Selection Sheet'!$B249, 'Master List Import'!$A$1:$P$519, 4, FALSE), ""), "")</f>
        <v>Pastries</v>
      </c>
      <c r="G385" s="69" t="str">
        <f>_xlfn.IFNA(IF('Interactive Selection Sheet'!A249 = "", VLOOKUP('Interactive Selection Sheet'!$B249, 'Master List Import'!$A$1:$P$519, 5, FALSE), ""), "")</f>
        <v>Pastries</v>
      </c>
      <c r="H385" s="69" t="str">
        <f>_xlfn.IFNA(IF('Interactive Selection Sheet'!A249 = "", VLOOKUP('Interactive Selection Sheet'!$B249, 'Master List Import'!$A$1:$P$519, 6, FALSE), ""), "")</f>
        <v>Both</v>
      </c>
      <c r="I385" s="72">
        <f>_xlfn.IFNA(IF('Interactive Selection Sheet'!A249 = "", VLOOKUP('Interactive Selection Sheet'!$B249, 'Master List Import'!$A$1:$P$519, 7, FALSE), ""), "")</f>
        <v>0.56499999999999995</v>
      </c>
      <c r="J385" s="69" t="str">
        <f>_xlfn.IFNA(IF('Interactive Selection Sheet'!A249 = "", VLOOKUP('Interactive Selection Sheet'!$B249, 'Master List Import'!$A$1:$P$519, 8, FALSE), ""), "")</f>
        <v>Vistar</v>
      </c>
      <c r="K385" s="69" t="str">
        <f>_xlfn.IFNA(IF('Interactive Selection Sheet'!A249 = "", VLOOKUP('Interactive Selection Sheet'!$B249, 'Master List Import'!$A$1:$P$519, 9, FALSE), ""), "")</f>
        <v>FLO5114775FOA</v>
      </c>
      <c r="L385" s="69">
        <f>_xlfn.IFNA(IF('Interactive Selection Sheet'!A249 = "", VLOOKUP('Interactive Selection Sheet'!$B249, 'Master List Import'!$A$1:$P$519, 10, FALSE), ""), "")</f>
        <v>0</v>
      </c>
      <c r="M385" s="69">
        <f>_xlfn.IFNA(IF('Interactive Selection Sheet'!A249 = "", VLOOKUP('Interactive Selection Sheet'!$B249, 'Master List Import'!$A$1:$P$519, 11, FALSE), ""), "")</f>
        <v>0</v>
      </c>
      <c r="N385" s="69">
        <f>_xlfn.IFNA(IF('Interactive Selection Sheet'!A249 = "", VLOOKUP('Interactive Selection Sheet'!$B249, 'Master List Import'!$A$1:$P$519, 12, FALSE), ""), "")</f>
        <v>54</v>
      </c>
      <c r="O385" s="69">
        <f>_xlfn.IFNA(IF('Interactive Selection Sheet'!A249 = "", VLOOKUP('Interactive Selection Sheet'!$B249, 'Master List Import'!$A$1:$P$519, 13, FALSE), ""), "")</f>
        <v>7303</v>
      </c>
      <c r="P385" s="69" t="str">
        <f>_xlfn.IFNA(IF('Interactive Selection Sheet'!A249 = "", VLOOKUP('Interactive Selection Sheet'!$B249, 'Master List Import'!$A$1:$P$519, 14, FALSE), ""), "")</f>
        <v>Cremey Curl Honey Bun</v>
      </c>
      <c r="Q385" s="69">
        <f>_xlfn.IFNA(IF('Interactive Selection Sheet'!A249 = "", VLOOKUP('Interactive Selection Sheet'!$B249, 'Master List Import'!$A$1:$P$519, 15, FALSE), ""), "")</f>
        <v>1</v>
      </c>
      <c r="R385" s="74">
        <f>_xlfn.IFNA(IF('Interactive Selection Sheet'!A249 = "", VLOOKUP('Interactive Selection Sheet'!$B249, 'Master List Import'!$A$1:$P$519, 16, FALSE), ""), "")</f>
        <v>2.1</v>
      </c>
    </row>
    <row r="386" spans="1:18" ht="21.75" customHeight="1" x14ac:dyDescent="0.25">
      <c r="A386" s="69">
        <f>_xlfn.IFNA(IF('Interactive Selection Sheet'!A250 = "", VLOOKUP('Interactive Selection Sheet'!$B250, 'Master List Import'!$A$1:$P$519, 2, FALSE), ""), "")</f>
        <v>7304</v>
      </c>
      <c r="B386" s="69" t="str">
        <f>_xlfn.IFNA(IF('Interactive Selection Sheet'!A250 = "", VLOOKUP('Interactive Selection Sheet'!$B250, 'Master List Import'!$A$1:$P$519, 3, FALSE), ""), "")</f>
        <v>Honey Bun Jelly Swirl 6/9/4oz</v>
      </c>
      <c r="C386" s="76">
        <f>IF('Interactive Selection Sheet'!$T$2="", "", IF(B386="","",'Interactive Selection Sheet'!$T$2))</f>
        <v>3.5000000000000003E-2</v>
      </c>
      <c r="D386" s="70">
        <f>IF(B386 = "", "", 'Interactive Selection Sheet'!$P$2)</f>
        <v>4.4999999999999998E-2</v>
      </c>
      <c r="E386" s="70">
        <f>IF(B386="","", 'Interactive Selection Sheet'!$R$2)</f>
        <v>0.02</v>
      </c>
      <c r="F386" s="69" t="str">
        <f>_xlfn.IFNA(IF('Interactive Selection Sheet'!A250 = "", VLOOKUP('Interactive Selection Sheet'!$B250, 'Master List Import'!$A$1:$P$519, 4, FALSE), ""), "")</f>
        <v>Pastries</v>
      </c>
      <c r="G386" s="69" t="str">
        <f>_xlfn.IFNA(IF('Interactive Selection Sheet'!A250 = "", VLOOKUP('Interactive Selection Sheet'!$B250, 'Master List Import'!$A$1:$P$519, 5, FALSE), ""), "")</f>
        <v>Pastries</v>
      </c>
      <c r="H386" s="69" t="str">
        <f>_xlfn.IFNA(IF('Interactive Selection Sheet'!A250 = "", VLOOKUP('Interactive Selection Sheet'!$B250, 'Master List Import'!$A$1:$P$519, 6, FALSE), ""), "")</f>
        <v>Both</v>
      </c>
      <c r="I386" s="72">
        <f>_xlfn.IFNA(IF('Interactive Selection Sheet'!A250 = "", VLOOKUP('Interactive Selection Sheet'!$B250, 'Master List Import'!$A$1:$P$519, 7, FALSE), ""), "")</f>
        <v>0.56499999999999995</v>
      </c>
      <c r="J386" s="69" t="str">
        <f>_xlfn.IFNA(IF('Interactive Selection Sheet'!A250 = "", VLOOKUP('Interactive Selection Sheet'!$B250, 'Master List Import'!$A$1:$P$519, 8, FALSE), ""), "")</f>
        <v>Vistar</v>
      </c>
      <c r="K386" s="69" t="str">
        <f>_xlfn.IFNA(IF('Interactive Selection Sheet'!A250 = "", VLOOKUP('Interactive Selection Sheet'!$B250, 'Master List Import'!$A$1:$P$519, 9, FALSE), ""), "")</f>
        <v>FLO5114776FOA</v>
      </c>
      <c r="L386" s="69">
        <f>_xlfn.IFNA(IF('Interactive Selection Sheet'!A250 = "", VLOOKUP('Interactive Selection Sheet'!$B250, 'Master List Import'!$A$1:$P$519, 10, FALSE), ""), "")</f>
        <v>0</v>
      </c>
      <c r="M386" s="69">
        <f>_xlfn.IFNA(IF('Interactive Selection Sheet'!A250 = "", VLOOKUP('Interactive Selection Sheet'!$B250, 'Master List Import'!$A$1:$P$519, 11, FALSE), ""), "")</f>
        <v>0</v>
      </c>
      <c r="N386" s="69">
        <f>_xlfn.IFNA(IF('Interactive Selection Sheet'!A250 = "", VLOOKUP('Interactive Selection Sheet'!$B250, 'Master List Import'!$A$1:$P$519, 12, FALSE), ""), "")</f>
        <v>54</v>
      </c>
      <c r="O386" s="69">
        <f>_xlfn.IFNA(IF('Interactive Selection Sheet'!A250 = "", VLOOKUP('Interactive Selection Sheet'!$B250, 'Master List Import'!$A$1:$P$519, 13, FALSE), ""), "")</f>
        <v>7304</v>
      </c>
      <c r="P386" s="69" t="str">
        <f>_xlfn.IFNA(IF('Interactive Selection Sheet'!A250 = "", VLOOKUP('Interactive Selection Sheet'!$B250, 'Master List Import'!$A$1:$P$519, 14, FALSE), ""), "")</f>
        <v>Jelly Swirl Honey Bun</v>
      </c>
      <c r="Q386" s="69">
        <f>_xlfn.IFNA(IF('Interactive Selection Sheet'!A250 = "", VLOOKUP('Interactive Selection Sheet'!$B250, 'Master List Import'!$A$1:$P$519, 15, FALSE), ""), "")</f>
        <v>1</v>
      </c>
      <c r="R386" s="74">
        <f>_xlfn.IFNA(IF('Interactive Selection Sheet'!A250 = "", VLOOKUP('Interactive Selection Sheet'!$B250, 'Master List Import'!$A$1:$P$519, 16, FALSE), ""), "")</f>
        <v>2.1</v>
      </c>
    </row>
    <row r="387" spans="1:18" ht="21.75" customHeight="1" x14ac:dyDescent="0.25">
      <c r="A387" s="69">
        <f>_xlfn.IFNA(IF('Interactive Selection Sheet'!A251 = "", VLOOKUP('Interactive Selection Sheet'!$B251, 'Master List Import'!$A$1:$P$519, 2, FALSE), ""), "")</f>
        <v>7305</v>
      </c>
      <c r="B387" s="69" t="str">
        <f>_xlfn.IFNA(IF('Interactive Selection Sheet'!A251 = "", VLOOKUP('Interactive Selection Sheet'!$B251, 'Master List Import'!$A$1:$P$519, 3, FALSE), ""), "")</f>
        <v>Cake Pecan Twirls 48/3oz</v>
      </c>
      <c r="C387" s="76">
        <f>IF('Interactive Selection Sheet'!$T$2="", "", IF(B387="","",'Interactive Selection Sheet'!$T$2))</f>
        <v>3.5000000000000003E-2</v>
      </c>
      <c r="D387" s="70">
        <f>IF(B387 = "", "", 'Interactive Selection Sheet'!$P$2)</f>
        <v>4.4999999999999998E-2</v>
      </c>
      <c r="E387" s="70">
        <f>IF(B387="","", 'Interactive Selection Sheet'!$R$2)</f>
        <v>0.02</v>
      </c>
      <c r="F387" s="69" t="str">
        <f>_xlfn.IFNA(IF('Interactive Selection Sheet'!A251 = "", VLOOKUP('Interactive Selection Sheet'!$B251, 'Master List Import'!$A$1:$P$519, 4, FALSE), ""), "")</f>
        <v>Pastries</v>
      </c>
      <c r="G387" s="69" t="str">
        <f>_xlfn.IFNA(IF('Interactive Selection Sheet'!A251 = "", VLOOKUP('Interactive Selection Sheet'!$B251, 'Master List Import'!$A$1:$P$519, 5, FALSE), ""), "")</f>
        <v>Pastries</v>
      </c>
      <c r="H387" s="69" t="str">
        <f>_xlfn.IFNA(IF('Interactive Selection Sheet'!A251 = "", VLOOKUP('Interactive Selection Sheet'!$B251, 'Master List Import'!$A$1:$P$519, 6, FALSE), ""), "")</f>
        <v>Both</v>
      </c>
      <c r="I387" s="72">
        <f>_xlfn.IFNA(IF('Interactive Selection Sheet'!A251 = "", VLOOKUP('Interactive Selection Sheet'!$B251, 'Master List Import'!$A$1:$P$519, 7, FALSE), ""), "")</f>
        <v>0.5877</v>
      </c>
      <c r="J387" s="69" t="str">
        <f>_xlfn.IFNA(IF('Interactive Selection Sheet'!A251 = "", VLOOKUP('Interactive Selection Sheet'!$B251, 'Master List Import'!$A$1:$P$519, 8, FALSE), ""), "")</f>
        <v>Vistar</v>
      </c>
      <c r="K387" s="69" t="str">
        <f>_xlfn.IFNA(IF('Interactive Selection Sheet'!A251 = "", VLOOKUP('Interactive Selection Sheet'!$B251, 'Master List Import'!$A$1:$P$519, 9, FALSE), ""), "")</f>
        <v>FLO91092</v>
      </c>
      <c r="L387" s="69">
        <f>_xlfn.IFNA(IF('Interactive Selection Sheet'!A251 = "", VLOOKUP('Interactive Selection Sheet'!$B251, 'Master List Import'!$A$1:$P$519, 10, FALSE), ""), "")</f>
        <v>0</v>
      </c>
      <c r="M387" s="69">
        <f>_xlfn.IFNA(IF('Interactive Selection Sheet'!A251 = "", VLOOKUP('Interactive Selection Sheet'!$B251, 'Master List Import'!$A$1:$P$519, 11, FALSE), ""), "")</f>
        <v>0</v>
      </c>
      <c r="N387" s="69">
        <f>_xlfn.IFNA(IF('Interactive Selection Sheet'!A251 = "", VLOOKUP('Interactive Selection Sheet'!$B251, 'Master List Import'!$A$1:$P$519, 12, FALSE), ""), "")</f>
        <v>48</v>
      </c>
      <c r="O387" s="69">
        <f>_xlfn.IFNA(IF('Interactive Selection Sheet'!A251 = "", VLOOKUP('Interactive Selection Sheet'!$B251, 'Master List Import'!$A$1:$P$519, 13, FALSE), ""), "")</f>
        <v>7305</v>
      </c>
      <c r="P387" s="69" t="str">
        <f>_xlfn.IFNA(IF('Interactive Selection Sheet'!A251 = "", VLOOKUP('Interactive Selection Sheet'!$B251, 'Master List Import'!$A$1:$P$519, 14, FALSE), ""), "")</f>
        <v>Pecan Twirls</v>
      </c>
      <c r="Q387" s="69">
        <f>_xlfn.IFNA(IF('Interactive Selection Sheet'!A251 = "", VLOOKUP('Interactive Selection Sheet'!$B251, 'Master List Import'!$A$1:$P$519, 15, FALSE), ""), "")</f>
        <v>1</v>
      </c>
      <c r="R387" s="74">
        <f>_xlfn.IFNA(IF('Interactive Selection Sheet'!A251 = "", VLOOKUP('Interactive Selection Sheet'!$B251, 'Master List Import'!$A$1:$P$519, 16, FALSE), ""), "")</f>
        <v>2.0499999999999998</v>
      </c>
    </row>
    <row r="388" spans="1:18" ht="21.75" customHeight="1" x14ac:dyDescent="0.25">
      <c r="A388" s="69">
        <f>_xlfn.IFNA(IF('Interactive Selection Sheet'!A252 = "", VLOOKUP('Interactive Selection Sheet'!$B252, 'Master List Import'!$A$1:$P$519, 2, FALSE), ""), "")</f>
        <v>7320</v>
      </c>
      <c r="B388" s="69" t="str">
        <f>_xlfn.IFNA(IF('Interactive Selection Sheet'!A252 = "", VLOOKUP('Interactive Selection Sheet'!$B252, 'Master List Import'!$A$1:$P$519, 3, FALSE), ""), "")</f>
        <v>Chocolate Cupcakes, 4oz - 6/6/cs</v>
      </c>
      <c r="C388" s="76">
        <f>IF('Interactive Selection Sheet'!$T$2="", "", IF(B388="","",'Interactive Selection Sheet'!$T$2))</f>
        <v>3.5000000000000003E-2</v>
      </c>
      <c r="D388" s="70">
        <f>IF(B388 = "", "", 'Interactive Selection Sheet'!$P$2)</f>
        <v>4.4999999999999998E-2</v>
      </c>
      <c r="E388" s="70">
        <f>IF(B388="","", 'Interactive Selection Sheet'!$R$2)</f>
        <v>0.02</v>
      </c>
      <c r="F388" s="69" t="str">
        <f>_xlfn.IFNA(IF('Interactive Selection Sheet'!A252 = "", VLOOKUP('Interactive Selection Sheet'!$B252, 'Master List Import'!$A$1:$P$519, 4, FALSE), ""), "")</f>
        <v>Pastries</v>
      </c>
      <c r="G388" s="69" t="str">
        <f>_xlfn.IFNA(IF('Interactive Selection Sheet'!A252 = "", VLOOKUP('Interactive Selection Sheet'!$B252, 'Master List Import'!$A$1:$P$519, 5, FALSE), ""), "")</f>
        <v>Pastries</v>
      </c>
      <c r="H388" s="69" t="str">
        <f>_xlfn.IFNA(IF('Interactive Selection Sheet'!A252 = "", VLOOKUP('Interactive Selection Sheet'!$B252, 'Master List Import'!$A$1:$P$519, 6, FALSE), ""), "")</f>
        <v>Both</v>
      </c>
      <c r="I388" s="72">
        <f>_xlfn.IFNA(IF('Interactive Selection Sheet'!A252 = "", VLOOKUP('Interactive Selection Sheet'!$B252, 'Master List Import'!$A$1:$P$519, 7, FALSE), ""), "")</f>
        <v>0.5877</v>
      </c>
      <c r="J388" s="69" t="str">
        <f>_xlfn.IFNA(IF('Interactive Selection Sheet'!A252 = "", VLOOKUP('Interactive Selection Sheet'!$B252, 'Master List Import'!$A$1:$P$519, 8, FALSE), ""), "")</f>
        <v>Vistar</v>
      </c>
      <c r="K388" s="69" t="str">
        <f>_xlfn.IFNA(IF('Interactive Selection Sheet'!A252 = "", VLOOKUP('Interactive Selection Sheet'!$B252, 'Master List Import'!$A$1:$P$519, 9, FALSE), ""), "")</f>
        <v>FLO5115513</v>
      </c>
      <c r="L388" s="69">
        <f>_xlfn.IFNA(IF('Interactive Selection Sheet'!A252 = "", VLOOKUP('Interactive Selection Sheet'!$B252, 'Master List Import'!$A$1:$P$519, 10, FALSE), ""), "")</f>
        <v>0</v>
      </c>
      <c r="M388" s="69">
        <f>_xlfn.IFNA(IF('Interactive Selection Sheet'!A252 = "", VLOOKUP('Interactive Selection Sheet'!$B252, 'Master List Import'!$A$1:$P$519, 11, FALSE), ""), "")</f>
        <v>0</v>
      </c>
      <c r="N388" s="69">
        <f>_xlfn.IFNA(IF('Interactive Selection Sheet'!A252 = "", VLOOKUP('Interactive Selection Sheet'!$B252, 'Master List Import'!$A$1:$P$519, 12, FALSE), ""), "")</f>
        <v>36</v>
      </c>
      <c r="O388" s="69">
        <f>_xlfn.IFNA(IF('Interactive Selection Sheet'!A252 = "", VLOOKUP('Interactive Selection Sheet'!$B252, 'Master List Import'!$A$1:$P$519, 13, FALSE), ""), "")</f>
        <v>7320</v>
      </c>
      <c r="P388" s="69" t="str">
        <f>_xlfn.IFNA(IF('Interactive Selection Sheet'!A252 = "", VLOOKUP('Interactive Selection Sheet'!$B252, 'Master List Import'!$A$1:$P$519, 14, FALSE), ""), "")</f>
        <v>Chocolate Cupcakes</v>
      </c>
      <c r="Q388" s="69">
        <f>_xlfn.IFNA(IF('Interactive Selection Sheet'!A252 = "", VLOOKUP('Interactive Selection Sheet'!$B252, 'Master List Import'!$A$1:$P$519, 15, FALSE), ""), "")</f>
        <v>1</v>
      </c>
      <c r="R388" s="74">
        <f>_xlfn.IFNA(IF('Interactive Selection Sheet'!A252 = "", VLOOKUP('Interactive Selection Sheet'!$B252, 'Master List Import'!$A$1:$P$519, 16, FALSE), ""), "")</f>
        <v>1.85</v>
      </c>
    </row>
    <row r="389" spans="1:18" ht="21.75" customHeight="1" x14ac:dyDescent="0.25">
      <c r="A389" s="69">
        <f>_xlfn.IFNA(IF('Interactive Selection Sheet'!A256 = "", VLOOKUP('Interactive Selection Sheet'!$B256, 'Master List Import'!$A$1:$P$519, 2, FALSE), ""), "")</f>
        <v>7326</v>
      </c>
      <c r="B389" s="69" t="str">
        <f>_xlfn.IFNA(IF('Interactive Selection Sheet'!A256 = "", VLOOKUP('Interactive Selection Sheet'!$B256, 'Master List Import'!$A$1:$P$519, 3, FALSE), ""), "")</f>
        <v>Mrs. Freshley's Swiss Rolls, 12ct - 24/c</v>
      </c>
      <c r="C389" s="76">
        <f>IF('Interactive Selection Sheet'!$T$2="", "", IF(B389="","",'Interactive Selection Sheet'!$T$2))</f>
        <v>3.5000000000000003E-2</v>
      </c>
      <c r="D389" s="70">
        <f>IF(B389 = "", "", 'Interactive Selection Sheet'!$P$2)</f>
        <v>4.4999999999999998E-2</v>
      </c>
      <c r="E389" s="70">
        <f>IF(B389="","", 'Interactive Selection Sheet'!$R$2)</f>
        <v>0.02</v>
      </c>
      <c r="F389" s="69" t="str">
        <f>_xlfn.IFNA(IF('Interactive Selection Sheet'!A256 = "", VLOOKUP('Interactive Selection Sheet'!$B256, 'Master List Import'!$A$1:$P$519, 4, FALSE), ""), "")</f>
        <v>Pastries</v>
      </c>
      <c r="G389" s="69" t="str">
        <f>_xlfn.IFNA(IF('Interactive Selection Sheet'!A256 = "", VLOOKUP('Interactive Selection Sheet'!$B256, 'Master List Import'!$A$1:$P$519, 5, FALSE), ""), "")</f>
        <v>Pastries</v>
      </c>
      <c r="H389" s="69" t="str">
        <f>_xlfn.IFNA(IF('Interactive Selection Sheet'!A256 = "", VLOOKUP('Interactive Selection Sheet'!$B256, 'Master List Import'!$A$1:$P$519, 6, FALSE), ""), "")</f>
        <v>Both</v>
      </c>
      <c r="I389" s="72">
        <f>_xlfn.IFNA(IF('Interactive Selection Sheet'!A256 = "", VLOOKUP('Interactive Selection Sheet'!$B256, 'Master List Import'!$A$1:$P$519, 7, FALSE), ""), "")</f>
        <v>1.3794999999999999</v>
      </c>
      <c r="J389" s="69" t="str">
        <f>_xlfn.IFNA(IF('Interactive Selection Sheet'!A256 = "", VLOOKUP('Interactive Selection Sheet'!$B256, 'Master List Import'!$A$1:$P$519, 8, FALSE), ""), "")</f>
        <v>Vistar</v>
      </c>
      <c r="K389" s="69" t="str">
        <f>_xlfn.IFNA(IF('Interactive Selection Sheet'!A256 = "", VLOOKUP('Interactive Selection Sheet'!$B256, 'Master List Import'!$A$1:$P$519, 9, FALSE), ""), "")</f>
        <v>FLO48016840</v>
      </c>
      <c r="L389" s="69">
        <f>_xlfn.IFNA(IF('Interactive Selection Sheet'!A256 = "", VLOOKUP('Interactive Selection Sheet'!$B256, 'Master List Import'!$A$1:$P$519, 10, FALSE), ""), "")</f>
        <v>0</v>
      </c>
      <c r="M389" s="69">
        <f>_xlfn.IFNA(IF('Interactive Selection Sheet'!A256 = "", VLOOKUP('Interactive Selection Sheet'!$B256, 'Master List Import'!$A$1:$P$519, 11, FALSE), ""), "")</f>
        <v>0</v>
      </c>
      <c r="N389" s="69">
        <f>_xlfn.IFNA(IF('Interactive Selection Sheet'!A256 = "", VLOOKUP('Interactive Selection Sheet'!$B256, 'Master List Import'!$A$1:$P$519, 12, FALSE), ""), "")</f>
        <v>24</v>
      </c>
      <c r="O389" s="69">
        <f>_xlfn.IFNA(IF('Interactive Selection Sheet'!A256 = "", VLOOKUP('Interactive Selection Sheet'!$B256, 'Master List Import'!$A$1:$P$519, 13, FALSE), ""), "")</f>
        <v>7326</v>
      </c>
      <c r="P389" s="69" t="str">
        <f>_xlfn.IFNA(IF('Interactive Selection Sheet'!A256 = "", VLOOKUP('Interactive Selection Sheet'!$B256, 'Master List Import'!$A$1:$P$519, 14, FALSE), ""), "")</f>
        <v>Swiss Rolls (12ct Box)</v>
      </c>
      <c r="Q389" s="69">
        <f>_xlfn.IFNA(IF('Interactive Selection Sheet'!A256 = "", VLOOKUP('Interactive Selection Sheet'!$B256, 'Master List Import'!$A$1:$P$519, 15, FALSE), ""), "")</f>
        <v>1</v>
      </c>
      <c r="R389" s="74">
        <f>_xlfn.IFNA(IF('Interactive Selection Sheet'!A256 = "", VLOOKUP('Interactive Selection Sheet'!$B256, 'Master List Import'!$A$1:$P$519, 16, FALSE), ""), "")</f>
        <v>4.8</v>
      </c>
    </row>
    <row r="390" spans="1:18" ht="21.75" customHeight="1" x14ac:dyDescent="0.25">
      <c r="A390" s="69">
        <f>_xlfn.IFNA(IF('Interactive Selection Sheet'!P6= "", VLOOKUP('Interactive Selection Sheet'!Q6, 'Master List Import'!$A$1:$P$519, 2, FALSE), ""), "")</f>
        <v>7327</v>
      </c>
      <c r="B390" s="69" t="str">
        <f>_xlfn.IFNA(IF('Interactive Selection Sheet'!P6= "", VLOOKUP('Interactive Selection Sheet'!Q6, 'Master List Import'!$A$1:$P$519, 3, FALSE), ""), "")</f>
        <v>Cake Golden Crème Fill, 2.55oz - 6/6cs</v>
      </c>
      <c r="C390" s="76">
        <f>IF('Interactive Selection Sheet'!$T$2="", "", IF(B390="","",'Interactive Selection Sheet'!$T$2))</f>
        <v>3.5000000000000003E-2</v>
      </c>
      <c r="D390" s="70">
        <f>IF(B390 = "", "", 'Interactive Selection Sheet'!$P$2)</f>
        <v>4.4999999999999998E-2</v>
      </c>
      <c r="E390" s="70">
        <f>IF(B390="","", 'Interactive Selection Sheet'!$R$2)</f>
        <v>0.02</v>
      </c>
      <c r="F390" s="69" t="str">
        <f>_xlfn.IFNA(IF('Interactive Selection Sheet'!F257= "", VLOOKUP('Interactive Selection Sheet'!Q6, 'Master List Import'!$A$1:$P$519, 4, FALSE), ""), "")</f>
        <v/>
      </c>
      <c r="G390" s="69" t="str">
        <f>_xlfn.IFNA(IF('Interactive Selection Sheet'!F257= "", VLOOKUP('Interactive Selection Sheet'!Q6, 'Master List Import'!$A$1:$P$519, 5, FALSE), ""), "")</f>
        <v/>
      </c>
      <c r="H390" s="69" t="str">
        <f>_xlfn.IFNA(IF('Interactive Selection Sheet'!F257= "", VLOOKUP('Interactive Selection Sheet'!Q6, 'Master List Import'!$A$1:$P$519, 6, FALSE), ""), "")</f>
        <v/>
      </c>
      <c r="I390" s="72" t="str">
        <f>_xlfn.IFNA(IF('Interactive Selection Sheet'!F257= "", VLOOKUP('Interactive Selection Sheet'!Q6, 'Master List Import'!$A$1:$P$519, 7, FALSE), ""), "")</f>
        <v/>
      </c>
      <c r="J390" s="69" t="str">
        <f>_xlfn.IFNA(IF('Interactive Selection Sheet'!F257= "", VLOOKUP('Interactive Selection Sheet'!Q6, 'Master List Import'!$A$1:$P$519, 8, FALSE), ""), "")</f>
        <v/>
      </c>
      <c r="K390" s="69" t="str">
        <f>_xlfn.IFNA(IF('Interactive Selection Sheet'!F257= "", VLOOKUP('Interactive Selection Sheet'!Q6, 'Master List Import'!$A$1:$P$519, 9, FALSE), ""), "")</f>
        <v/>
      </c>
      <c r="L390" s="69" t="str">
        <f>_xlfn.IFNA(IF('Interactive Selection Sheet'!F257= "", VLOOKUP('Interactive Selection Sheet'!Q6, 'Master List Import'!$A$1:$P$519, 10, FALSE), ""), "")</f>
        <v/>
      </c>
      <c r="M390" s="69" t="str">
        <f>_xlfn.IFNA(IF('Interactive Selection Sheet'!F257= "", VLOOKUP('Interactive Selection Sheet'!Q6, 'Master List Import'!$A$1:$P$519, 11, FALSE), ""), "")</f>
        <v/>
      </c>
      <c r="N390" s="69" t="str">
        <f>_xlfn.IFNA(IF('Interactive Selection Sheet'!F257= "", VLOOKUP('Interactive Selection Sheet'!Q6, 'Master List Import'!$A$1:$P$519, 12, FALSE), ""), "")</f>
        <v/>
      </c>
      <c r="O390" s="69" t="str">
        <f>_xlfn.IFNA(IF('Interactive Selection Sheet'!F257= "", VLOOKUP('Interactive Selection Sheet'!Q6, 'Master List Import'!$A$1:$P$519, 13, FALSE), ""), "")</f>
        <v/>
      </c>
      <c r="P390" s="69" t="str">
        <f>_xlfn.IFNA(IF('Interactive Selection Sheet'!F257= "", VLOOKUP('Interactive Selection Sheet'!Q6, 'Master List Import'!$A$1:$P$519, 14, FALSE), ""), "")</f>
        <v/>
      </c>
      <c r="Q390" s="69" t="str">
        <f>_xlfn.IFNA(IF('Interactive Selection Sheet'!F257= "", VLOOKUP('Interactive Selection Sheet'!Q6, 'Master List Import'!$A$1:$P$519, 15, FALSE), ""), "")</f>
        <v/>
      </c>
      <c r="R390" s="74" t="str">
        <f>_xlfn.IFNA(IF('Interactive Selection Sheet'!F257= "", VLOOKUP('Interactive Selection Sheet'!Q6, 'Master List Import'!$A$1:$P$519, 16, FALSE), ""), "")</f>
        <v/>
      </c>
    </row>
    <row r="391" spans="1:18" ht="21.75" customHeight="1" x14ac:dyDescent="0.25">
      <c r="A391" s="69">
        <f>_xlfn.IFNA(IF('Interactive Selection Sheet'!P7= "", VLOOKUP('Interactive Selection Sheet'!Q7, 'Master List Import'!$A$1:$P$519, 2, FALSE), ""), "")</f>
        <v>7329</v>
      </c>
      <c r="B391" s="69" t="str">
        <f>_xlfn.IFNA(IF('Interactive Selection Sheet'!P7= "", VLOOKUP('Interactive Selection Sheet'!Q7, 'Master List Import'!$A$1:$P$519, 3, FALSE), ""), "")</f>
        <v>Mrs. Freshley's Snowball Pink, 4.25oz - 6/8/cs</v>
      </c>
      <c r="C391" s="76">
        <f>IF('Interactive Selection Sheet'!$T$2="", "", IF(B391="","",'Interactive Selection Sheet'!$T$2))</f>
        <v>3.5000000000000003E-2</v>
      </c>
      <c r="D391" s="70">
        <f>IF(B391 = "", "", 'Interactive Selection Sheet'!$P$2)</f>
        <v>4.4999999999999998E-2</v>
      </c>
      <c r="E391" s="70">
        <f>IF(B391="","", 'Interactive Selection Sheet'!$R$2)</f>
        <v>0.02</v>
      </c>
      <c r="F391" s="69" t="str">
        <f>_xlfn.IFNA(IF('Interactive Selection Sheet'!F258= "", VLOOKUP('Interactive Selection Sheet'!Q7, 'Master List Import'!$A$1:$P$519, 4, FALSE), ""), "")</f>
        <v>Pastries</v>
      </c>
      <c r="G391" s="69" t="str">
        <f>_xlfn.IFNA(IF('Interactive Selection Sheet'!F258= "", VLOOKUP('Interactive Selection Sheet'!Q7, 'Master List Import'!$A$1:$P$519, 5, FALSE), ""), "")</f>
        <v>Pastries</v>
      </c>
      <c r="H391" s="69" t="str">
        <f>_xlfn.IFNA(IF('Interactive Selection Sheet'!F258= "", VLOOKUP('Interactive Selection Sheet'!Q7, 'Master List Import'!$A$1:$P$519, 6, FALSE), ""), "")</f>
        <v>Both</v>
      </c>
      <c r="I391" s="72">
        <f>_xlfn.IFNA(IF('Interactive Selection Sheet'!F258= "", VLOOKUP('Interactive Selection Sheet'!Q7, 'Master List Import'!$A$1:$P$519, 7, FALSE), ""), "")</f>
        <v>0.59889999999999999</v>
      </c>
      <c r="J391" s="69" t="str">
        <f>_xlfn.IFNA(IF('Interactive Selection Sheet'!F258= "", VLOOKUP('Interactive Selection Sheet'!Q7, 'Master List Import'!$A$1:$P$519, 8, FALSE), ""), "")</f>
        <v>Vistar</v>
      </c>
      <c r="K391" s="69" t="str">
        <f>_xlfn.IFNA(IF('Interactive Selection Sheet'!F258= "", VLOOKUP('Interactive Selection Sheet'!Q7, 'Master List Import'!$A$1:$P$519, 9, FALSE), ""), "")</f>
        <v>FLO48052850FOA</v>
      </c>
      <c r="L391" s="69">
        <f>_xlfn.IFNA(IF('Interactive Selection Sheet'!F258= "", VLOOKUP('Interactive Selection Sheet'!Q7, 'Master List Import'!$A$1:$P$519, 10, FALSE), ""), "")</f>
        <v>0</v>
      </c>
      <c r="M391" s="69">
        <f>_xlfn.IFNA(IF('Interactive Selection Sheet'!F258= "", VLOOKUP('Interactive Selection Sheet'!Q7, 'Master List Import'!$A$1:$P$519, 11, FALSE), ""), "")</f>
        <v>0</v>
      </c>
      <c r="N391" s="69">
        <f>_xlfn.IFNA(IF('Interactive Selection Sheet'!F258= "", VLOOKUP('Interactive Selection Sheet'!Q7, 'Master List Import'!$A$1:$P$519, 12, FALSE), ""), "")</f>
        <v>48</v>
      </c>
      <c r="O391" s="69">
        <f>_xlfn.IFNA(IF('Interactive Selection Sheet'!F258= "", VLOOKUP('Interactive Selection Sheet'!Q7, 'Master List Import'!$A$1:$P$519, 13, FALSE), ""), "")</f>
        <v>7329</v>
      </c>
      <c r="P391" s="69" t="str">
        <f>_xlfn.IFNA(IF('Interactive Selection Sheet'!F258= "", VLOOKUP('Interactive Selection Sheet'!Q7, 'Master List Import'!$A$1:$P$519, 14, FALSE), ""), "")</f>
        <v>Pink Snowballs</v>
      </c>
      <c r="Q391" s="69">
        <f>_xlfn.IFNA(IF('Interactive Selection Sheet'!F258= "", VLOOKUP('Interactive Selection Sheet'!Q7, 'Master List Import'!$A$1:$P$519, 15, FALSE), ""), "")</f>
        <v>1</v>
      </c>
      <c r="R391" s="74">
        <f>_xlfn.IFNA(IF('Interactive Selection Sheet'!F258= "", VLOOKUP('Interactive Selection Sheet'!Q7, 'Master List Import'!$A$1:$P$519, 16, FALSE), ""), "")</f>
        <v>2.35</v>
      </c>
    </row>
    <row r="392" spans="1:18" ht="21.75" customHeight="1" x14ac:dyDescent="0.25">
      <c r="A392" s="69">
        <f>_xlfn.IFNA(IF('Interactive Selection Sheet'!A257 = "", VLOOKUP('Interactive Selection Sheet'!$B257, 'Master List Import'!$A$1:$P$519, 2, FALSE), ""), "")</f>
        <v>7340</v>
      </c>
      <c r="B392" s="69" t="str">
        <f>_xlfn.IFNA(IF('Interactive Selection Sheet'!A257 = "", VLOOKUP('Interactive Selection Sheet'!$B257, 'Master List Import'!$A$1:$P$519, 3, FALSE), ""), "")</f>
        <v>Powdered Mini Donuts, 3oz - 6/12/cs</v>
      </c>
      <c r="C392" s="76">
        <f>IF('Interactive Selection Sheet'!$T$2="", "", IF(B392="","",'Interactive Selection Sheet'!$T$2))</f>
        <v>3.5000000000000003E-2</v>
      </c>
      <c r="D392" s="70">
        <f>IF(B392 = "", "", 'Interactive Selection Sheet'!$P$2)</f>
        <v>4.4999999999999998E-2</v>
      </c>
      <c r="E392" s="70">
        <f>IF(B392="","", 'Interactive Selection Sheet'!$R$2)</f>
        <v>0.02</v>
      </c>
      <c r="F392" s="69" t="str">
        <f>_xlfn.IFNA(IF('Interactive Selection Sheet'!A257 = "", VLOOKUP('Interactive Selection Sheet'!$B257, 'Master List Import'!$A$1:$P$519, 4, FALSE), ""), "")</f>
        <v>Pastries</v>
      </c>
      <c r="G392" s="69" t="str">
        <f>_xlfn.IFNA(IF('Interactive Selection Sheet'!A257 = "", VLOOKUP('Interactive Selection Sheet'!$B257, 'Master List Import'!$A$1:$P$519, 5, FALSE), ""), "")</f>
        <v>Pastries</v>
      </c>
      <c r="H392" s="69" t="str">
        <f>_xlfn.IFNA(IF('Interactive Selection Sheet'!A257 = "", VLOOKUP('Interactive Selection Sheet'!$B257, 'Master List Import'!$A$1:$P$519, 6, FALSE), ""), "")</f>
        <v>Both</v>
      </c>
      <c r="I392" s="72">
        <f>_xlfn.IFNA(IF('Interactive Selection Sheet'!A257 = "", VLOOKUP('Interactive Selection Sheet'!$B257, 'Master List Import'!$A$1:$P$519, 7, FALSE), ""), "")</f>
        <v>0.55940000000000001</v>
      </c>
      <c r="J392" s="69" t="str">
        <f>_xlfn.IFNA(IF('Interactive Selection Sheet'!A257 = "", VLOOKUP('Interactive Selection Sheet'!$B257, 'Master List Import'!$A$1:$P$519, 8, FALSE), ""), "")</f>
        <v>Vistar</v>
      </c>
      <c r="K392" s="69" t="str">
        <f>_xlfn.IFNA(IF('Interactive Selection Sheet'!A257 = "", VLOOKUP('Interactive Selection Sheet'!$B257, 'Master List Import'!$A$1:$P$519, 9, FALSE), ""), "")</f>
        <v>FLO48030632FOA</v>
      </c>
      <c r="L392" s="69">
        <f>_xlfn.IFNA(IF('Interactive Selection Sheet'!A257 = "", VLOOKUP('Interactive Selection Sheet'!$B257, 'Master List Import'!$A$1:$P$519, 10, FALSE), ""), "")</f>
        <v>0</v>
      </c>
      <c r="M392" s="69">
        <f>_xlfn.IFNA(IF('Interactive Selection Sheet'!A257 = "", VLOOKUP('Interactive Selection Sheet'!$B257, 'Master List Import'!$A$1:$P$519, 11, FALSE), ""), "")</f>
        <v>0</v>
      </c>
      <c r="N392" s="69">
        <f>_xlfn.IFNA(IF('Interactive Selection Sheet'!A257 = "", VLOOKUP('Interactive Selection Sheet'!$B257, 'Master List Import'!$A$1:$P$519, 12, FALSE), ""), "")</f>
        <v>72</v>
      </c>
      <c r="O392" s="69">
        <f>_xlfn.IFNA(IF('Interactive Selection Sheet'!A257 = "", VLOOKUP('Interactive Selection Sheet'!$B257, 'Master List Import'!$A$1:$P$519, 13, FALSE), ""), "")</f>
        <v>7340</v>
      </c>
      <c r="P392" s="69" t="str">
        <f>_xlfn.IFNA(IF('Interactive Selection Sheet'!A257 = "", VLOOKUP('Interactive Selection Sheet'!$B257, 'Master List Import'!$A$1:$P$519, 14, FALSE), ""), "")</f>
        <v>Mini Powdered Donuts</v>
      </c>
      <c r="Q392" s="69">
        <f>_xlfn.IFNA(IF('Interactive Selection Sheet'!A257 = "", VLOOKUP('Interactive Selection Sheet'!$B257, 'Master List Import'!$A$1:$P$519, 15, FALSE), ""), "")</f>
        <v>1</v>
      </c>
      <c r="R392" s="74">
        <f>_xlfn.IFNA(IF('Interactive Selection Sheet'!A257 = "", VLOOKUP('Interactive Selection Sheet'!$B257, 'Master List Import'!$A$1:$P$519, 16, FALSE), ""), "")</f>
        <v>1.85</v>
      </c>
    </row>
    <row r="393" spans="1:18" ht="21.75" customHeight="1" x14ac:dyDescent="0.25">
      <c r="A393" s="69">
        <f>_xlfn.IFNA(IF('Interactive Selection Sheet'!A258 = "", VLOOKUP('Interactive Selection Sheet'!$B258, 'Master List Import'!$A$1:$P$519, 2, FALSE), ""), "")</f>
        <v>7341</v>
      </c>
      <c r="B393" s="69" t="str">
        <f>_xlfn.IFNA(IF('Interactive Selection Sheet'!A258 = "", VLOOKUP('Interactive Selection Sheet'!$B258, 'Master List Import'!$A$1:$P$519, 3, FALSE), ""), "")</f>
        <v>Donut Stick 3ct 48/cs</v>
      </c>
      <c r="C393" s="76">
        <f>IF('Interactive Selection Sheet'!$T$2="", "", IF(B393="","",'Interactive Selection Sheet'!$T$2))</f>
        <v>3.5000000000000003E-2</v>
      </c>
      <c r="D393" s="70">
        <f>IF(B393 = "", "", 'Interactive Selection Sheet'!$P$2)</f>
        <v>4.4999999999999998E-2</v>
      </c>
      <c r="E393" s="70">
        <f>IF(B393="","", 'Interactive Selection Sheet'!$R$2)</f>
        <v>0.02</v>
      </c>
      <c r="F393" s="69" t="str">
        <f>_xlfn.IFNA(IF('Interactive Selection Sheet'!A258 = "", VLOOKUP('Interactive Selection Sheet'!$B258, 'Master List Import'!$A$1:$P$519, 4, FALSE), ""), "")</f>
        <v>Pastries</v>
      </c>
      <c r="G393" s="69" t="str">
        <f>_xlfn.IFNA(IF('Interactive Selection Sheet'!A258 = "", VLOOKUP('Interactive Selection Sheet'!$B258, 'Master List Import'!$A$1:$P$519, 5, FALSE), ""), "")</f>
        <v>Pastries</v>
      </c>
      <c r="H393" s="69" t="str">
        <f>_xlfn.IFNA(IF('Interactive Selection Sheet'!A258 = "", VLOOKUP('Interactive Selection Sheet'!$B258, 'Master List Import'!$A$1:$P$519, 6, FALSE), ""), "")</f>
        <v>Both</v>
      </c>
      <c r="I393" s="72">
        <f>_xlfn.IFNA(IF('Interactive Selection Sheet'!A258 = "", VLOOKUP('Interactive Selection Sheet'!$B258, 'Master List Import'!$A$1:$P$519, 7, FALSE), ""), "")</f>
        <v>0.5706</v>
      </c>
      <c r="J393" s="69" t="str">
        <f>_xlfn.IFNA(IF('Interactive Selection Sheet'!A258 = "", VLOOKUP('Interactive Selection Sheet'!$B258, 'Master List Import'!$A$1:$P$519, 8, FALSE), ""), "")</f>
        <v>Vistar</v>
      </c>
      <c r="K393" s="69" t="str">
        <f>_xlfn.IFNA(IF('Interactive Selection Sheet'!A258 = "", VLOOKUP('Interactive Selection Sheet'!$B258, 'Master List Import'!$A$1:$P$519, 9, FALSE), ""), "")</f>
        <v>FLO48033450</v>
      </c>
      <c r="L393" s="69">
        <f>_xlfn.IFNA(IF('Interactive Selection Sheet'!A258 = "", VLOOKUP('Interactive Selection Sheet'!$B258, 'Master List Import'!$A$1:$P$519, 10, FALSE), ""), "")</f>
        <v>0</v>
      </c>
      <c r="M393" s="69">
        <f>_xlfn.IFNA(IF('Interactive Selection Sheet'!A258 = "", VLOOKUP('Interactive Selection Sheet'!$B258, 'Master List Import'!$A$1:$P$519, 11, FALSE), ""), "")</f>
        <v>0</v>
      </c>
      <c r="N393" s="69">
        <f>_xlfn.IFNA(IF('Interactive Selection Sheet'!A258 = "", VLOOKUP('Interactive Selection Sheet'!$B258, 'Master List Import'!$A$1:$P$519, 12, FALSE), ""), "")</f>
        <v>48</v>
      </c>
      <c r="O393" s="69">
        <f>_xlfn.IFNA(IF('Interactive Selection Sheet'!A258 = "", VLOOKUP('Interactive Selection Sheet'!$B258, 'Master List Import'!$A$1:$P$519, 13, FALSE), ""), "")</f>
        <v>7341</v>
      </c>
      <c r="P393" s="69" t="str">
        <f>_xlfn.IFNA(IF('Interactive Selection Sheet'!A258 = "", VLOOKUP('Interactive Selection Sheet'!$B258, 'Master List Import'!$A$1:$P$519, 14, FALSE), ""), "")</f>
        <v>Donut Sticks</v>
      </c>
      <c r="Q393" s="69">
        <f>_xlfn.IFNA(IF('Interactive Selection Sheet'!A258 = "", VLOOKUP('Interactive Selection Sheet'!$B258, 'Master List Import'!$A$1:$P$519, 15, FALSE), ""), "")</f>
        <v>1</v>
      </c>
      <c r="R393" s="74">
        <f>_xlfn.IFNA(IF('Interactive Selection Sheet'!A258 = "", VLOOKUP('Interactive Selection Sheet'!$B258, 'Master List Import'!$A$1:$P$519, 16, FALSE), ""), "")</f>
        <v>1.85</v>
      </c>
    </row>
    <row r="394" spans="1:18" ht="21.75" customHeight="1" x14ac:dyDescent="0.25">
      <c r="A394" s="69">
        <f>_xlfn.IFNA(IF('Interactive Selection Sheet'!A259 = "", VLOOKUP('Interactive Selection Sheet'!$B259, 'Master List Import'!$A$1:$P$519, 2, FALSE), ""), "")</f>
        <v>7342</v>
      </c>
      <c r="B394" s="69" t="str">
        <f>_xlfn.IFNA(IF('Interactive Selection Sheet'!A259 = "", VLOOKUP('Interactive Selection Sheet'!$B259, 'Master List Import'!$A$1:$P$519, 3, FALSE), ""), "")</f>
        <v>Mrs. Freshley's Crunch Mini Donuts, 3.4oz - 6/12/cs</v>
      </c>
      <c r="C394" s="76">
        <f>IF('Interactive Selection Sheet'!$T$2="", "", IF(B394="","",'Interactive Selection Sheet'!$T$2))</f>
        <v>3.5000000000000003E-2</v>
      </c>
      <c r="D394" s="70">
        <f>IF(B394 = "", "", 'Interactive Selection Sheet'!$P$2)</f>
        <v>4.4999999999999998E-2</v>
      </c>
      <c r="E394" s="70">
        <f>IF(B394="","", 'Interactive Selection Sheet'!$R$2)</f>
        <v>0.02</v>
      </c>
      <c r="F394" s="69" t="str">
        <f>_xlfn.IFNA(IF('Interactive Selection Sheet'!A259 = "", VLOOKUP('Interactive Selection Sheet'!$B259, 'Master List Import'!$A$1:$P$519, 4, FALSE), ""), "")</f>
        <v>Pastries</v>
      </c>
      <c r="G394" s="69" t="str">
        <f>_xlfn.IFNA(IF('Interactive Selection Sheet'!A259 = "", VLOOKUP('Interactive Selection Sheet'!$B259, 'Master List Import'!$A$1:$P$519, 5, FALSE), ""), "")</f>
        <v>Pastries</v>
      </c>
      <c r="H394" s="69" t="str">
        <f>_xlfn.IFNA(IF('Interactive Selection Sheet'!A259 = "", VLOOKUP('Interactive Selection Sheet'!$B259, 'Master List Import'!$A$1:$P$519, 6, FALSE), ""), "")</f>
        <v>Both</v>
      </c>
      <c r="I394" s="72">
        <f>_xlfn.IFNA(IF('Interactive Selection Sheet'!A259 = "", VLOOKUP('Interactive Selection Sheet'!$B259, 'Master List Import'!$A$1:$P$519, 7, FALSE), ""), "")</f>
        <v>0.6</v>
      </c>
      <c r="J394" s="69" t="str">
        <f>_xlfn.IFNA(IF('Interactive Selection Sheet'!A259 = "", VLOOKUP('Interactive Selection Sheet'!$B259, 'Master List Import'!$A$1:$P$519, 8, FALSE), ""), "")</f>
        <v>REI</v>
      </c>
      <c r="K394" s="69" t="str">
        <f>_xlfn.IFNA(IF('Interactive Selection Sheet'!A259 = "", VLOOKUP('Interactive Selection Sheet'!$B259, 'Master List Import'!$A$1:$P$519, 9, FALSE), ""), "")</f>
        <v>802107</v>
      </c>
      <c r="L394" s="69">
        <f>_xlfn.IFNA(IF('Interactive Selection Sheet'!A259 = "", VLOOKUP('Interactive Selection Sheet'!$B259, 'Master List Import'!$A$1:$P$519, 10, FALSE), ""), "")</f>
        <v>0</v>
      </c>
      <c r="M394" s="69">
        <f>_xlfn.IFNA(IF('Interactive Selection Sheet'!A259 = "", VLOOKUP('Interactive Selection Sheet'!$B259, 'Master List Import'!$A$1:$P$519, 11, FALSE), ""), "")</f>
        <v>0</v>
      </c>
      <c r="N394" s="69">
        <f>_xlfn.IFNA(IF('Interactive Selection Sheet'!A259 = "", VLOOKUP('Interactive Selection Sheet'!$B259, 'Master List Import'!$A$1:$P$519, 12, FALSE), ""), "")</f>
        <v>72</v>
      </c>
      <c r="O394" s="69">
        <f>_xlfn.IFNA(IF('Interactive Selection Sheet'!A259 = "", VLOOKUP('Interactive Selection Sheet'!$B259, 'Master List Import'!$A$1:$P$519, 13, FALSE), ""), "")</f>
        <v>7342</v>
      </c>
      <c r="P394" s="69" t="str">
        <f>_xlfn.IFNA(IF('Interactive Selection Sheet'!A259 = "", VLOOKUP('Interactive Selection Sheet'!$B259, 'Master List Import'!$A$1:$P$519, 14, FALSE), ""), "")</f>
        <v>Mini Crunchy Donut</v>
      </c>
      <c r="Q394" s="69">
        <f>_xlfn.IFNA(IF('Interactive Selection Sheet'!A259 = "", VLOOKUP('Interactive Selection Sheet'!$B259, 'Master List Import'!$A$1:$P$519, 15, FALSE), ""), "")</f>
        <v>1</v>
      </c>
      <c r="R394" s="74">
        <f>_xlfn.IFNA(IF('Interactive Selection Sheet'!A259 = "", VLOOKUP('Interactive Selection Sheet'!$B259, 'Master List Import'!$A$1:$P$519, 16, FALSE), ""), "")</f>
        <v>1.85</v>
      </c>
    </row>
    <row r="395" spans="1:18" ht="21.75" customHeight="1" x14ac:dyDescent="0.25">
      <c r="A395" s="69">
        <f>_xlfn.IFNA(IF('Interactive Selection Sheet'!A260 = "", VLOOKUP('Interactive Selection Sheet'!$B260, 'Master List Import'!$A$1:$P$519, 2, FALSE), ""), "")</f>
        <v>7350</v>
      </c>
      <c r="B395" s="69" t="str">
        <f>_xlfn.IFNA(IF('Interactive Selection Sheet'!A260 = "", VLOOKUP('Interactive Selection Sheet'!$B260, 'Master List Import'!$A$1:$P$519, 3, FALSE), ""), "")</f>
        <v>Brownie Oreo, 3oz - 6/8/cs</v>
      </c>
      <c r="C395" s="76">
        <f>IF('Interactive Selection Sheet'!$T$2="", "", IF(B395="","",'Interactive Selection Sheet'!$T$2))</f>
        <v>3.5000000000000003E-2</v>
      </c>
      <c r="D395" s="70">
        <f>IF(B395 = "", "", 'Interactive Selection Sheet'!$P$2)</f>
        <v>4.4999999999999998E-2</v>
      </c>
      <c r="E395" s="70">
        <f>IF(B395="","", 'Interactive Selection Sheet'!$R$2)</f>
        <v>0.02</v>
      </c>
      <c r="F395" s="69" t="str">
        <f>_xlfn.IFNA(IF('Interactive Selection Sheet'!A260 = "", VLOOKUP('Interactive Selection Sheet'!$B260, 'Master List Import'!$A$1:$P$519, 4, FALSE), ""), "")</f>
        <v>Pastries</v>
      </c>
      <c r="G395" s="69" t="str">
        <f>_xlfn.IFNA(IF('Interactive Selection Sheet'!A260 = "", VLOOKUP('Interactive Selection Sheet'!$B260, 'Master List Import'!$A$1:$P$519, 5, FALSE), ""), "")</f>
        <v>Pastries</v>
      </c>
      <c r="H395" s="69" t="str">
        <f>_xlfn.IFNA(IF('Interactive Selection Sheet'!A260 = "", VLOOKUP('Interactive Selection Sheet'!$B260, 'Master List Import'!$A$1:$P$519, 6, FALSE), ""), "")</f>
        <v>Both</v>
      </c>
      <c r="I395" s="72">
        <f>_xlfn.IFNA(IF('Interactive Selection Sheet'!A260 = "", VLOOKUP('Interactive Selection Sheet'!$B260, 'Master List Import'!$A$1:$P$519, 7, FALSE), ""), "")</f>
        <v>0.67810000000000004</v>
      </c>
      <c r="J395" s="69" t="str">
        <f>_xlfn.IFNA(IF('Interactive Selection Sheet'!A260 = "", VLOOKUP('Interactive Selection Sheet'!$B260, 'Master List Import'!$A$1:$P$519, 8, FALSE), ""), "")</f>
        <v>Vistar</v>
      </c>
      <c r="K395" s="69" t="str">
        <f>_xlfn.IFNA(IF('Interactive Selection Sheet'!A260 = "", VLOOKUP('Interactive Selection Sheet'!$B260, 'Master List Import'!$A$1:$P$519, 9, FALSE), ""), "")</f>
        <v>FLO51075</v>
      </c>
      <c r="L395" s="69">
        <f>_xlfn.IFNA(IF('Interactive Selection Sheet'!A260 = "", VLOOKUP('Interactive Selection Sheet'!$B260, 'Master List Import'!$A$1:$P$519, 10, FALSE), ""), "")</f>
        <v>0</v>
      </c>
      <c r="M395" s="69">
        <f>_xlfn.IFNA(IF('Interactive Selection Sheet'!A260 = "", VLOOKUP('Interactive Selection Sheet'!$B260, 'Master List Import'!$A$1:$P$519, 11, FALSE), ""), "")</f>
        <v>0</v>
      </c>
      <c r="N395" s="69">
        <f>_xlfn.IFNA(IF('Interactive Selection Sheet'!A260 = "", VLOOKUP('Interactive Selection Sheet'!$B260, 'Master List Import'!$A$1:$P$519, 12, FALSE), ""), "")</f>
        <v>48</v>
      </c>
      <c r="O395" s="69">
        <f>_xlfn.IFNA(IF('Interactive Selection Sheet'!A260 = "", VLOOKUP('Interactive Selection Sheet'!$B260, 'Master List Import'!$A$1:$P$519, 13, FALSE), ""), "")</f>
        <v>7350</v>
      </c>
      <c r="P395" s="69" t="str">
        <f>_xlfn.IFNA(IF('Interactive Selection Sheet'!A260 = "", VLOOKUP('Interactive Selection Sheet'!$B260, 'Master List Import'!$A$1:$P$519, 14, FALSE), ""), "")</f>
        <v>Brownie Oreo</v>
      </c>
      <c r="Q395" s="69">
        <f>_xlfn.IFNA(IF('Interactive Selection Sheet'!A260 = "", VLOOKUP('Interactive Selection Sheet'!$B260, 'Master List Import'!$A$1:$P$519, 15, FALSE), ""), "")</f>
        <v>1</v>
      </c>
      <c r="R395" s="74">
        <f>_xlfn.IFNA(IF('Interactive Selection Sheet'!A260 = "", VLOOKUP('Interactive Selection Sheet'!$B260, 'Master List Import'!$A$1:$P$519, 16, FALSE), ""), "")</f>
        <v>2</v>
      </c>
    </row>
    <row r="396" spans="1:18" ht="21.75" customHeight="1" x14ac:dyDescent="0.25">
      <c r="A396" s="69">
        <f>_xlfn.IFNA(IF('Interactive Selection Sheet'!A261 = "", VLOOKUP('Interactive Selection Sheet'!$B261, 'Master List Import'!$A$1:$P$519, 2, FALSE), ""), "")</f>
        <v>7360</v>
      </c>
      <c r="B396" s="69" t="str">
        <f>_xlfn.IFNA(IF('Interactive Selection Sheet'!A261 = "", VLOOKUP('Interactive Selection Sheet'!$B261, 'Master List Import'!$A$1:$P$519, 3, FALSE), ""), "")</f>
        <v>Banana Moon Pie, Dbl Decker, 2.75oz - 9/9/cs</v>
      </c>
      <c r="C396" s="76">
        <f>IF('Interactive Selection Sheet'!$T$2="", "", IF(B396="","",'Interactive Selection Sheet'!$T$2))</f>
        <v>3.5000000000000003E-2</v>
      </c>
      <c r="D396" s="70">
        <f>IF(B396 = "", "", 'Interactive Selection Sheet'!$P$2)</f>
        <v>4.4999999999999998E-2</v>
      </c>
      <c r="E396" s="70">
        <f>IF(B396="","", 'Interactive Selection Sheet'!$R$2)</f>
        <v>0.02</v>
      </c>
      <c r="F396" s="69" t="str">
        <f>_xlfn.IFNA(IF('Interactive Selection Sheet'!A261 = "", VLOOKUP('Interactive Selection Sheet'!$B261, 'Master List Import'!$A$1:$P$519, 4, FALSE), ""), "")</f>
        <v>Snacks - Cookies/Crackers</v>
      </c>
      <c r="G396" s="69" t="str">
        <f>_xlfn.IFNA(IF('Interactive Selection Sheet'!A261 = "", VLOOKUP('Interactive Selection Sheet'!$B261, 'Master List Import'!$A$1:$P$519, 5, FALSE), ""), "")</f>
        <v>Snacks - Cookies/Crackers</v>
      </c>
      <c r="H396" s="69" t="str">
        <f>_xlfn.IFNA(IF('Interactive Selection Sheet'!A261 = "", VLOOKUP('Interactive Selection Sheet'!$B261, 'Master List Import'!$A$1:$P$519, 6, FALSE), ""), "")</f>
        <v>Both</v>
      </c>
      <c r="I396" s="72">
        <f>_xlfn.IFNA(IF('Interactive Selection Sheet'!A261 = "", VLOOKUP('Interactive Selection Sheet'!$B261, 'Master List Import'!$A$1:$P$519, 7, FALSE), ""), "")</f>
        <v>0.46289999999999998</v>
      </c>
      <c r="J396" s="69" t="str">
        <f>_xlfn.IFNA(IF('Interactive Selection Sheet'!A261 = "", VLOOKUP('Interactive Selection Sheet'!$B261, 'Master List Import'!$A$1:$P$519, 8, FALSE), ""), "")</f>
        <v>Reinhart Foodservice</v>
      </c>
      <c r="K396" s="69" t="str">
        <f>_xlfn.IFNA(IF('Interactive Selection Sheet'!A261 = "", VLOOKUP('Interactive Selection Sheet'!$B261, 'Master List Import'!$A$1:$P$519, 9, FALSE), ""), "")</f>
        <v>NK152</v>
      </c>
      <c r="L396" s="69">
        <f>_xlfn.IFNA(IF('Interactive Selection Sheet'!A261 = "", VLOOKUP('Interactive Selection Sheet'!$B261, 'Master List Import'!$A$1:$P$519, 10, FALSE), ""), "")</f>
        <v>0</v>
      </c>
      <c r="M396" s="69">
        <f>_xlfn.IFNA(IF('Interactive Selection Sheet'!A261 = "", VLOOKUP('Interactive Selection Sheet'!$B261, 'Master List Import'!$A$1:$P$519, 11, FALSE), ""), "")</f>
        <v>0</v>
      </c>
      <c r="N396" s="69">
        <f>_xlfn.IFNA(IF('Interactive Selection Sheet'!A261 = "", VLOOKUP('Interactive Selection Sheet'!$B261, 'Master List Import'!$A$1:$P$519, 12, FALSE), ""), "")</f>
        <v>81</v>
      </c>
      <c r="O396" s="69">
        <f>_xlfn.IFNA(IF('Interactive Selection Sheet'!A261 = "", VLOOKUP('Interactive Selection Sheet'!$B261, 'Master List Import'!$A$1:$P$519, 13, FALSE), ""), "")</f>
        <v>7360</v>
      </c>
      <c r="P396" s="69" t="str">
        <f>_xlfn.IFNA(IF('Interactive Selection Sheet'!A261 = "", VLOOKUP('Interactive Selection Sheet'!$B261, 'Master List Import'!$A$1:$P$519, 14, FALSE), ""), "")</f>
        <v>Banana Moon Pie</v>
      </c>
      <c r="Q396" s="69">
        <f>_xlfn.IFNA(IF('Interactive Selection Sheet'!A261 = "", VLOOKUP('Interactive Selection Sheet'!$B261, 'Master List Import'!$A$1:$P$519, 15, FALSE), ""), "")</f>
        <v>1</v>
      </c>
      <c r="R396" s="74">
        <f>_xlfn.IFNA(IF('Interactive Selection Sheet'!A261 = "", VLOOKUP('Interactive Selection Sheet'!$B261, 'Master List Import'!$A$1:$P$519, 16, FALSE), ""), "")</f>
        <v>1.4</v>
      </c>
    </row>
    <row r="397" spans="1:18" ht="21.75" customHeight="1" x14ac:dyDescent="0.25">
      <c r="A397" s="69">
        <f>_xlfn.IFNA(IF('Interactive Selection Sheet'!A262 = "", VLOOKUP('Interactive Selection Sheet'!$B262, 'Master List Import'!$A$1:$P$519, 2, FALSE), ""), "")</f>
        <v>7361</v>
      </c>
      <c r="B397" s="69" t="str">
        <f>_xlfn.IFNA(IF('Interactive Selection Sheet'!A262 = "", VLOOKUP('Interactive Selection Sheet'!$B262, 'Master List Import'!$A$1:$P$519, 3, FALSE), ""), "")</f>
        <v>Vanilla Moon Pie, Dbl Decker, 2.75oz - 6/9/cs</v>
      </c>
      <c r="C397" s="76">
        <f>IF('Interactive Selection Sheet'!$T$2="", "", IF(B397="","",'Interactive Selection Sheet'!$T$2))</f>
        <v>3.5000000000000003E-2</v>
      </c>
      <c r="D397" s="70">
        <f>IF(B397 = "", "", 'Interactive Selection Sheet'!$P$2)</f>
        <v>4.4999999999999998E-2</v>
      </c>
      <c r="E397" s="70">
        <f>IF(B397="","", 'Interactive Selection Sheet'!$R$2)</f>
        <v>0.02</v>
      </c>
      <c r="F397" s="69" t="str">
        <f>_xlfn.IFNA(IF('Interactive Selection Sheet'!A262 = "", VLOOKUP('Interactive Selection Sheet'!$B262, 'Master List Import'!$A$1:$P$519, 4, FALSE), ""), "")</f>
        <v>Snacks - Cookies/Crackers</v>
      </c>
      <c r="G397" s="69" t="str">
        <f>_xlfn.IFNA(IF('Interactive Selection Sheet'!A262 = "", VLOOKUP('Interactive Selection Sheet'!$B262, 'Master List Import'!$A$1:$P$519, 5, FALSE), ""), "")</f>
        <v>Snacks - Cookies/Crackers</v>
      </c>
      <c r="H397" s="69" t="str">
        <f>_xlfn.IFNA(IF('Interactive Selection Sheet'!A262 = "", VLOOKUP('Interactive Selection Sheet'!$B262, 'Master List Import'!$A$1:$P$519, 6, FALSE), ""), "")</f>
        <v>Both</v>
      </c>
      <c r="I397" s="72">
        <f>_xlfn.IFNA(IF('Interactive Selection Sheet'!A262 = "", VLOOKUP('Interactive Selection Sheet'!$B262, 'Master List Import'!$A$1:$P$519, 7, FALSE), ""), "")</f>
        <v>0.42</v>
      </c>
      <c r="J397" s="69" t="str">
        <f>_xlfn.IFNA(IF('Interactive Selection Sheet'!A262 = "", VLOOKUP('Interactive Selection Sheet'!$B262, 'Master List Import'!$A$1:$P$519, 8, FALSE), ""), "")</f>
        <v>Reinhart Foodservice</v>
      </c>
      <c r="K397" s="69" t="str">
        <f>_xlfn.IFNA(IF('Interactive Selection Sheet'!A262 = "", VLOOKUP('Interactive Selection Sheet'!$B262, 'Master List Import'!$A$1:$P$519, 9, FALSE), ""), "")</f>
        <v>P5290</v>
      </c>
      <c r="L397" s="69">
        <f>_xlfn.IFNA(IF('Interactive Selection Sheet'!A262 = "", VLOOKUP('Interactive Selection Sheet'!$B262, 'Master List Import'!$A$1:$P$519, 10, FALSE), ""), "")</f>
        <v>0</v>
      </c>
      <c r="M397" s="69">
        <f>_xlfn.IFNA(IF('Interactive Selection Sheet'!A262 = "", VLOOKUP('Interactive Selection Sheet'!$B262, 'Master List Import'!$A$1:$P$519, 11, FALSE), ""), "")</f>
        <v>0</v>
      </c>
      <c r="N397" s="69">
        <f>_xlfn.IFNA(IF('Interactive Selection Sheet'!A262 = "", VLOOKUP('Interactive Selection Sheet'!$B262, 'Master List Import'!$A$1:$P$519, 12, FALSE), ""), "")</f>
        <v>54</v>
      </c>
      <c r="O397" s="69">
        <f>_xlfn.IFNA(IF('Interactive Selection Sheet'!A262 = "", VLOOKUP('Interactive Selection Sheet'!$B262, 'Master List Import'!$A$1:$P$519, 13, FALSE), ""), "")</f>
        <v>7361</v>
      </c>
      <c r="P397" s="69" t="str">
        <f>_xlfn.IFNA(IF('Interactive Selection Sheet'!A262 = "", VLOOKUP('Interactive Selection Sheet'!$B262, 'Master List Import'!$A$1:$P$519, 14, FALSE), ""), "")</f>
        <v>Vanilla Moon Pie</v>
      </c>
      <c r="Q397" s="69">
        <f>_xlfn.IFNA(IF('Interactive Selection Sheet'!A262 = "", VLOOKUP('Interactive Selection Sheet'!$B262, 'Master List Import'!$A$1:$P$519, 15, FALSE), ""), "")</f>
        <v>1</v>
      </c>
      <c r="R397" s="74">
        <f>_xlfn.IFNA(IF('Interactive Selection Sheet'!A262 = "", VLOOKUP('Interactive Selection Sheet'!$B262, 'Master List Import'!$A$1:$P$519, 16, FALSE), ""), "")</f>
        <v>1.4</v>
      </c>
    </row>
    <row r="398" spans="1:18" ht="21.75" customHeight="1" x14ac:dyDescent="0.25">
      <c r="A398" s="69">
        <f>_xlfn.IFNA(IF('Interactive Selection Sheet'!A263 = "", VLOOKUP('Interactive Selection Sheet'!$B263, 'Master List Import'!$A$1:$P$519, 2, FALSE), ""), "")</f>
        <v>7362</v>
      </c>
      <c r="B398" s="69" t="str">
        <f>_xlfn.IFNA(IF('Interactive Selection Sheet'!A263 = "", VLOOKUP('Interactive Selection Sheet'!$B263, 'Master List Import'!$A$1:$P$519, 3, FALSE), ""), "")</f>
        <v>Chocolate Moon Pie, Dbl Decker, 2.75oz - 6/9/cs</v>
      </c>
      <c r="C398" s="76">
        <f>IF('Interactive Selection Sheet'!$T$2="", "", IF(B398="","",'Interactive Selection Sheet'!$T$2))</f>
        <v>3.5000000000000003E-2</v>
      </c>
      <c r="D398" s="70">
        <f>IF(B398 = "", "", 'Interactive Selection Sheet'!$P$2)</f>
        <v>4.4999999999999998E-2</v>
      </c>
      <c r="E398" s="70">
        <f>IF(B398="","", 'Interactive Selection Sheet'!$R$2)</f>
        <v>0.02</v>
      </c>
      <c r="F398" s="69" t="str">
        <f>_xlfn.IFNA(IF('Interactive Selection Sheet'!A263 = "", VLOOKUP('Interactive Selection Sheet'!$B263, 'Master List Import'!$A$1:$P$519, 4, FALSE), ""), "")</f>
        <v>Snacks - Cookies/Crackers</v>
      </c>
      <c r="G398" s="69" t="str">
        <f>_xlfn.IFNA(IF('Interactive Selection Sheet'!A263 = "", VLOOKUP('Interactive Selection Sheet'!$B263, 'Master List Import'!$A$1:$P$519, 5, FALSE), ""), "")</f>
        <v>Snacks - Cookies/Crackers</v>
      </c>
      <c r="H398" s="69" t="str">
        <f>_xlfn.IFNA(IF('Interactive Selection Sheet'!A263 = "", VLOOKUP('Interactive Selection Sheet'!$B263, 'Master List Import'!$A$1:$P$519, 6, FALSE), ""), "")</f>
        <v>Both</v>
      </c>
      <c r="I398" s="72">
        <f>_xlfn.IFNA(IF('Interactive Selection Sheet'!A263 = "", VLOOKUP('Interactive Selection Sheet'!$B263, 'Master List Import'!$A$1:$P$519, 7, FALSE), ""), "")</f>
        <v>0.46110000000000001</v>
      </c>
      <c r="J398" s="69" t="str">
        <f>_xlfn.IFNA(IF('Interactive Selection Sheet'!A263 = "", VLOOKUP('Interactive Selection Sheet'!$B263, 'Master List Import'!$A$1:$P$519, 8, FALSE), ""), "")</f>
        <v>Reinhart Foodservice</v>
      </c>
      <c r="K398" s="69" t="str">
        <f>_xlfn.IFNA(IF('Interactive Selection Sheet'!A263 = "", VLOOKUP('Interactive Selection Sheet'!$B263, 'Master List Import'!$A$1:$P$519, 9, FALSE), ""), "")</f>
        <v>NK154</v>
      </c>
      <c r="L398" s="69">
        <f>_xlfn.IFNA(IF('Interactive Selection Sheet'!A263 = "", VLOOKUP('Interactive Selection Sheet'!$B263, 'Master List Import'!$A$1:$P$519, 10, FALSE), ""), "")</f>
        <v>0</v>
      </c>
      <c r="M398" s="69">
        <f>_xlfn.IFNA(IF('Interactive Selection Sheet'!A263 = "", VLOOKUP('Interactive Selection Sheet'!$B263, 'Master List Import'!$A$1:$P$519, 11, FALSE), ""), "")</f>
        <v>0</v>
      </c>
      <c r="N398" s="69">
        <f>_xlfn.IFNA(IF('Interactive Selection Sheet'!A263 = "", VLOOKUP('Interactive Selection Sheet'!$B263, 'Master List Import'!$A$1:$P$519, 12, FALSE), ""), "")</f>
        <v>54</v>
      </c>
      <c r="O398" s="69">
        <f>_xlfn.IFNA(IF('Interactive Selection Sheet'!A263 = "", VLOOKUP('Interactive Selection Sheet'!$B263, 'Master List Import'!$A$1:$P$519, 13, FALSE), ""), "")</f>
        <v>7362</v>
      </c>
      <c r="P398" s="69" t="str">
        <f>_xlfn.IFNA(IF('Interactive Selection Sheet'!A263 = "", VLOOKUP('Interactive Selection Sheet'!$B263, 'Master List Import'!$A$1:$P$519, 14, FALSE), ""), "")</f>
        <v>Chocolate Moon Pie</v>
      </c>
      <c r="Q398" s="69">
        <f>_xlfn.IFNA(IF('Interactive Selection Sheet'!A263 = "", VLOOKUP('Interactive Selection Sheet'!$B263, 'Master List Import'!$A$1:$P$519, 15, FALSE), ""), "")</f>
        <v>1</v>
      </c>
      <c r="R398" s="74">
        <f>_xlfn.IFNA(IF('Interactive Selection Sheet'!A263 = "", VLOOKUP('Interactive Selection Sheet'!$B263, 'Master List Import'!$A$1:$P$519, 16, FALSE), ""), "")</f>
        <v>1.4</v>
      </c>
    </row>
    <row r="399" spans="1:18" ht="21.75" customHeight="1" x14ac:dyDescent="0.25">
      <c r="A399" s="69">
        <f>_xlfn.IFNA(IF('Interactive Selection Sheet'!A264 = "", VLOOKUP('Interactive Selection Sheet'!$B264, 'Master List Import'!$A$1:$P$519, 2, FALSE), ""), "")</f>
        <v>7363</v>
      </c>
      <c r="B399" s="69" t="str">
        <f>_xlfn.IFNA(IF('Interactive Selection Sheet'!A264 = "", VLOOKUP('Interactive Selection Sheet'!$B264, 'Master List Import'!$A$1:$P$519, 3, FALSE), ""), "")</f>
        <v>Moon Pies-Salted Caramel, 2.75oz - 54/cs</v>
      </c>
      <c r="C399" s="76">
        <f>IF('Interactive Selection Sheet'!$T$2="", "", IF(B399="","",'Interactive Selection Sheet'!$T$2))</f>
        <v>3.5000000000000003E-2</v>
      </c>
      <c r="D399" s="70">
        <f>IF(B399 = "", "", 'Interactive Selection Sheet'!$P$2)</f>
        <v>4.4999999999999998E-2</v>
      </c>
      <c r="E399" s="70">
        <f>IF(B399="","", 'Interactive Selection Sheet'!$R$2)</f>
        <v>0.02</v>
      </c>
      <c r="F399" s="69" t="str">
        <f>_xlfn.IFNA(IF('Interactive Selection Sheet'!A264 = "", VLOOKUP('Interactive Selection Sheet'!$B264, 'Master List Import'!$A$1:$P$519, 4, FALSE), ""), "")</f>
        <v>Seasonal</v>
      </c>
      <c r="G399" s="69" t="str">
        <f>_xlfn.IFNA(IF('Interactive Selection Sheet'!A264 = "", VLOOKUP('Interactive Selection Sheet'!$B264, 'Master List Import'!$A$1:$P$519, 5, FALSE), ""), "")</f>
        <v>Seasonal</v>
      </c>
      <c r="H399" s="69" t="str">
        <f>_xlfn.IFNA(IF('Interactive Selection Sheet'!A264 = "", VLOOKUP('Interactive Selection Sheet'!$B264, 'Master List Import'!$A$1:$P$519, 6, FALSE), ""), "")</f>
        <v>Both</v>
      </c>
      <c r="I399" s="72">
        <f>_xlfn.IFNA(IF('Interactive Selection Sheet'!A264 = "", VLOOKUP('Interactive Selection Sheet'!$B264, 'Master List Import'!$A$1:$P$519, 7, FALSE), ""), "")</f>
        <v>0.38</v>
      </c>
      <c r="J399" s="69" t="str">
        <f>_xlfn.IFNA(IF('Interactive Selection Sheet'!A264 = "", VLOOKUP('Interactive Selection Sheet'!$B264, 'Master List Import'!$A$1:$P$519, 8, FALSE), ""), "")</f>
        <v>REI</v>
      </c>
      <c r="K399" s="69" t="str">
        <f>_xlfn.IFNA(IF('Interactive Selection Sheet'!A264 = "", VLOOKUP('Interactive Selection Sheet'!$B264, 'Master List Import'!$A$1:$P$519, 9, FALSE), ""), "")</f>
        <v>203173</v>
      </c>
      <c r="L399" s="69">
        <f>_xlfn.IFNA(IF('Interactive Selection Sheet'!A264 = "", VLOOKUP('Interactive Selection Sheet'!$B264, 'Master List Import'!$A$1:$P$519, 10, FALSE), ""), "")</f>
        <v>0</v>
      </c>
      <c r="M399" s="69">
        <f>_xlfn.IFNA(IF('Interactive Selection Sheet'!A264 = "", VLOOKUP('Interactive Selection Sheet'!$B264, 'Master List Import'!$A$1:$P$519, 11, FALSE), ""), "")</f>
        <v>0</v>
      </c>
      <c r="N399" s="69">
        <f>_xlfn.IFNA(IF('Interactive Selection Sheet'!A264 = "", VLOOKUP('Interactive Selection Sheet'!$B264, 'Master List Import'!$A$1:$P$519, 12, FALSE), ""), "")</f>
        <v>54</v>
      </c>
      <c r="O399" s="69">
        <f>_xlfn.IFNA(IF('Interactive Selection Sheet'!A264 = "", VLOOKUP('Interactive Selection Sheet'!$B264, 'Master List Import'!$A$1:$P$519, 13, FALSE), ""), "")</f>
        <v>7363</v>
      </c>
      <c r="P399" s="69" t="str">
        <f>_xlfn.IFNA(IF('Interactive Selection Sheet'!A264 = "", VLOOKUP('Interactive Selection Sheet'!$B264, 'Master List Import'!$A$1:$P$519, 14, FALSE), ""), "")</f>
        <v>Salted Caramel Moon Pie</v>
      </c>
      <c r="Q399" s="69">
        <f>_xlfn.IFNA(IF('Interactive Selection Sheet'!A264 = "", VLOOKUP('Interactive Selection Sheet'!$B264, 'Master List Import'!$A$1:$P$519, 15, FALSE), ""), "")</f>
        <v>1</v>
      </c>
      <c r="R399" s="74">
        <f>_xlfn.IFNA(IF('Interactive Selection Sheet'!A264 = "", VLOOKUP('Interactive Selection Sheet'!$B264, 'Master List Import'!$A$1:$P$519, 16, FALSE), ""), "")</f>
        <v>1.4</v>
      </c>
    </row>
    <row r="400" spans="1:18" ht="21.75" customHeight="1" x14ac:dyDescent="0.25">
      <c r="A400" s="69">
        <f>_xlfn.IFNA(IF('Interactive Selection Sheet'!A266 = "", VLOOKUP('Interactive Selection Sheet'!$B266, 'Master List Import'!$A$1:$P$519, 2, FALSE), ""), "")</f>
        <v>7371</v>
      </c>
      <c r="B400" s="69" t="str">
        <f>_xlfn.IFNA(IF('Interactive Selection Sheet'!A266 = "", VLOOKUP('Interactive Selection Sheet'!$B266, 'Master List Import'!$A$1:$P$519, 3, FALSE), ""), "")</f>
        <v>Look Out Pecan Pies 81/3oz</v>
      </c>
      <c r="C400" s="76">
        <f>IF('Interactive Selection Sheet'!$T$2="", "", IF(B400="","",'Interactive Selection Sheet'!$T$2))</f>
        <v>3.5000000000000003E-2</v>
      </c>
      <c r="D400" s="70">
        <f>IF(B400 = "", "", 'Interactive Selection Sheet'!$P$2)</f>
        <v>4.4999999999999998E-2</v>
      </c>
      <c r="E400" s="70">
        <f>IF(B400="","", 'Interactive Selection Sheet'!$R$2)</f>
        <v>0.02</v>
      </c>
      <c r="F400" s="69" t="str">
        <f>_xlfn.IFNA(IF('Interactive Selection Sheet'!A266 = "", VLOOKUP('Interactive Selection Sheet'!$B266, 'Master List Import'!$A$1:$P$519, 4, FALSE), ""), "")</f>
        <v>Pastries</v>
      </c>
      <c r="G400" s="69" t="str">
        <f>_xlfn.IFNA(IF('Interactive Selection Sheet'!A266 = "", VLOOKUP('Interactive Selection Sheet'!$B266, 'Master List Import'!$A$1:$P$519, 5, FALSE), ""), "")</f>
        <v>Pastries</v>
      </c>
      <c r="H400" s="69" t="str">
        <f>_xlfn.IFNA(IF('Interactive Selection Sheet'!A266 = "", VLOOKUP('Interactive Selection Sheet'!$B266, 'Master List Import'!$A$1:$P$519, 6, FALSE), ""), "")</f>
        <v>Both</v>
      </c>
      <c r="I400" s="72">
        <f>_xlfn.IFNA(IF('Interactive Selection Sheet'!A266 = "", VLOOKUP('Interactive Selection Sheet'!$B266, 'Master List Import'!$A$1:$P$519, 7, FALSE), ""), "")</f>
        <v>0.56000000000000005</v>
      </c>
      <c r="J400" s="69" t="str">
        <f>_xlfn.IFNA(IF('Interactive Selection Sheet'!A266 = "", VLOOKUP('Interactive Selection Sheet'!$B266, 'Master List Import'!$A$1:$P$519, 8, FALSE), ""), "")</f>
        <v>REI</v>
      </c>
      <c r="K400" s="69" t="str">
        <f>_xlfn.IFNA(IF('Interactive Selection Sheet'!A266 = "", VLOOKUP('Interactive Selection Sheet'!$B266, 'Master List Import'!$A$1:$P$519, 9, FALSE), ""), "")</f>
        <v>MC0001</v>
      </c>
      <c r="L400" s="69">
        <f>_xlfn.IFNA(IF('Interactive Selection Sheet'!A266 = "", VLOOKUP('Interactive Selection Sheet'!$B266, 'Master List Import'!$A$1:$P$519, 10, FALSE), ""), "")</f>
        <v>0</v>
      </c>
      <c r="M400" s="69">
        <f>_xlfn.IFNA(IF('Interactive Selection Sheet'!A266 = "", VLOOKUP('Interactive Selection Sheet'!$B266, 'Master List Import'!$A$1:$P$519, 11, FALSE), ""), "")</f>
        <v>0</v>
      </c>
      <c r="N400" s="69">
        <f>_xlfn.IFNA(IF('Interactive Selection Sheet'!A266 = "", VLOOKUP('Interactive Selection Sheet'!$B266, 'Master List Import'!$A$1:$P$519, 12, FALSE), ""), "")</f>
        <v>81</v>
      </c>
      <c r="O400" s="69">
        <f>_xlfn.IFNA(IF('Interactive Selection Sheet'!A266 = "", VLOOKUP('Interactive Selection Sheet'!$B266, 'Master List Import'!$A$1:$P$519, 13, FALSE), ""), "")</f>
        <v>7371</v>
      </c>
      <c r="P400" s="69" t="str">
        <f>_xlfn.IFNA(IF('Interactive Selection Sheet'!A266 = "", VLOOKUP('Interactive Selection Sheet'!$B266, 'Master List Import'!$A$1:$P$519, 14, FALSE), ""), "")</f>
        <v>Pecan Pie</v>
      </c>
      <c r="Q400" s="69">
        <f>_xlfn.IFNA(IF('Interactive Selection Sheet'!A266 = "", VLOOKUP('Interactive Selection Sheet'!$B266, 'Master List Import'!$A$1:$P$519, 15, FALSE), ""), "")</f>
        <v>1</v>
      </c>
      <c r="R400" s="74">
        <f>_xlfn.IFNA(IF('Interactive Selection Sheet'!A266 = "", VLOOKUP('Interactive Selection Sheet'!$B266, 'Master List Import'!$A$1:$P$519, 16, FALSE), ""), "")</f>
        <v>2</v>
      </c>
    </row>
    <row r="401" spans="1:18" ht="21.75" customHeight="1" x14ac:dyDescent="0.25">
      <c r="A401" s="69">
        <f>_xlfn.IFNA(IF('Interactive Selection Sheet'!A267 = "", VLOOKUP('Interactive Selection Sheet'!$B267, 'Master List Import'!$A$1:$P$519, 2, FALSE), ""), "")</f>
        <v>7375</v>
      </c>
      <c r="B401" s="69" t="str">
        <f>_xlfn.IFNA(IF('Interactive Selection Sheet'!A267 = "", VLOOKUP('Interactive Selection Sheet'!$B267, 'Master List Import'!$A$1:$P$519, 3, FALSE), ""), "")</f>
        <v>Oatmeal Creme Pie - Double Decker, 3.9oz - 54/cs</v>
      </c>
      <c r="C401" s="76">
        <f>IF('Interactive Selection Sheet'!$T$2="", "", IF(B401="","",'Interactive Selection Sheet'!$T$2))</f>
        <v>3.5000000000000003E-2</v>
      </c>
      <c r="D401" s="70">
        <f>IF(B401 = "", "", 'Interactive Selection Sheet'!$P$2)</f>
        <v>4.4999999999999998E-2</v>
      </c>
      <c r="E401" s="70">
        <f>IF(B401="","", 'Interactive Selection Sheet'!$R$2)</f>
        <v>0.02</v>
      </c>
      <c r="F401" s="69" t="str">
        <f>_xlfn.IFNA(IF('Interactive Selection Sheet'!A267 = "", VLOOKUP('Interactive Selection Sheet'!$B267, 'Master List Import'!$A$1:$P$519, 4, FALSE), ""), "")</f>
        <v>Pastries</v>
      </c>
      <c r="G401" s="69" t="str">
        <f>_xlfn.IFNA(IF('Interactive Selection Sheet'!A267 = "", VLOOKUP('Interactive Selection Sheet'!$B267, 'Master List Import'!$A$1:$P$519, 5, FALSE), ""), "")</f>
        <v>Pastries</v>
      </c>
      <c r="H401" s="69" t="str">
        <f>_xlfn.IFNA(IF('Interactive Selection Sheet'!A267 = "", VLOOKUP('Interactive Selection Sheet'!$B267, 'Master List Import'!$A$1:$P$519, 6, FALSE), ""), "")</f>
        <v>Both</v>
      </c>
      <c r="I401" s="72">
        <f>_xlfn.IFNA(IF('Interactive Selection Sheet'!A267 = "", VLOOKUP('Interactive Selection Sheet'!$B267, 'Master List Import'!$A$1:$P$519, 7, FALSE), ""), "")</f>
        <v>0.43290000000000001</v>
      </c>
      <c r="J401" s="69" t="str">
        <f>_xlfn.IFNA(IF('Interactive Selection Sheet'!A267 = "", VLOOKUP('Interactive Selection Sheet'!$B267, 'Master List Import'!$A$1:$P$519, 8, FALSE), ""), "")</f>
        <v>Reinhart Foodservice</v>
      </c>
      <c r="K401" s="69" t="str">
        <f>_xlfn.IFNA(IF('Interactive Selection Sheet'!A267 = "", VLOOKUP('Interactive Selection Sheet'!$B267, 'Master List Import'!$A$1:$P$519, 9, FALSE), ""), "")</f>
        <v>NK236</v>
      </c>
      <c r="L401" s="69">
        <f>_xlfn.IFNA(IF('Interactive Selection Sheet'!A267 = "", VLOOKUP('Interactive Selection Sheet'!$B267, 'Master List Import'!$A$1:$P$519, 10, FALSE), ""), "")</f>
        <v>0</v>
      </c>
      <c r="M401" s="69">
        <f>_xlfn.IFNA(IF('Interactive Selection Sheet'!A267 = "", VLOOKUP('Interactive Selection Sheet'!$B267, 'Master List Import'!$A$1:$P$519, 11, FALSE), ""), "")</f>
        <v>0</v>
      </c>
      <c r="N401" s="69">
        <f>_xlfn.IFNA(IF('Interactive Selection Sheet'!A267 = "", VLOOKUP('Interactive Selection Sheet'!$B267, 'Master List Import'!$A$1:$P$519, 12, FALSE), ""), "")</f>
        <v>54</v>
      </c>
      <c r="O401" s="69">
        <f>_xlfn.IFNA(IF('Interactive Selection Sheet'!A267 = "", VLOOKUP('Interactive Selection Sheet'!$B267, 'Master List Import'!$A$1:$P$519, 13, FALSE), ""), "")</f>
        <v>7375</v>
      </c>
      <c r="P401" s="69" t="str">
        <f>_xlfn.IFNA(IF('Interactive Selection Sheet'!A267 = "", VLOOKUP('Interactive Selection Sheet'!$B267, 'Master List Import'!$A$1:$P$519, 14, FALSE), ""), "")</f>
        <v>Double Decker Oatmeal Creme Pie</v>
      </c>
      <c r="Q401" s="69">
        <f>_xlfn.IFNA(IF('Interactive Selection Sheet'!A267 = "", VLOOKUP('Interactive Selection Sheet'!$B267, 'Master List Import'!$A$1:$P$519, 15, FALSE), ""), "")</f>
        <v>1</v>
      </c>
      <c r="R401" s="74">
        <f>_xlfn.IFNA(IF('Interactive Selection Sheet'!A267 = "", VLOOKUP('Interactive Selection Sheet'!$B267, 'Master List Import'!$A$1:$P$519, 16, FALSE), ""), "")</f>
        <v>2</v>
      </c>
    </row>
    <row r="402" spans="1:18" ht="21.75" customHeight="1" x14ac:dyDescent="0.25">
      <c r="A402" s="69">
        <f>_xlfn.IFNA(IF('Interactive Selection Sheet'!F258= "", VLOOKUP('Interactive Selection Sheet'!$G258, 'Master List Import'!$A$1:$P$519, 2, FALSE), ""), "")</f>
        <v>7400</v>
      </c>
      <c r="B402" s="69" t="str">
        <f>_xlfn.IFNA(IF('Interactive Selection Sheet'!F258= "", VLOOKUP('Interactive Selection Sheet'!$G258, 'Master List Import'!$A$1:$P$519, 3, FALSE), ""), "")</f>
        <v>Snickers, 1.86oz - 8/48/cs</v>
      </c>
      <c r="C402" s="76">
        <f>IF('Interactive Selection Sheet'!$T$2="", "", IF(B402="","",'Interactive Selection Sheet'!$T$2))</f>
        <v>3.5000000000000003E-2</v>
      </c>
      <c r="D402" s="70">
        <f>IF(B402 = "", "", 'Interactive Selection Sheet'!$P$2)</f>
        <v>4.4999999999999998E-2</v>
      </c>
      <c r="E402" s="70">
        <f>IF(B402="","", 'Interactive Selection Sheet'!$R$2)</f>
        <v>0.02</v>
      </c>
      <c r="F402" s="69" t="str">
        <f>_xlfn.IFNA(IF('Interactive Selection Sheet'!F258= "", VLOOKUP('Interactive Selection Sheet'!$G258, 'Master List Import'!$A$1:$P$519, 4, FALSE), ""), "")</f>
        <v>Snacks - Candy</v>
      </c>
      <c r="G402" s="69" t="str">
        <f>_xlfn.IFNA(IF('Interactive Selection Sheet'!F258= "", VLOOKUP('Interactive Selection Sheet'!$G258, 'Master List Import'!$A$1:$P$519, 5, FALSE), ""), "")</f>
        <v>Snacks - Candy</v>
      </c>
      <c r="H402" s="69" t="str">
        <f>_xlfn.IFNA(IF('Interactive Selection Sheet'!F258= "", VLOOKUP('Interactive Selection Sheet'!$G258, 'Master List Import'!$A$1:$P$519, 6, FALSE), ""), "")</f>
        <v>Both</v>
      </c>
      <c r="I402" s="72">
        <f>_xlfn.IFNA(IF('Interactive Selection Sheet'!F258= "", VLOOKUP('Interactive Selection Sheet'!$G258, 'Master List Import'!$A$1:$P$519, 7, FALSE), ""), "")</f>
        <v>0.68920000000000003</v>
      </c>
      <c r="J402" s="69" t="str">
        <f>_xlfn.IFNA(IF('Interactive Selection Sheet'!F258= "", VLOOKUP('Interactive Selection Sheet'!$G258, 'Master List Import'!$A$1:$P$519, 8, FALSE), ""), "")</f>
        <v>Vistar</v>
      </c>
      <c r="K402" s="69" t="str">
        <f>_xlfn.IFNA(IF('Interactive Selection Sheet'!F258= "", VLOOKUP('Interactive Selection Sheet'!$G258, 'Master List Import'!$A$1:$P$519, 9, FALSE), ""), "")</f>
        <v>MMM42431</v>
      </c>
      <c r="L402" s="69">
        <f>_xlfn.IFNA(IF('Interactive Selection Sheet'!F258= "", VLOOKUP('Interactive Selection Sheet'!$G258, 'Master List Import'!$A$1:$P$519, 10, FALSE), ""), "")</f>
        <v>0</v>
      </c>
      <c r="M402" s="69">
        <f>_xlfn.IFNA(IF('Interactive Selection Sheet'!F258= "", VLOOKUP('Interactive Selection Sheet'!$G258, 'Master List Import'!$A$1:$P$519, 11, FALSE), ""), "")</f>
        <v>0</v>
      </c>
      <c r="N402" s="69">
        <f>_xlfn.IFNA(IF('Interactive Selection Sheet'!F258= "", VLOOKUP('Interactive Selection Sheet'!$G258, 'Master List Import'!$A$1:$P$519, 12, FALSE), ""), "")</f>
        <v>48</v>
      </c>
      <c r="O402" s="69">
        <f>_xlfn.IFNA(IF('Interactive Selection Sheet'!F258= "", VLOOKUP('Interactive Selection Sheet'!$G258, 'Master List Import'!$A$1:$P$519, 13, FALSE), ""), "")</f>
        <v>7400</v>
      </c>
      <c r="P402" s="69" t="str">
        <f>_xlfn.IFNA(IF('Interactive Selection Sheet'!F258= "", VLOOKUP('Interactive Selection Sheet'!$G258, 'Master List Import'!$A$1:$P$519, 14, FALSE), ""), "")</f>
        <v>Snickers</v>
      </c>
      <c r="Q402" s="69">
        <f>_xlfn.IFNA(IF('Interactive Selection Sheet'!F258= "", VLOOKUP('Interactive Selection Sheet'!$G258, 'Master List Import'!$A$1:$P$519, 15, FALSE), ""), "")</f>
        <v>1</v>
      </c>
      <c r="R402" s="74">
        <f>_xlfn.IFNA(IF('Interactive Selection Sheet'!F258= "", VLOOKUP('Interactive Selection Sheet'!$G258, 'Master List Import'!$A$1:$P$519, 16, FALSE), ""), "")</f>
        <v>2.25</v>
      </c>
    </row>
    <row r="403" spans="1:18" ht="21.75" customHeight="1" x14ac:dyDescent="0.25">
      <c r="A403" s="69">
        <f>_xlfn.IFNA(IF('Interactive Selection Sheet'!F259= "", VLOOKUP('Interactive Selection Sheet'!$G259, 'Master List Import'!$A$1:$P$519, 2, FALSE), ""), "")</f>
        <v>7401</v>
      </c>
      <c r="B403" s="69" t="str">
        <f>_xlfn.IFNA(IF('Interactive Selection Sheet'!F259= "", VLOOKUP('Interactive Selection Sheet'!$G259, 'Master List Import'!$A$1:$P$519, 3, FALSE), ""), "")</f>
        <v>Reese's Peanut Butter Cups, 1.5oz - 12/36/cs</v>
      </c>
      <c r="C403" s="76">
        <f>IF('Interactive Selection Sheet'!$T$2="", "", IF(B403="","",'Interactive Selection Sheet'!$T$2))</f>
        <v>3.5000000000000003E-2</v>
      </c>
      <c r="D403" s="70">
        <f>IF(B403 = "", "", 'Interactive Selection Sheet'!$P$2)</f>
        <v>4.4999999999999998E-2</v>
      </c>
      <c r="E403" s="70">
        <f>IF(B403="","", 'Interactive Selection Sheet'!$R$2)</f>
        <v>0.02</v>
      </c>
      <c r="F403" s="69" t="str">
        <f>_xlfn.IFNA(IF('Interactive Selection Sheet'!F259= "", VLOOKUP('Interactive Selection Sheet'!$G259, 'Master List Import'!$A$1:$P$519, 4, FALSE), ""), "")</f>
        <v>Snacks - Candy</v>
      </c>
      <c r="G403" s="69" t="str">
        <f>_xlfn.IFNA(IF('Interactive Selection Sheet'!F259= "", VLOOKUP('Interactive Selection Sheet'!$G259, 'Master List Import'!$A$1:$P$519, 5, FALSE), ""), "")</f>
        <v>Snacks - Candy</v>
      </c>
      <c r="H403" s="69" t="str">
        <f>_xlfn.IFNA(IF('Interactive Selection Sheet'!F259= "", VLOOKUP('Interactive Selection Sheet'!$G259, 'Master List Import'!$A$1:$P$519, 6, FALSE), ""), "")</f>
        <v>Both</v>
      </c>
      <c r="I403" s="72">
        <f>_xlfn.IFNA(IF('Interactive Selection Sheet'!F259= "", VLOOKUP('Interactive Selection Sheet'!$G259, 'Master List Import'!$A$1:$P$519, 7, FALSE), ""), "")</f>
        <v>0.73909999999999998</v>
      </c>
      <c r="J403" s="69" t="str">
        <f>_xlfn.IFNA(IF('Interactive Selection Sheet'!F259= "", VLOOKUP('Interactive Selection Sheet'!$G259, 'Master List Import'!$A$1:$P$519, 8, FALSE), ""), "")</f>
        <v>Vistar</v>
      </c>
      <c r="K403" s="69" t="str">
        <f>_xlfn.IFNA(IF('Interactive Selection Sheet'!F259= "", VLOOKUP('Interactive Selection Sheet'!$G259, 'Master List Import'!$A$1:$P$519, 9, FALSE), ""), "")</f>
        <v>HEC44000</v>
      </c>
      <c r="L403" s="69">
        <f>_xlfn.IFNA(IF('Interactive Selection Sheet'!F259= "", VLOOKUP('Interactive Selection Sheet'!$G259, 'Master List Import'!$A$1:$P$519, 10, FALSE), ""), "")</f>
        <v>0</v>
      </c>
      <c r="M403" s="69">
        <f>_xlfn.IFNA(IF('Interactive Selection Sheet'!F259= "", VLOOKUP('Interactive Selection Sheet'!$G259, 'Master List Import'!$A$1:$P$519, 11, FALSE), ""), "")</f>
        <v>0</v>
      </c>
      <c r="N403" s="69">
        <f>_xlfn.IFNA(IF('Interactive Selection Sheet'!F259= "", VLOOKUP('Interactive Selection Sheet'!$G259, 'Master List Import'!$A$1:$P$519, 12, FALSE), ""), "")</f>
        <v>36</v>
      </c>
      <c r="O403" s="69">
        <f>_xlfn.IFNA(IF('Interactive Selection Sheet'!F259= "", VLOOKUP('Interactive Selection Sheet'!$G259, 'Master List Import'!$A$1:$P$519, 13, FALSE), ""), "")</f>
        <v>7401</v>
      </c>
      <c r="P403" s="69" t="str">
        <f>_xlfn.IFNA(IF('Interactive Selection Sheet'!F259= "", VLOOKUP('Interactive Selection Sheet'!$G259, 'Master List Import'!$A$1:$P$519, 14, FALSE), ""), "")</f>
        <v>Reese's Peanut Butter Cups</v>
      </c>
      <c r="Q403" s="69">
        <f>_xlfn.IFNA(IF('Interactive Selection Sheet'!F259= "", VLOOKUP('Interactive Selection Sheet'!$G259, 'Master List Import'!$A$1:$P$519, 15, FALSE), ""), "")</f>
        <v>1</v>
      </c>
      <c r="R403" s="74">
        <f>_xlfn.IFNA(IF('Interactive Selection Sheet'!F259= "", VLOOKUP('Interactive Selection Sheet'!$G259, 'Master List Import'!$A$1:$P$519, 16, FALSE), ""), "")</f>
        <v>2.25</v>
      </c>
    </row>
    <row r="404" spans="1:18" ht="21.75" customHeight="1" x14ac:dyDescent="0.25">
      <c r="A404" s="69">
        <f>_xlfn.IFNA(IF('Interactive Selection Sheet'!F260= "", VLOOKUP('Interactive Selection Sheet'!$G260, 'Master List Import'!$A$1:$P$519, 2, FALSE), ""), "")</f>
        <v>7402</v>
      </c>
      <c r="B404" s="69" t="str">
        <f>_xlfn.IFNA(IF('Interactive Selection Sheet'!F260= "", VLOOKUP('Interactive Selection Sheet'!$G260, 'Master List Import'!$A$1:$P$519, 3, FALSE), ""), "")</f>
        <v>Hershey Chocolate Bar, 1.55oz - 12/36/cs</v>
      </c>
      <c r="C404" s="76">
        <f>IF('Interactive Selection Sheet'!$T$2="", "", IF(B404="","",'Interactive Selection Sheet'!$T$2))</f>
        <v>3.5000000000000003E-2</v>
      </c>
      <c r="D404" s="70">
        <f>IF(B404 = "", "", 'Interactive Selection Sheet'!$P$2)</f>
        <v>4.4999999999999998E-2</v>
      </c>
      <c r="E404" s="70">
        <f>IF(B404="","", 'Interactive Selection Sheet'!$R$2)</f>
        <v>0.02</v>
      </c>
      <c r="F404" s="69" t="str">
        <f>_xlfn.IFNA(IF('Interactive Selection Sheet'!F260= "", VLOOKUP('Interactive Selection Sheet'!$G260, 'Master List Import'!$A$1:$P$519, 4, FALSE), ""), "")</f>
        <v>Snacks - Candy</v>
      </c>
      <c r="G404" s="69" t="str">
        <f>_xlfn.IFNA(IF('Interactive Selection Sheet'!F260= "", VLOOKUP('Interactive Selection Sheet'!$G260, 'Master List Import'!$A$1:$P$519, 5, FALSE), ""), "")</f>
        <v>Snacks - Candy</v>
      </c>
      <c r="H404" s="69" t="str">
        <f>_xlfn.IFNA(IF('Interactive Selection Sheet'!F260= "", VLOOKUP('Interactive Selection Sheet'!$G260, 'Master List Import'!$A$1:$P$519, 6, FALSE), ""), "")</f>
        <v>Both</v>
      </c>
      <c r="I404" s="72">
        <f>_xlfn.IFNA(IF('Interactive Selection Sheet'!F260= "", VLOOKUP('Interactive Selection Sheet'!$G260, 'Master List Import'!$A$1:$P$519, 7, FALSE), ""), "")</f>
        <v>0.70399999999999996</v>
      </c>
      <c r="J404" s="69" t="str">
        <f>_xlfn.IFNA(IF('Interactive Selection Sheet'!F260= "", VLOOKUP('Interactive Selection Sheet'!$G260, 'Master List Import'!$A$1:$P$519, 8, FALSE), ""), "")</f>
        <v>Vistar</v>
      </c>
      <c r="K404" s="69" t="str">
        <f>_xlfn.IFNA(IF('Interactive Selection Sheet'!F260= "", VLOOKUP('Interactive Selection Sheet'!$G260, 'Master List Import'!$A$1:$P$519, 9, FALSE), ""), "")</f>
        <v>HEC24000</v>
      </c>
      <c r="L404" s="69">
        <f>_xlfn.IFNA(IF('Interactive Selection Sheet'!F260= "", VLOOKUP('Interactive Selection Sheet'!$G260, 'Master List Import'!$A$1:$P$519, 10, FALSE), ""), "")</f>
        <v>0</v>
      </c>
      <c r="M404" s="69">
        <f>_xlfn.IFNA(IF('Interactive Selection Sheet'!F260= "", VLOOKUP('Interactive Selection Sheet'!$G260, 'Master List Import'!$A$1:$P$519, 11, FALSE), ""), "")</f>
        <v>0</v>
      </c>
      <c r="N404" s="69">
        <f>_xlfn.IFNA(IF('Interactive Selection Sheet'!F260= "", VLOOKUP('Interactive Selection Sheet'!$G260, 'Master List Import'!$A$1:$P$519, 12, FALSE), ""), "")</f>
        <v>36</v>
      </c>
      <c r="O404" s="69">
        <f>_xlfn.IFNA(IF('Interactive Selection Sheet'!F260= "", VLOOKUP('Interactive Selection Sheet'!$G260, 'Master List Import'!$A$1:$P$519, 13, FALSE), ""), "")</f>
        <v>7402</v>
      </c>
      <c r="P404" s="69" t="str">
        <f>_xlfn.IFNA(IF('Interactive Selection Sheet'!F260= "", VLOOKUP('Interactive Selection Sheet'!$G260, 'Master List Import'!$A$1:$P$519, 14, FALSE), ""), "")</f>
        <v>Hershey's Bar</v>
      </c>
      <c r="Q404" s="69">
        <f>_xlfn.IFNA(IF('Interactive Selection Sheet'!F260= "", VLOOKUP('Interactive Selection Sheet'!$G260, 'Master List Import'!$A$1:$P$519, 15, FALSE), ""), "")</f>
        <v>1</v>
      </c>
      <c r="R404" s="74">
        <f>_xlfn.IFNA(IF('Interactive Selection Sheet'!F260= "", VLOOKUP('Interactive Selection Sheet'!$G260, 'Master List Import'!$A$1:$P$519, 16, FALSE), ""), "")</f>
        <v>2.25</v>
      </c>
    </row>
    <row r="405" spans="1:18" ht="21.75" customHeight="1" x14ac:dyDescent="0.25">
      <c r="A405" s="69">
        <f>_xlfn.IFNA(IF('Interactive Selection Sheet'!F261= "", VLOOKUP('Interactive Selection Sheet'!$G261, 'Master List Import'!$A$1:$P$519, 2, FALSE), ""), "")</f>
        <v>7403</v>
      </c>
      <c r="B405" s="69" t="str">
        <f>_xlfn.IFNA(IF('Interactive Selection Sheet'!F261= "", VLOOKUP('Interactive Selection Sheet'!$G261, 'Master List Import'!$A$1:$P$519, 3, FALSE), ""), "")</f>
        <v>3 Musketeers, 1.92oz - 10/36/cs</v>
      </c>
      <c r="C405" s="76">
        <f>IF('Interactive Selection Sheet'!$T$2="", "", IF(B405="","",'Interactive Selection Sheet'!$T$2))</f>
        <v>3.5000000000000003E-2</v>
      </c>
      <c r="D405" s="70">
        <f>IF(B405 = "", "", 'Interactive Selection Sheet'!$P$2)</f>
        <v>4.4999999999999998E-2</v>
      </c>
      <c r="E405" s="70">
        <f>IF(B405="","", 'Interactive Selection Sheet'!$R$2)</f>
        <v>0.02</v>
      </c>
      <c r="F405" s="69" t="str">
        <f>_xlfn.IFNA(IF('Interactive Selection Sheet'!F261= "", VLOOKUP('Interactive Selection Sheet'!$G261, 'Master List Import'!$A$1:$P$519, 4, FALSE), ""), "")</f>
        <v>Snacks - Candy</v>
      </c>
      <c r="G405" s="69" t="str">
        <f>_xlfn.IFNA(IF('Interactive Selection Sheet'!F261= "", VLOOKUP('Interactive Selection Sheet'!$G261, 'Master List Import'!$A$1:$P$519, 5, FALSE), ""), "")</f>
        <v>Snacks - Candy</v>
      </c>
      <c r="H405" s="69" t="str">
        <f>_xlfn.IFNA(IF('Interactive Selection Sheet'!F261= "", VLOOKUP('Interactive Selection Sheet'!$G261, 'Master List Import'!$A$1:$P$519, 6, FALSE), ""), "")</f>
        <v>Both</v>
      </c>
      <c r="I405" s="72">
        <f>_xlfn.IFNA(IF('Interactive Selection Sheet'!F261= "", VLOOKUP('Interactive Selection Sheet'!$G261, 'Master List Import'!$A$1:$P$519, 7, FALSE), ""), "")</f>
        <v>0.7238</v>
      </c>
      <c r="J405" s="69" t="str">
        <f>_xlfn.IFNA(IF('Interactive Selection Sheet'!F261= "", VLOOKUP('Interactive Selection Sheet'!$G261, 'Master List Import'!$A$1:$P$519, 8, FALSE), ""), "")</f>
        <v>Vistar</v>
      </c>
      <c r="K405" s="69" t="str">
        <f>_xlfn.IFNA(IF('Interactive Selection Sheet'!F261= "", VLOOKUP('Interactive Selection Sheet'!$G261, 'Master List Import'!$A$1:$P$519, 9, FALSE), ""), "")</f>
        <v>MMM42208</v>
      </c>
      <c r="L405" s="69">
        <f>_xlfn.IFNA(IF('Interactive Selection Sheet'!F261= "", VLOOKUP('Interactive Selection Sheet'!$G261, 'Master List Import'!$A$1:$P$519, 10, FALSE), ""), "")</f>
        <v>0</v>
      </c>
      <c r="M405" s="69">
        <f>_xlfn.IFNA(IF('Interactive Selection Sheet'!F261= "", VLOOKUP('Interactive Selection Sheet'!$G261, 'Master List Import'!$A$1:$P$519, 11, FALSE), ""), "")</f>
        <v>0</v>
      </c>
      <c r="N405" s="69">
        <f>_xlfn.IFNA(IF('Interactive Selection Sheet'!F261= "", VLOOKUP('Interactive Selection Sheet'!$G261, 'Master List Import'!$A$1:$P$519, 12, FALSE), ""), "")</f>
        <v>36</v>
      </c>
      <c r="O405" s="69">
        <f>_xlfn.IFNA(IF('Interactive Selection Sheet'!F261= "", VLOOKUP('Interactive Selection Sheet'!$G261, 'Master List Import'!$A$1:$P$519, 13, FALSE), ""), "")</f>
        <v>7403</v>
      </c>
      <c r="P405" s="69" t="str">
        <f>_xlfn.IFNA(IF('Interactive Selection Sheet'!F261= "", VLOOKUP('Interactive Selection Sheet'!$G261, 'Master List Import'!$A$1:$P$519, 14, FALSE), ""), "")</f>
        <v>3 Musketeers</v>
      </c>
      <c r="Q405" s="69">
        <f>_xlfn.IFNA(IF('Interactive Selection Sheet'!F261= "", VLOOKUP('Interactive Selection Sheet'!$G261, 'Master List Import'!$A$1:$P$519, 15, FALSE), ""), "")</f>
        <v>1</v>
      </c>
      <c r="R405" s="74">
        <f>_xlfn.IFNA(IF('Interactive Selection Sheet'!F261= "", VLOOKUP('Interactive Selection Sheet'!$G261, 'Master List Import'!$A$1:$P$519, 16, FALSE), ""), "")</f>
        <v>2.25</v>
      </c>
    </row>
    <row r="406" spans="1:18" ht="21.75" customHeight="1" x14ac:dyDescent="0.25">
      <c r="A406" s="69">
        <f>_xlfn.IFNA(IF('Interactive Selection Sheet'!F262= "", VLOOKUP('Interactive Selection Sheet'!$G262, 'Master List Import'!$A$1:$P$519, 2, FALSE), ""), "")</f>
        <v>7404</v>
      </c>
      <c r="B406" s="69" t="str">
        <f>_xlfn.IFNA(IF('Interactive Selection Sheet'!F262= "", VLOOKUP('Interactive Selection Sheet'!$G262, 'Master List Import'!$A$1:$P$519, 3, FALSE), ""), "")</f>
        <v>Butterfinger, 1.9oz - 8/36/cs</v>
      </c>
      <c r="C406" s="76">
        <f>IF('Interactive Selection Sheet'!$T$2="", "", IF(B406="","",'Interactive Selection Sheet'!$T$2))</f>
        <v>3.5000000000000003E-2</v>
      </c>
      <c r="D406" s="70">
        <f>IF(B406 = "", "", 'Interactive Selection Sheet'!$P$2)</f>
        <v>4.4999999999999998E-2</v>
      </c>
      <c r="E406" s="70">
        <f>IF(B406="","", 'Interactive Selection Sheet'!$R$2)</f>
        <v>0.02</v>
      </c>
      <c r="F406" s="69" t="str">
        <f>_xlfn.IFNA(IF('Interactive Selection Sheet'!F262= "", VLOOKUP('Interactive Selection Sheet'!$G262, 'Master List Import'!$A$1:$P$519, 4, FALSE), ""), "")</f>
        <v>Snacks - Candy</v>
      </c>
      <c r="G406" s="69" t="str">
        <f>_xlfn.IFNA(IF('Interactive Selection Sheet'!F262= "", VLOOKUP('Interactive Selection Sheet'!$G262, 'Master List Import'!$A$1:$P$519, 5, FALSE), ""), "")</f>
        <v>Snacks - Candy</v>
      </c>
      <c r="H406" s="69" t="str">
        <f>_xlfn.IFNA(IF('Interactive Selection Sheet'!F262= "", VLOOKUP('Interactive Selection Sheet'!$G262, 'Master List Import'!$A$1:$P$519, 6, FALSE), ""), "")</f>
        <v>Both</v>
      </c>
      <c r="I406" s="72">
        <f>_xlfn.IFNA(IF('Interactive Selection Sheet'!F262= "", VLOOKUP('Interactive Selection Sheet'!$G262, 'Master List Import'!$A$1:$P$519, 7, FALSE), ""), "")</f>
        <v>0.7</v>
      </c>
      <c r="J406" s="69" t="str">
        <f>_xlfn.IFNA(IF('Interactive Selection Sheet'!F262= "", VLOOKUP('Interactive Selection Sheet'!$G262, 'Master List Import'!$A$1:$P$519, 8, FALSE), ""), "")</f>
        <v>Vistar</v>
      </c>
      <c r="K406" s="69" t="str">
        <f>_xlfn.IFNA(IF('Interactive Selection Sheet'!F262= "", VLOOKUP('Interactive Selection Sheet'!$G262, 'Master List Import'!$A$1:$P$519, 9, FALSE), ""), "")</f>
        <v>NES53105</v>
      </c>
      <c r="L406" s="69">
        <f>_xlfn.IFNA(IF('Interactive Selection Sheet'!F262= "", VLOOKUP('Interactive Selection Sheet'!$G262, 'Master List Import'!$A$1:$P$519, 10, FALSE), ""), "")</f>
        <v>0</v>
      </c>
      <c r="M406" s="69">
        <f>_xlfn.IFNA(IF('Interactive Selection Sheet'!F262= "", VLOOKUP('Interactive Selection Sheet'!$G262, 'Master List Import'!$A$1:$P$519, 11, FALSE), ""), "")</f>
        <v>0</v>
      </c>
      <c r="N406" s="69">
        <f>_xlfn.IFNA(IF('Interactive Selection Sheet'!F262= "", VLOOKUP('Interactive Selection Sheet'!$G262, 'Master List Import'!$A$1:$P$519, 12, FALSE), ""), "")</f>
        <v>36</v>
      </c>
      <c r="O406" s="69">
        <f>_xlfn.IFNA(IF('Interactive Selection Sheet'!F262= "", VLOOKUP('Interactive Selection Sheet'!$G262, 'Master List Import'!$A$1:$P$519, 13, FALSE), ""), "")</f>
        <v>7404</v>
      </c>
      <c r="P406" s="69" t="str">
        <f>_xlfn.IFNA(IF('Interactive Selection Sheet'!F262= "", VLOOKUP('Interactive Selection Sheet'!$G262, 'Master List Import'!$A$1:$P$519, 14, FALSE), ""), "")</f>
        <v>Butterfinger</v>
      </c>
      <c r="Q406" s="69">
        <f>_xlfn.IFNA(IF('Interactive Selection Sheet'!F262= "", VLOOKUP('Interactive Selection Sheet'!$G262, 'Master List Import'!$A$1:$P$519, 15, FALSE), ""), "")</f>
        <v>1</v>
      </c>
      <c r="R406" s="74">
        <f>_xlfn.IFNA(IF('Interactive Selection Sheet'!F262= "", VLOOKUP('Interactive Selection Sheet'!$G262, 'Master List Import'!$A$1:$P$519, 16, FALSE), ""), "")</f>
        <v>2.25</v>
      </c>
    </row>
    <row r="407" spans="1:18" ht="21.75" customHeight="1" x14ac:dyDescent="0.25">
      <c r="A407" s="69">
        <f>_xlfn.IFNA(IF('Interactive Selection Sheet'!F263= "", VLOOKUP('Interactive Selection Sheet'!$G263, 'Master List Import'!$A$1:$P$519, 2, FALSE), ""), "")</f>
        <v>7405</v>
      </c>
      <c r="B407" s="69" t="str">
        <f>_xlfn.IFNA(IF('Interactive Selection Sheet'!F263= "", VLOOKUP('Interactive Selection Sheet'!$G263, 'Master List Import'!$A$1:$P$519, 3, FALSE), ""), "")</f>
        <v>Twix, 1.79oz - 10/36/cs</v>
      </c>
      <c r="C407" s="76">
        <f>IF('Interactive Selection Sheet'!$T$2="", "", IF(B407="","",'Interactive Selection Sheet'!$T$2))</f>
        <v>3.5000000000000003E-2</v>
      </c>
      <c r="D407" s="70">
        <f>IF(B407 = "", "", 'Interactive Selection Sheet'!$P$2)</f>
        <v>4.4999999999999998E-2</v>
      </c>
      <c r="E407" s="70">
        <f>IF(B407="","", 'Interactive Selection Sheet'!$R$2)</f>
        <v>0.02</v>
      </c>
      <c r="F407" s="69" t="str">
        <f>_xlfn.IFNA(IF('Interactive Selection Sheet'!F263= "", VLOOKUP('Interactive Selection Sheet'!$G263, 'Master List Import'!$A$1:$P$519, 4, FALSE), ""), "")</f>
        <v>Snacks - Candy</v>
      </c>
      <c r="G407" s="69" t="str">
        <f>_xlfn.IFNA(IF('Interactive Selection Sheet'!F263= "", VLOOKUP('Interactive Selection Sheet'!$G263, 'Master List Import'!$A$1:$P$519, 5, FALSE), ""), "")</f>
        <v>Snacks - Candy</v>
      </c>
      <c r="H407" s="69" t="str">
        <f>_xlfn.IFNA(IF('Interactive Selection Sheet'!F263= "", VLOOKUP('Interactive Selection Sheet'!$G263, 'Master List Import'!$A$1:$P$519, 6, FALSE), ""), "")</f>
        <v>Both</v>
      </c>
      <c r="I407" s="72">
        <f>_xlfn.IFNA(IF('Interactive Selection Sheet'!F263= "", VLOOKUP('Interactive Selection Sheet'!$G263, 'Master List Import'!$A$1:$P$519, 7, FALSE), ""), "")</f>
        <v>0.68930000000000002</v>
      </c>
      <c r="J407" s="69" t="str">
        <f>_xlfn.IFNA(IF('Interactive Selection Sheet'!F263= "", VLOOKUP('Interactive Selection Sheet'!$G263, 'Master List Import'!$A$1:$P$519, 8, FALSE), ""), "")</f>
        <v>Vistar</v>
      </c>
      <c r="K407" s="69" t="str">
        <f>_xlfn.IFNA(IF('Interactive Selection Sheet'!F263= "", VLOOKUP('Interactive Selection Sheet'!$G263, 'Master List Import'!$A$1:$P$519, 9, FALSE), ""), "")</f>
        <v>MMM35391</v>
      </c>
      <c r="L407" s="69">
        <f>_xlfn.IFNA(IF('Interactive Selection Sheet'!F263= "", VLOOKUP('Interactive Selection Sheet'!$G263, 'Master List Import'!$A$1:$P$519, 10, FALSE), ""), "")</f>
        <v>0</v>
      </c>
      <c r="M407" s="69">
        <f>_xlfn.IFNA(IF('Interactive Selection Sheet'!F263= "", VLOOKUP('Interactive Selection Sheet'!$G263, 'Master List Import'!$A$1:$P$519, 11, FALSE), ""), "")</f>
        <v>0</v>
      </c>
      <c r="N407" s="69">
        <f>_xlfn.IFNA(IF('Interactive Selection Sheet'!F263= "", VLOOKUP('Interactive Selection Sheet'!$G263, 'Master List Import'!$A$1:$P$519, 12, FALSE), ""), "")</f>
        <v>36</v>
      </c>
      <c r="O407" s="69">
        <f>_xlfn.IFNA(IF('Interactive Selection Sheet'!F263= "", VLOOKUP('Interactive Selection Sheet'!$G263, 'Master List Import'!$A$1:$P$519, 13, FALSE), ""), "")</f>
        <v>7405</v>
      </c>
      <c r="P407" s="69" t="str">
        <f>_xlfn.IFNA(IF('Interactive Selection Sheet'!F263= "", VLOOKUP('Interactive Selection Sheet'!$G263, 'Master List Import'!$A$1:$P$519, 14, FALSE), ""), "")</f>
        <v>Twix</v>
      </c>
      <c r="Q407" s="69">
        <f>_xlfn.IFNA(IF('Interactive Selection Sheet'!F263= "", VLOOKUP('Interactive Selection Sheet'!$G263, 'Master List Import'!$A$1:$P$519, 15, FALSE), ""), "")</f>
        <v>1</v>
      </c>
      <c r="R407" s="74">
        <f>_xlfn.IFNA(IF('Interactive Selection Sheet'!F263= "", VLOOKUP('Interactive Selection Sheet'!$G263, 'Master List Import'!$A$1:$P$519, 16, FALSE), ""), "")</f>
        <v>2.25</v>
      </c>
    </row>
    <row r="408" spans="1:18" ht="21.75" customHeight="1" x14ac:dyDescent="0.25">
      <c r="A408" s="69">
        <f>_xlfn.IFNA(IF('Interactive Selection Sheet'!F264= "", VLOOKUP('Interactive Selection Sheet'!$G264, 'Master List Import'!$A$1:$P$519, 2, FALSE), ""), "")</f>
        <v>7406</v>
      </c>
      <c r="B408" s="69" t="str">
        <f>_xlfn.IFNA(IF('Interactive Selection Sheet'!F264= "", VLOOKUP('Interactive Selection Sheet'!$G264, 'Master List Import'!$A$1:$P$519, 3, FALSE), ""), "")</f>
        <v>Snickers w/Almond, 1.76oz - 12/24/cs</v>
      </c>
      <c r="C408" s="76">
        <f>IF('Interactive Selection Sheet'!$T$2="", "", IF(B408="","",'Interactive Selection Sheet'!$T$2))</f>
        <v>3.5000000000000003E-2</v>
      </c>
      <c r="D408" s="70">
        <f>IF(B408 = "", "", 'Interactive Selection Sheet'!$P$2)</f>
        <v>4.4999999999999998E-2</v>
      </c>
      <c r="E408" s="70">
        <f>IF(B408="","", 'Interactive Selection Sheet'!$R$2)</f>
        <v>0.02</v>
      </c>
      <c r="F408" s="69" t="str">
        <f>_xlfn.IFNA(IF('Interactive Selection Sheet'!F264= "", VLOOKUP('Interactive Selection Sheet'!$G264, 'Master List Import'!$A$1:$P$519, 4, FALSE), ""), "")</f>
        <v>Snacks - Candy</v>
      </c>
      <c r="G408" s="69" t="str">
        <f>_xlfn.IFNA(IF('Interactive Selection Sheet'!F264= "", VLOOKUP('Interactive Selection Sheet'!$G264, 'Master List Import'!$A$1:$P$519, 5, FALSE), ""), "")</f>
        <v>Snacks - Candy</v>
      </c>
      <c r="H408" s="69" t="str">
        <f>_xlfn.IFNA(IF('Interactive Selection Sheet'!F264= "", VLOOKUP('Interactive Selection Sheet'!$G264, 'Master List Import'!$A$1:$P$519, 6, FALSE), ""), "")</f>
        <v>Both</v>
      </c>
      <c r="I408" s="72">
        <f>_xlfn.IFNA(IF('Interactive Selection Sheet'!F264= "", VLOOKUP('Interactive Selection Sheet'!$G264, 'Master List Import'!$A$1:$P$519, 7, FALSE), ""), "")</f>
        <v>0.68930000000000002</v>
      </c>
      <c r="J408" s="69" t="str">
        <f>_xlfn.IFNA(IF('Interactive Selection Sheet'!F264= "", VLOOKUP('Interactive Selection Sheet'!$G264, 'Master List Import'!$A$1:$P$519, 8, FALSE), ""), "")</f>
        <v>Vistar</v>
      </c>
      <c r="K408" s="69" t="str">
        <f>_xlfn.IFNA(IF('Interactive Selection Sheet'!F264= "", VLOOKUP('Interactive Selection Sheet'!$G264, 'Master List Import'!$A$1:$P$519, 9, FALSE), ""), "")</f>
        <v>MMM1105</v>
      </c>
      <c r="L408" s="69">
        <f>_xlfn.IFNA(IF('Interactive Selection Sheet'!F264= "", VLOOKUP('Interactive Selection Sheet'!$G264, 'Master List Import'!$A$1:$P$519, 10, FALSE), ""), "")</f>
        <v>0</v>
      </c>
      <c r="M408" s="69">
        <f>_xlfn.IFNA(IF('Interactive Selection Sheet'!F264= "", VLOOKUP('Interactive Selection Sheet'!$G264, 'Master List Import'!$A$1:$P$519, 11, FALSE), ""), "")</f>
        <v>0</v>
      </c>
      <c r="N408" s="69">
        <f>_xlfn.IFNA(IF('Interactive Selection Sheet'!F264= "", VLOOKUP('Interactive Selection Sheet'!$G264, 'Master List Import'!$A$1:$P$519, 12, FALSE), ""), "")</f>
        <v>24</v>
      </c>
      <c r="O408" s="69">
        <f>_xlfn.IFNA(IF('Interactive Selection Sheet'!F264= "", VLOOKUP('Interactive Selection Sheet'!$G264, 'Master List Import'!$A$1:$P$519, 13, FALSE), ""), "")</f>
        <v>7406</v>
      </c>
      <c r="P408" s="69" t="str">
        <f>_xlfn.IFNA(IF('Interactive Selection Sheet'!F264= "", VLOOKUP('Interactive Selection Sheet'!$G264, 'Master List Import'!$A$1:$P$519, 14, FALSE), ""), "")</f>
        <v>Almond Snickers</v>
      </c>
      <c r="Q408" s="69">
        <f>_xlfn.IFNA(IF('Interactive Selection Sheet'!F264= "", VLOOKUP('Interactive Selection Sheet'!$G264, 'Master List Import'!$A$1:$P$519, 15, FALSE), ""), "")</f>
        <v>1</v>
      </c>
      <c r="R408" s="74">
        <f>_xlfn.IFNA(IF('Interactive Selection Sheet'!F264= "", VLOOKUP('Interactive Selection Sheet'!$G264, 'Master List Import'!$A$1:$P$519, 16, FALSE), ""), "")</f>
        <v>2.25</v>
      </c>
    </row>
    <row r="409" spans="1:18" ht="21.75" customHeight="1" x14ac:dyDescent="0.25">
      <c r="A409" s="69">
        <f>_xlfn.IFNA(IF('Interactive Selection Sheet'!F265= "", VLOOKUP('Interactive Selection Sheet'!$G265, 'Master List Import'!$A$1:$P$519, 2, FALSE), ""), "")</f>
        <v>7407</v>
      </c>
      <c r="B409" s="69" t="str">
        <f>_xlfn.IFNA(IF('Interactive Selection Sheet'!F265= "", VLOOKUP('Interactive Selection Sheet'!$G265, 'Master List Import'!$A$1:$P$519, 3, FALSE), ""), "")</f>
        <v>Kit Kat Bar, 1.5oz - 12/36/cs</v>
      </c>
      <c r="C409" s="76">
        <f>IF('Interactive Selection Sheet'!$T$2="", "", IF(B409="","",'Interactive Selection Sheet'!$T$2))</f>
        <v>3.5000000000000003E-2</v>
      </c>
      <c r="D409" s="70">
        <f>IF(B409 = "", "", 'Interactive Selection Sheet'!$P$2)</f>
        <v>4.4999999999999998E-2</v>
      </c>
      <c r="E409" s="70">
        <f>IF(B409="","", 'Interactive Selection Sheet'!$R$2)</f>
        <v>0.02</v>
      </c>
      <c r="F409" s="69" t="str">
        <f>_xlfn.IFNA(IF('Interactive Selection Sheet'!F265= "", VLOOKUP('Interactive Selection Sheet'!$G265, 'Master List Import'!$A$1:$P$519, 4, FALSE), ""), "")</f>
        <v>Snacks - Candy</v>
      </c>
      <c r="G409" s="69" t="str">
        <f>_xlfn.IFNA(IF('Interactive Selection Sheet'!F265= "", VLOOKUP('Interactive Selection Sheet'!$G265, 'Master List Import'!$A$1:$P$519, 5, FALSE), ""), "")</f>
        <v>Snacks - Candy</v>
      </c>
      <c r="H409" s="69" t="str">
        <f>_xlfn.IFNA(IF('Interactive Selection Sheet'!F265= "", VLOOKUP('Interactive Selection Sheet'!$G265, 'Master List Import'!$A$1:$P$519, 6, FALSE), ""), "")</f>
        <v>Both</v>
      </c>
      <c r="I409" s="72">
        <f>_xlfn.IFNA(IF('Interactive Selection Sheet'!F265= "", VLOOKUP('Interactive Selection Sheet'!$G265, 'Master List Import'!$A$1:$P$519, 7, FALSE), ""), "")</f>
        <v>0.73909999999999998</v>
      </c>
      <c r="J409" s="69" t="str">
        <f>_xlfn.IFNA(IF('Interactive Selection Sheet'!F265= "", VLOOKUP('Interactive Selection Sheet'!$G265, 'Master List Import'!$A$1:$P$519, 8, FALSE), ""), "")</f>
        <v>Vistar</v>
      </c>
      <c r="K409" s="69" t="str">
        <f>_xlfn.IFNA(IF('Interactive Selection Sheet'!F265= "", VLOOKUP('Interactive Selection Sheet'!$G265, 'Master List Import'!$A$1:$P$519, 9, FALSE), ""), "")</f>
        <v>HEC24600</v>
      </c>
      <c r="L409" s="69">
        <f>_xlfn.IFNA(IF('Interactive Selection Sheet'!F265= "", VLOOKUP('Interactive Selection Sheet'!$G265, 'Master List Import'!$A$1:$P$519, 10, FALSE), ""), "")</f>
        <v>0</v>
      </c>
      <c r="M409" s="69">
        <f>_xlfn.IFNA(IF('Interactive Selection Sheet'!F265= "", VLOOKUP('Interactive Selection Sheet'!$G265, 'Master List Import'!$A$1:$P$519, 11, FALSE), ""), "")</f>
        <v>0</v>
      </c>
      <c r="N409" s="69">
        <f>_xlfn.IFNA(IF('Interactive Selection Sheet'!F265= "", VLOOKUP('Interactive Selection Sheet'!$G265, 'Master List Import'!$A$1:$P$519, 12, FALSE), ""), "")</f>
        <v>36</v>
      </c>
      <c r="O409" s="69">
        <f>_xlfn.IFNA(IF('Interactive Selection Sheet'!F265= "", VLOOKUP('Interactive Selection Sheet'!$G265, 'Master List Import'!$A$1:$P$519, 13, FALSE), ""), "")</f>
        <v>7407</v>
      </c>
      <c r="P409" s="69" t="str">
        <f>_xlfn.IFNA(IF('Interactive Selection Sheet'!F265= "", VLOOKUP('Interactive Selection Sheet'!$G265, 'Master List Import'!$A$1:$P$519, 14, FALSE), ""), "")</f>
        <v>Kit Kat Bar</v>
      </c>
      <c r="Q409" s="69">
        <f>_xlfn.IFNA(IF('Interactive Selection Sheet'!F265= "", VLOOKUP('Interactive Selection Sheet'!$G265, 'Master List Import'!$A$1:$P$519, 15, FALSE), ""), "")</f>
        <v>1</v>
      </c>
      <c r="R409" s="74">
        <f>_xlfn.IFNA(IF('Interactive Selection Sheet'!F265= "", VLOOKUP('Interactive Selection Sheet'!$G265, 'Master List Import'!$A$1:$P$519, 16, FALSE), ""), "")</f>
        <v>2.25</v>
      </c>
    </row>
    <row r="410" spans="1:18" ht="21.75" customHeight="1" x14ac:dyDescent="0.25">
      <c r="A410" s="69">
        <f>_xlfn.IFNA(IF('Interactive Selection Sheet'!F266= "", VLOOKUP('Interactive Selection Sheet'!$G266, 'Master List Import'!$A$1:$P$519, 2, FALSE), ""), "")</f>
        <v>7408</v>
      </c>
      <c r="B410" s="69" t="str">
        <f>_xlfn.IFNA(IF('Interactive Selection Sheet'!F266= "", VLOOKUP('Interactive Selection Sheet'!$G266, 'Master List Import'!$A$1:$P$519, 3, FALSE), ""), "")</f>
        <v>Baby Ruth, 2.1oz - 12/24/cs</v>
      </c>
      <c r="C410" s="76">
        <f>IF('Interactive Selection Sheet'!$T$2="", "", IF(B410="","",'Interactive Selection Sheet'!$T$2))</f>
        <v>3.5000000000000003E-2</v>
      </c>
      <c r="D410" s="70">
        <f>IF(B410 = "", "", 'Interactive Selection Sheet'!$P$2)</f>
        <v>4.4999999999999998E-2</v>
      </c>
      <c r="E410" s="70">
        <f>IF(B410="","", 'Interactive Selection Sheet'!$R$2)</f>
        <v>0.02</v>
      </c>
      <c r="F410" s="69" t="str">
        <f>_xlfn.IFNA(IF('Interactive Selection Sheet'!F266= "", VLOOKUP('Interactive Selection Sheet'!$G266, 'Master List Import'!$A$1:$P$519, 4, FALSE), ""), "")</f>
        <v>Snacks - Candy</v>
      </c>
      <c r="G410" s="69" t="str">
        <f>_xlfn.IFNA(IF('Interactive Selection Sheet'!F266= "", VLOOKUP('Interactive Selection Sheet'!$G266, 'Master List Import'!$A$1:$P$519, 5, FALSE), ""), "")</f>
        <v>Snacks - Candy</v>
      </c>
      <c r="H410" s="69" t="str">
        <f>_xlfn.IFNA(IF('Interactive Selection Sheet'!F266= "", VLOOKUP('Interactive Selection Sheet'!$G266, 'Master List Import'!$A$1:$P$519, 6, FALSE), ""), "")</f>
        <v>Both</v>
      </c>
      <c r="I410" s="72">
        <f>_xlfn.IFNA(IF('Interactive Selection Sheet'!F266= "", VLOOKUP('Interactive Selection Sheet'!$G266, 'Master List Import'!$A$1:$P$519, 7, FALSE), ""), "")</f>
        <v>0.70020000000000004</v>
      </c>
      <c r="J410" s="69" t="str">
        <f>_xlfn.IFNA(IF('Interactive Selection Sheet'!F266= "", VLOOKUP('Interactive Selection Sheet'!$G266, 'Master List Import'!$A$1:$P$519, 8, FALSE), ""), "")</f>
        <v>Vistar</v>
      </c>
      <c r="K410" s="69" t="str">
        <f>_xlfn.IFNA(IF('Interactive Selection Sheet'!F266= "", VLOOKUP('Interactive Selection Sheet'!$G266, 'Master List Import'!$A$1:$P$519, 9, FALSE), ""), "")</f>
        <v>FEU86780</v>
      </c>
      <c r="L410" s="69">
        <f>_xlfn.IFNA(IF('Interactive Selection Sheet'!F266= "", VLOOKUP('Interactive Selection Sheet'!$G266, 'Master List Import'!$A$1:$P$519, 10, FALSE), ""), "")</f>
        <v>0</v>
      </c>
      <c r="M410" s="69">
        <f>_xlfn.IFNA(IF('Interactive Selection Sheet'!F266= "", VLOOKUP('Interactive Selection Sheet'!$G266, 'Master List Import'!$A$1:$P$519, 11, FALSE), ""), "")</f>
        <v>0</v>
      </c>
      <c r="N410" s="69">
        <f>_xlfn.IFNA(IF('Interactive Selection Sheet'!F266= "", VLOOKUP('Interactive Selection Sheet'!$G266, 'Master List Import'!$A$1:$P$519, 12, FALSE), ""), "")</f>
        <v>24</v>
      </c>
      <c r="O410" s="69">
        <f>_xlfn.IFNA(IF('Interactive Selection Sheet'!F266= "", VLOOKUP('Interactive Selection Sheet'!$G266, 'Master List Import'!$A$1:$P$519, 13, FALSE), ""), "")</f>
        <v>7408</v>
      </c>
      <c r="P410" s="69" t="str">
        <f>_xlfn.IFNA(IF('Interactive Selection Sheet'!F266= "", VLOOKUP('Interactive Selection Sheet'!$G266, 'Master List Import'!$A$1:$P$519, 14, FALSE), ""), "")</f>
        <v>Baby Ruth</v>
      </c>
      <c r="Q410" s="69">
        <f>_xlfn.IFNA(IF('Interactive Selection Sheet'!F266= "", VLOOKUP('Interactive Selection Sheet'!$G266, 'Master List Import'!$A$1:$P$519, 15, FALSE), ""), "")</f>
        <v>1</v>
      </c>
      <c r="R410" s="74">
        <f>_xlfn.IFNA(IF('Interactive Selection Sheet'!F266= "", VLOOKUP('Interactive Selection Sheet'!$G266, 'Master List Import'!$A$1:$P$519, 16, FALSE), ""), "")</f>
        <v>2.25</v>
      </c>
    </row>
    <row r="411" spans="1:18" ht="21.75" customHeight="1" x14ac:dyDescent="0.25">
      <c r="A411" s="69">
        <f>_xlfn.IFNA(IF('Interactive Selection Sheet'!F267= "", VLOOKUP('Interactive Selection Sheet'!$G267, 'Master List Import'!$A$1:$P$519, 2, FALSE), ""), "")</f>
        <v>7430</v>
      </c>
      <c r="B411" s="69" t="str">
        <f>_xlfn.IFNA(IF('Interactive Selection Sheet'!F267= "", VLOOKUP('Interactive Selection Sheet'!$G267, 'Master List Import'!$A$1:$P$519, 3, FALSE), ""), "")</f>
        <v>M&amp;M's Peanut, 1.74oz - 8/48/cs</v>
      </c>
      <c r="C411" s="76">
        <f>IF('Interactive Selection Sheet'!$T$2="", "", IF(B411="","",'Interactive Selection Sheet'!$T$2))</f>
        <v>3.5000000000000003E-2</v>
      </c>
      <c r="D411" s="70">
        <f>IF(B411 = "", "", 'Interactive Selection Sheet'!$P$2)</f>
        <v>4.4999999999999998E-2</v>
      </c>
      <c r="E411" s="70">
        <f>IF(B411="","", 'Interactive Selection Sheet'!$R$2)</f>
        <v>0.02</v>
      </c>
      <c r="F411" s="69" t="str">
        <f>_xlfn.IFNA(IF('Interactive Selection Sheet'!F267= "", VLOOKUP('Interactive Selection Sheet'!$G267, 'Master List Import'!$A$1:$P$519, 4, FALSE), ""), "")</f>
        <v>Snacks - Candy</v>
      </c>
      <c r="G411" s="69" t="str">
        <f>_xlfn.IFNA(IF('Interactive Selection Sheet'!F267= "", VLOOKUP('Interactive Selection Sheet'!$G267, 'Master List Import'!$A$1:$P$519, 5, FALSE), ""), "")</f>
        <v>Snacks - Candy</v>
      </c>
      <c r="H411" s="69" t="str">
        <f>_xlfn.IFNA(IF('Interactive Selection Sheet'!F267= "", VLOOKUP('Interactive Selection Sheet'!$G267, 'Master List Import'!$A$1:$P$519, 6, FALSE), ""), "")</f>
        <v>Both</v>
      </c>
      <c r="I411" s="72">
        <f>_xlfn.IFNA(IF('Interactive Selection Sheet'!F267= "", VLOOKUP('Interactive Selection Sheet'!$G267, 'Master List Import'!$A$1:$P$519, 7, FALSE), ""), "")</f>
        <v>0.68920000000000003</v>
      </c>
      <c r="J411" s="69" t="str">
        <f>_xlfn.IFNA(IF('Interactive Selection Sheet'!F267= "", VLOOKUP('Interactive Selection Sheet'!$G267, 'Master List Import'!$A$1:$P$519, 8, FALSE), ""), "")</f>
        <v>Vistar</v>
      </c>
      <c r="K411" s="69" t="str">
        <f>_xlfn.IFNA(IF('Interactive Selection Sheet'!F267= "", VLOOKUP('Interactive Selection Sheet'!$G267, 'Master List Import'!$A$1:$P$519, 9, FALSE), ""), "")</f>
        <v>MMM01232</v>
      </c>
      <c r="L411" s="69">
        <f>_xlfn.IFNA(IF('Interactive Selection Sheet'!F267= "", VLOOKUP('Interactive Selection Sheet'!$G267, 'Master List Import'!$A$1:$P$519, 10, FALSE), ""), "")</f>
        <v>0</v>
      </c>
      <c r="M411" s="69">
        <f>_xlfn.IFNA(IF('Interactive Selection Sheet'!F267= "", VLOOKUP('Interactive Selection Sheet'!$G267, 'Master List Import'!$A$1:$P$519, 11, FALSE), ""), "")</f>
        <v>0</v>
      </c>
      <c r="N411" s="69">
        <f>_xlfn.IFNA(IF('Interactive Selection Sheet'!F267= "", VLOOKUP('Interactive Selection Sheet'!$G267, 'Master List Import'!$A$1:$P$519, 12, FALSE), ""), "")</f>
        <v>48</v>
      </c>
      <c r="O411" s="69">
        <f>_xlfn.IFNA(IF('Interactive Selection Sheet'!F267= "", VLOOKUP('Interactive Selection Sheet'!$G267, 'Master List Import'!$A$1:$P$519, 13, FALSE), ""), "")</f>
        <v>7430</v>
      </c>
      <c r="P411" s="69" t="str">
        <f>_xlfn.IFNA(IF('Interactive Selection Sheet'!F267= "", VLOOKUP('Interactive Selection Sheet'!$G267, 'Master List Import'!$A$1:$P$519, 14, FALSE), ""), "")</f>
        <v>Peanut M&amp;M's</v>
      </c>
      <c r="Q411" s="69">
        <f>_xlfn.IFNA(IF('Interactive Selection Sheet'!F267= "", VLOOKUP('Interactive Selection Sheet'!$G267, 'Master List Import'!$A$1:$P$519, 15, FALSE), ""), "")</f>
        <v>1</v>
      </c>
      <c r="R411" s="74">
        <f>_xlfn.IFNA(IF('Interactive Selection Sheet'!F267= "", VLOOKUP('Interactive Selection Sheet'!$G267, 'Master List Import'!$A$1:$P$519, 16, FALSE), ""), "")</f>
        <v>2.25</v>
      </c>
    </row>
    <row r="412" spans="1:18" ht="21.75" customHeight="1" x14ac:dyDescent="0.25">
      <c r="A412" s="69">
        <f>_xlfn.IFNA(IF('Interactive Selection Sheet'!F268= "", VLOOKUP('Interactive Selection Sheet'!$G268, 'Master List Import'!$A$1:$P$519, 2, FALSE), ""), "")</f>
        <v>7431</v>
      </c>
      <c r="B412" s="69" t="str">
        <f>_xlfn.IFNA(IF('Interactive Selection Sheet'!F268= "", VLOOKUP('Interactive Selection Sheet'!$G268, 'Master List Import'!$A$1:$P$519, 3, FALSE), ""), "")</f>
        <v>M&amp;M's Plain, 1.69oz - 9/36/cs</v>
      </c>
      <c r="C412" s="76">
        <f>IF('Interactive Selection Sheet'!$T$2="", "", IF(B412="","",'Interactive Selection Sheet'!$T$2))</f>
        <v>3.5000000000000003E-2</v>
      </c>
      <c r="D412" s="70">
        <f>IF(B412 = "", "", 'Interactive Selection Sheet'!$P$2)</f>
        <v>4.4999999999999998E-2</v>
      </c>
      <c r="E412" s="70">
        <f>IF(B412="","", 'Interactive Selection Sheet'!$R$2)</f>
        <v>0.02</v>
      </c>
      <c r="F412" s="69" t="str">
        <f>_xlfn.IFNA(IF('Interactive Selection Sheet'!F268= "", VLOOKUP('Interactive Selection Sheet'!$G268, 'Master List Import'!$A$1:$P$519, 4, FALSE), ""), "")</f>
        <v>Snacks - Candy</v>
      </c>
      <c r="G412" s="69" t="str">
        <f>_xlfn.IFNA(IF('Interactive Selection Sheet'!F268= "", VLOOKUP('Interactive Selection Sheet'!$G268, 'Master List Import'!$A$1:$P$519, 5, FALSE), ""), "")</f>
        <v>Snacks - Candy</v>
      </c>
      <c r="H412" s="69" t="str">
        <f>_xlfn.IFNA(IF('Interactive Selection Sheet'!F268= "", VLOOKUP('Interactive Selection Sheet'!$G268, 'Master List Import'!$A$1:$P$519, 6, FALSE), ""), "")</f>
        <v>Both</v>
      </c>
      <c r="I412" s="72">
        <f>_xlfn.IFNA(IF('Interactive Selection Sheet'!F268= "", VLOOKUP('Interactive Selection Sheet'!$G268, 'Master List Import'!$A$1:$P$519, 7, FALSE), ""), "")</f>
        <v>0.7238</v>
      </c>
      <c r="J412" s="69" t="str">
        <f>_xlfn.IFNA(IF('Interactive Selection Sheet'!F268= "", VLOOKUP('Interactive Selection Sheet'!$G268, 'Master List Import'!$A$1:$P$519, 8, FALSE), ""), "")</f>
        <v>Vistar</v>
      </c>
      <c r="K412" s="69" t="str">
        <f>_xlfn.IFNA(IF('Interactive Selection Sheet'!F268= "", VLOOKUP('Interactive Selection Sheet'!$G268, 'Master List Import'!$A$1:$P$519, 9, FALSE), ""), "")</f>
        <v>MMM49990</v>
      </c>
      <c r="L412" s="69">
        <f>_xlfn.IFNA(IF('Interactive Selection Sheet'!F268= "", VLOOKUP('Interactive Selection Sheet'!$G268, 'Master List Import'!$A$1:$P$519, 10, FALSE), ""), "")</f>
        <v>0</v>
      </c>
      <c r="M412" s="69">
        <f>_xlfn.IFNA(IF('Interactive Selection Sheet'!F268= "", VLOOKUP('Interactive Selection Sheet'!$G268, 'Master List Import'!$A$1:$P$519, 11, FALSE), ""), "")</f>
        <v>0</v>
      </c>
      <c r="N412" s="69">
        <f>_xlfn.IFNA(IF('Interactive Selection Sheet'!F268= "", VLOOKUP('Interactive Selection Sheet'!$G268, 'Master List Import'!$A$1:$P$519, 12, FALSE), ""), "")</f>
        <v>36</v>
      </c>
      <c r="O412" s="69">
        <f>_xlfn.IFNA(IF('Interactive Selection Sheet'!F268= "", VLOOKUP('Interactive Selection Sheet'!$G268, 'Master List Import'!$A$1:$P$519, 13, FALSE), ""), "")</f>
        <v>7431</v>
      </c>
      <c r="P412" s="69" t="str">
        <f>_xlfn.IFNA(IF('Interactive Selection Sheet'!F268= "", VLOOKUP('Interactive Selection Sheet'!$G268, 'Master List Import'!$A$1:$P$519, 14, FALSE), ""), "")</f>
        <v>M&amp;M's</v>
      </c>
      <c r="Q412" s="69">
        <f>_xlfn.IFNA(IF('Interactive Selection Sheet'!F268= "", VLOOKUP('Interactive Selection Sheet'!$G268, 'Master List Import'!$A$1:$P$519, 15, FALSE), ""), "")</f>
        <v>1</v>
      </c>
      <c r="R412" s="74">
        <f>_xlfn.IFNA(IF('Interactive Selection Sheet'!F268= "", VLOOKUP('Interactive Selection Sheet'!$G268, 'Master List Import'!$A$1:$P$519, 16, FALSE), ""), "")</f>
        <v>2.25</v>
      </c>
    </row>
    <row r="413" spans="1:18" ht="21.75" customHeight="1" x14ac:dyDescent="0.25">
      <c r="A413" s="69">
        <f>_xlfn.IFNA(IF('Interactive Selection Sheet'!F269= "", VLOOKUP('Interactive Selection Sheet'!$G269, 'Master List Import'!$A$1:$P$519, 2, FALSE), ""), "")</f>
        <v>7432</v>
      </c>
      <c r="B413" s="69" t="str">
        <f>_xlfn.IFNA(IF('Interactive Selection Sheet'!F269= "", VLOOKUP('Interactive Selection Sheet'!$G269, 'Master List Import'!$A$1:$P$519, 3, FALSE), ""), "")</f>
        <v>Milky Way Singles, 1.84oz - 10/36/cs</v>
      </c>
      <c r="C413" s="76">
        <f>IF('Interactive Selection Sheet'!$T$2="", "", IF(B413="","",'Interactive Selection Sheet'!$T$2))</f>
        <v>3.5000000000000003E-2</v>
      </c>
      <c r="D413" s="70">
        <f>IF(B413 = "", "", 'Interactive Selection Sheet'!$P$2)</f>
        <v>4.4999999999999998E-2</v>
      </c>
      <c r="E413" s="70">
        <f>IF(B413="","", 'Interactive Selection Sheet'!$R$2)</f>
        <v>0.02</v>
      </c>
      <c r="F413" s="69" t="str">
        <f>_xlfn.IFNA(IF('Interactive Selection Sheet'!F269= "", VLOOKUP('Interactive Selection Sheet'!$G269, 'Master List Import'!$A$1:$P$519, 4, FALSE), ""), "")</f>
        <v>Snacks - Candy</v>
      </c>
      <c r="G413" s="69" t="str">
        <f>_xlfn.IFNA(IF('Interactive Selection Sheet'!F269= "", VLOOKUP('Interactive Selection Sheet'!$G269, 'Master List Import'!$A$1:$P$519, 5, FALSE), ""), "")</f>
        <v>Snacks - Candy</v>
      </c>
      <c r="H413" s="69" t="str">
        <f>_xlfn.IFNA(IF('Interactive Selection Sheet'!F269= "", VLOOKUP('Interactive Selection Sheet'!$G269, 'Master List Import'!$A$1:$P$519, 6, FALSE), ""), "")</f>
        <v>Both</v>
      </c>
      <c r="I413" s="72">
        <f>_xlfn.IFNA(IF('Interactive Selection Sheet'!F269= "", VLOOKUP('Interactive Selection Sheet'!$G269, 'Master List Import'!$A$1:$P$519, 7, FALSE), ""), "")</f>
        <v>0.68940000000000001</v>
      </c>
      <c r="J413" s="69" t="str">
        <f>_xlfn.IFNA(IF('Interactive Selection Sheet'!F269= "", VLOOKUP('Interactive Selection Sheet'!$G269, 'Master List Import'!$A$1:$P$519, 8, FALSE), ""), "")</f>
        <v>Vistar</v>
      </c>
      <c r="K413" s="69" t="str">
        <f>_xlfn.IFNA(IF('Interactive Selection Sheet'!F269= "", VLOOKUP('Interactive Selection Sheet'!$G269, 'Master List Import'!$A$1:$P$519, 9, FALSE), ""), "")</f>
        <v>MMM42206</v>
      </c>
      <c r="L413" s="69">
        <f>_xlfn.IFNA(IF('Interactive Selection Sheet'!F269= "", VLOOKUP('Interactive Selection Sheet'!$G269, 'Master List Import'!$A$1:$P$519, 10, FALSE), ""), "")</f>
        <v>0</v>
      </c>
      <c r="M413" s="69">
        <f>_xlfn.IFNA(IF('Interactive Selection Sheet'!F269= "", VLOOKUP('Interactive Selection Sheet'!$G269, 'Master List Import'!$A$1:$P$519, 11, FALSE), ""), "")</f>
        <v>0</v>
      </c>
      <c r="N413" s="69">
        <f>_xlfn.IFNA(IF('Interactive Selection Sheet'!F269= "", VLOOKUP('Interactive Selection Sheet'!$G269, 'Master List Import'!$A$1:$P$519, 12, FALSE), ""), "")</f>
        <v>36</v>
      </c>
      <c r="O413" s="69">
        <f>_xlfn.IFNA(IF('Interactive Selection Sheet'!F269= "", VLOOKUP('Interactive Selection Sheet'!$G269, 'Master List Import'!$A$1:$P$519, 13, FALSE), ""), "")</f>
        <v>7432</v>
      </c>
      <c r="P413" s="69" t="str">
        <f>_xlfn.IFNA(IF('Interactive Selection Sheet'!F269= "", VLOOKUP('Interactive Selection Sheet'!$G269, 'Master List Import'!$A$1:$P$519, 14, FALSE), ""), "")</f>
        <v>Milky Way</v>
      </c>
      <c r="Q413" s="69">
        <f>_xlfn.IFNA(IF('Interactive Selection Sheet'!F269= "", VLOOKUP('Interactive Selection Sheet'!$G269, 'Master List Import'!$A$1:$P$519, 15, FALSE), ""), "")</f>
        <v>1</v>
      </c>
      <c r="R413" s="74">
        <f>_xlfn.IFNA(IF('Interactive Selection Sheet'!F269= "", VLOOKUP('Interactive Selection Sheet'!$G269, 'Master List Import'!$A$1:$P$519, 16, FALSE), ""), "")</f>
        <v>2.25</v>
      </c>
    </row>
    <row r="414" spans="1:18" ht="21.75" customHeight="1" x14ac:dyDescent="0.25">
      <c r="A414" s="69">
        <f>_xlfn.IFNA(IF('Interactive Selection Sheet'!F270= "", VLOOKUP('Interactive Selection Sheet'!$G270, 'Master List Import'!$A$1:$P$519, 2, FALSE), ""), "")</f>
        <v>7433</v>
      </c>
      <c r="B414" s="69" t="str">
        <f>_xlfn.IFNA(IF('Interactive Selection Sheet'!F270= "", VLOOKUP('Interactive Selection Sheet'!$G270, 'Master List Import'!$A$1:$P$519, 3, FALSE), ""), "")</f>
        <v>Hershey Almond, 1.45oz - 12/36/cs</v>
      </c>
      <c r="C414" s="76">
        <f>IF('Interactive Selection Sheet'!$T$2="", "", IF(B414="","",'Interactive Selection Sheet'!$T$2))</f>
        <v>3.5000000000000003E-2</v>
      </c>
      <c r="D414" s="70">
        <f>IF(B414 = "", "", 'Interactive Selection Sheet'!$P$2)</f>
        <v>4.4999999999999998E-2</v>
      </c>
      <c r="E414" s="70">
        <f>IF(B414="","", 'Interactive Selection Sheet'!$R$2)</f>
        <v>0.02</v>
      </c>
      <c r="F414" s="69" t="str">
        <f>_xlfn.IFNA(IF('Interactive Selection Sheet'!F270= "", VLOOKUP('Interactive Selection Sheet'!$G270, 'Master List Import'!$A$1:$P$519, 4, FALSE), ""), "")</f>
        <v>Snacks - Candy</v>
      </c>
      <c r="G414" s="69" t="str">
        <f>_xlfn.IFNA(IF('Interactive Selection Sheet'!F270= "", VLOOKUP('Interactive Selection Sheet'!$G270, 'Master List Import'!$A$1:$P$519, 5, FALSE), ""), "")</f>
        <v>Snacks - Candy</v>
      </c>
      <c r="H414" s="69" t="str">
        <f>_xlfn.IFNA(IF('Interactive Selection Sheet'!F270= "", VLOOKUP('Interactive Selection Sheet'!$G270, 'Master List Import'!$A$1:$P$519, 6, FALSE), ""), "")</f>
        <v>Both</v>
      </c>
      <c r="I414" s="72">
        <f>_xlfn.IFNA(IF('Interactive Selection Sheet'!F270= "", VLOOKUP('Interactive Selection Sheet'!$G270, 'Master List Import'!$A$1:$P$519, 7, FALSE), ""), "")</f>
        <v>0.70379999999999998</v>
      </c>
      <c r="J414" s="69" t="str">
        <f>_xlfn.IFNA(IF('Interactive Selection Sheet'!F270= "", VLOOKUP('Interactive Selection Sheet'!$G270, 'Master List Import'!$A$1:$P$519, 8, FALSE), ""), "")</f>
        <v>Vistar</v>
      </c>
      <c r="K414" s="69" t="str">
        <f>_xlfn.IFNA(IF('Interactive Selection Sheet'!F270= "", VLOOKUP('Interactive Selection Sheet'!$G270, 'Master List Import'!$A$1:$P$519, 9, FALSE), ""), "")</f>
        <v>HEC24100</v>
      </c>
      <c r="L414" s="69">
        <f>_xlfn.IFNA(IF('Interactive Selection Sheet'!F270= "", VLOOKUP('Interactive Selection Sheet'!$G270, 'Master List Import'!$A$1:$P$519, 10, FALSE), ""), "")</f>
        <v>0</v>
      </c>
      <c r="M414" s="69">
        <f>_xlfn.IFNA(IF('Interactive Selection Sheet'!F270= "", VLOOKUP('Interactive Selection Sheet'!$G270, 'Master List Import'!$A$1:$P$519, 11, FALSE), ""), "")</f>
        <v>0</v>
      </c>
      <c r="N414" s="69">
        <f>_xlfn.IFNA(IF('Interactive Selection Sheet'!F270= "", VLOOKUP('Interactive Selection Sheet'!$G270, 'Master List Import'!$A$1:$P$519, 12, FALSE), ""), "")</f>
        <v>36</v>
      </c>
      <c r="O414" s="69">
        <f>_xlfn.IFNA(IF('Interactive Selection Sheet'!F270= "", VLOOKUP('Interactive Selection Sheet'!$G270, 'Master List Import'!$A$1:$P$519, 13, FALSE), ""), "")</f>
        <v>7433</v>
      </c>
      <c r="P414" s="69" t="str">
        <f>_xlfn.IFNA(IF('Interactive Selection Sheet'!F270= "", VLOOKUP('Interactive Selection Sheet'!$G270, 'Master List Import'!$A$1:$P$519, 14, FALSE), ""), "")</f>
        <v>Hershey w/Almonds</v>
      </c>
      <c r="Q414" s="69">
        <f>_xlfn.IFNA(IF('Interactive Selection Sheet'!F270= "", VLOOKUP('Interactive Selection Sheet'!$G270, 'Master List Import'!$A$1:$P$519, 15, FALSE), ""), "")</f>
        <v>1</v>
      </c>
      <c r="R414" s="74">
        <f>_xlfn.IFNA(IF('Interactive Selection Sheet'!F270= "", VLOOKUP('Interactive Selection Sheet'!$G270, 'Master List Import'!$A$1:$P$519, 16, FALSE), ""), "")</f>
        <v>2.25</v>
      </c>
    </row>
    <row r="415" spans="1:18" ht="21.75" customHeight="1" x14ac:dyDescent="0.25">
      <c r="A415" s="69">
        <f>_xlfn.IFNA(IF('Interactive Selection Sheet'!$K246= "", VLOOKUP('Interactive Selection Sheet'!$L246, 'Master List Import'!$A$1:$P$519, 2, FALSE), ""), "")</f>
        <v>7500</v>
      </c>
      <c r="B415" s="69" t="str">
        <f>_xlfn.IFNA(IF('Interactive Selection Sheet'!$K246= "", VLOOKUP('Interactive Selection Sheet'!$L246, 'Master List Import'!$A$1:$P$519, 3, FALSE), ""), "")</f>
        <v>Gummy Bears, 4.5oz - 12/cs</v>
      </c>
      <c r="C415" s="76">
        <f>IF('Interactive Selection Sheet'!$T$2="", "", IF(B415="","",'Interactive Selection Sheet'!$T$2))</f>
        <v>3.5000000000000003E-2</v>
      </c>
      <c r="D415" s="70">
        <f>IF(B415 = "", "", 'Interactive Selection Sheet'!$P$2)</f>
        <v>4.4999999999999998E-2</v>
      </c>
      <c r="E415" s="70">
        <f>IF(B415="","", 'Interactive Selection Sheet'!$R$2)</f>
        <v>0.02</v>
      </c>
      <c r="F415" s="69" t="str">
        <f>_xlfn.IFNA(IF('Interactive Selection Sheet'!K246= "", VLOOKUP('Interactive Selection Sheet'!$L246, 'Master List Import'!$A$1:$P$519, 4, FALSE), ""), "")</f>
        <v>Snacks - Candy</v>
      </c>
      <c r="G415" s="69" t="str">
        <f>_xlfn.IFNA(IF('Interactive Selection Sheet'!K246= "", VLOOKUP('Interactive Selection Sheet'!$L246, 'Master List Import'!$A$1:$P$519, 5, FALSE), ""), "")</f>
        <v>Snacks - Candy</v>
      </c>
      <c r="H415" s="69" t="str">
        <f>_xlfn.IFNA(IF('Interactive Selection Sheet'!K246= "", VLOOKUP('Interactive Selection Sheet'!$L246, 'Master List Import'!$A$1:$P$519, 6, FALSE), ""), "")</f>
        <v>Both</v>
      </c>
      <c r="I415" s="72">
        <f>_xlfn.IFNA(IF('Interactive Selection Sheet'!K246= "", VLOOKUP('Interactive Selection Sheet'!$L246, 'Master List Import'!$A$1:$P$519, 7, FALSE), ""), "")</f>
        <v>1.1174999999999999</v>
      </c>
      <c r="J415" s="69" t="str">
        <f>_xlfn.IFNA(IF('Interactive Selection Sheet'!K246= "", VLOOKUP('Interactive Selection Sheet'!$L246, 'Master List Import'!$A$1:$P$519, 8, FALSE), ""), "")</f>
        <v>Vistar</v>
      </c>
      <c r="K415" s="69" t="str">
        <f>_xlfn.IFNA(IF('Interactive Selection Sheet'!K246= "", VLOOKUP('Interactive Selection Sheet'!$L246, 'Master List Import'!$A$1:$P$519, 9, FALSE), ""), "")</f>
        <v>FER03848</v>
      </c>
      <c r="L415" s="69">
        <f>_xlfn.IFNA(IF('Interactive Selection Sheet'!K246= "", VLOOKUP('Interactive Selection Sheet'!$L246, 'Master List Import'!$A$1:$P$519, 10, FALSE), ""), "")</f>
        <v>0</v>
      </c>
      <c r="M415" s="69">
        <f>_xlfn.IFNA(IF('Interactive Selection Sheet'!K246= "", VLOOKUP('Interactive Selection Sheet'!$L246, 'Master List Import'!$A$1:$P$519, 11, FALSE), ""), "")</f>
        <v>0</v>
      </c>
      <c r="N415" s="69">
        <f>_xlfn.IFNA(IF('Interactive Selection Sheet'!K246= "", VLOOKUP('Interactive Selection Sheet'!$L246, 'Master List Import'!$A$1:$P$519, 12, FALSE), ""), "")</f>
        <v>12</v>
      </c>
      <c r="O415" s="69">
        <f>_xlfn.IFNA(IF('Interactive Selection Sheet'!K246= "", VLOOKUP('Interactive Selection Sheet'!$L246, 'Master List Import'!$A$1:$P$519, 13, FALSE), ""), "")</f>
        <v>7500</v>
      </c>
      <c r="P415" s="69" t="str">
        <f>_xlfn.IFNA(IF('Interactive Selection Sheet'!K246= "", VLOOKUP('Interactive Selection Sheet'!$L246, 'Master List Import'!$A$1:$P$519, 14, FALSE), ""), "")</f>
        <v>Black Forest Gummy Bears</v>
      </c>
      <c r="Q415" s="69">
        <f>_xlfn.IFNA(IF('Interactive Selection Sheet'!K246= "", VLOOKUP('Interactive Selection Sheet'!$L246, 'Master List Import'!$A$1:$P$519, 15, FALSE), ""), "")</f>
        <v>1</v>
      </c>
      <c r="R415" s="74">
        <f>_xlfn.IFNA(IF('Interactive Selection Sheet'!K246= "", VLOOKUP('Interactive Selection Sheet'!$L246, 'Master List Import'!$A$1:$P$519, 16, FALSE), ""), "")</f>
        <v>3.15</v>
      </c>
    </row>
    <row r="416" spans="1:18" ht="21.75" customHeight="1" x14ac:dyDescent="0.25">
      <c r="A416" s="69">
        <f>_xlfn.IFNA(IF('Interactive Selection Sheet'!$K247= "", VLOOKUP('Interactive Selection Sheet'!$L247, 'Master List Import'!$A$1:$P$519, 2, FALSE), ""), "")</f>
        <v>7502</v>
      </c>
      <c r="B416" s="69" t="str">
        <f>_xlfn.IFNA(IF('Interactive Selection Sheet'!$K247= "", VLOOKUP('Interactive Selection Sheet'!$L247, 'Master List Import'!$A$1:$P$519, 3, FALSE), ""), "")</f>
        <v>Gummi Sour Worms Original, 4.5oz - 48/cs</v>
      </c>
      <c r="C416" s="76">
        <f>IF('Interactive Selection Sheet'!$T$2="", "", IF(B416="","",'Interactive Selection Sheet'!$T$2))</f>
        <v>3.5000000000000003E-2</v>
      </c>
      <c r="D416" s="70">
        <f>IF(B416 = "", "", 'Interactive Selection Sheet'!$P$2)</f>
        <v>4.4999999999999998E-2</v>
      </c>
      <c r="E416" s="70">
        <f>IF(B416="","", 'Interactive Selection Sheet'!$R$2)</f>
        <v>0.02</v>
      </c>
      <c r="F416" s="69" t="str">
        <f>_xlfn.IFNA(IF('Interactive Selection Sheet'!K247= "", VLOOKUP('Interactive Selection Sheet'!$L247, 'Master List Import'!$A$1:$P$519, 4, FALSE), ""), "")</f>
        <v>Snacks - Candy</v>
      </c>
      <c r="G416" s="69" t="str">
        <f>_xlfn.IFNA(IF('Interactive Selection Sheet'!K247= "", VLOOKUP('Interactive Selection Sheet'!$L247, 'Master List Import'!$A$1:$P$519, 5, FALSE), ""), "")</f>
        <v>Snacks - Candy</v>
      </c>
      <c r="H416" s="69" t="str">
        <f>_xlfn.IFNA(IF('Interactive Selection Sheet'!K247= "", VLOOKUP('Interactive Selection Sheet'!$L247, 'Master List Import'!$A$1:$P$519, 6, FALSE), ""), "")</f>
        <v>Both</v>
      </c>
      <c r="I416" s="72">
        <f>_xlfn.IFNA(IF('Interactive Selection Sheet'!K247= "", VLOOKUP('Interactive Selection Sheet'!$L247, 'Master List Import'!$A$1:$P$519, 7, FALSE), ""), "")</f>
        <v>0.65539999999999998</v>
      </c>
      <c r="J416" s="69" t="str">
        <f>_xlfn.IFNA(IF('Interactive Selection Sheet'!K247= "", VLOOKUP('Interactive Selection Sheet'!$L247, 'Master List Import'!$A$1:$P$519, 8, FALSE), ""), "")</f>
        <v>Vistar</v>
      </c>
      <c r="K416" s="69" t="str">
        <f>_xlfn.IFNA(IF('Interactive Selection Sheet'!K247= "", VLOOKUP('Interactive Selection Sheet'!$L247, 'Master List Import'!$A$1:$P$519, 9, FALSE), ""), "")</f>
        <v>PIM02733</v>
      </c>
      <c r="L416" s="69">
        <f>_xlfn.IFNA(IF('Interactive Selection Sheet'!K247= "", VLOOKUP('Interactive Selection Sheet'!$L247, 'Master List Import'!$A$1:$P$519, 10, FALSE), ""), "")</f>
        <v>0</v>
      </c>
      <c r="M416" s="69">
        <f>_xlfn.IFNA(IF('Interactive Selection Sheet'!K247= "", VLOOKUP('Interactive Selection Sheet'!$L247, 'Master List Import'!$A$1:$P$519, 11, FALSE), ""), "")</f>
        <v>0</v>
      </c>
      <c r="N416" s="69">
        <f>_xlfn.IFNA(IF('Interactive Selection Sheet'!K247= "", VLOOKUP('Interactive Selection Sheet'!$L247, 'Master List Import'!$A$1:$P$519, 12, FALSE), ""), "")</f>
        <v>48</v>
      </c>
      <c r="O416" s="69">
        <f>_xlfn.IFNA(IF('Interactive Selection Sheet'!K247= "", VLOOKUP('Interactive Selection Sheet'!$L247, 'Master List Import'!$A$1:$P$519, 13, FALSE), ""), "")</f>
        <v>7502</v>
      </c>
      <c r="P416" s="69" t="str">
        <f>_xlfn.IFNA(IF('Interactive Selection Sheet'!K247= "", VLOOKUP('Interactive Selection Sheet'!$L247, 'Master List Import'!$A$1:$P$519, 14, FALSE), ""), "")</f>
        <v>Gummi Sour Worms</v>
      </c>
      <c r="Q416" s="69">
        <f>_xlfn.IFNA(IF('Interactive Selection Sheet'!K247= "", VLOOKUP('Interactive Selection Sheet'!$L247, 'Master List Import'!$A$1:$P$519, 15, FALSE), ""), "")</f>
        <v>1</v>
      </c>
      <c r="R416" s="74">
        <f>_xlfn.IFNA(IF('Interactive Selection Sheet'!K247= "", VLOOKUP('Interactive Selection Sheet'!$L247, 'Master List Import'!$A$1:$P$519, 16, FALSE), ""), "")</f>
        <v>2.1</v>
      </c>
    </row>
    <row r="417" spans="1:18" ht="21.75" customHeight="1" x14ac:dyDescent="0.25">
      <c r="A417" s="69">
        <f>_xlfn.IFNA(IF('Interactive Selection Sheet'!$K248= "", VLOOKUP('Interactive Selection Sheet'!$L248, 'Master List Import'!$A$1:$P$519, 2, FALSE), ""), "")</f>
        <v>7503</v>
      </c>
      <c r="B417" s="69" t="str">
        <f>_xlfn.IFNA(IF('Interactive Selection Sheet'!$K248= "", VLOOKUP('Interactive Selection Sheet'!$L248, 'Master List Import'!$A$1:$P$519, 3, FALSE), ""), "")</f>
        <v>Sour Brite Crawlers,Very Berry, 5oz - 12/cs</v>
      </c>
      <c r="C417" s="76">
        <f>IF('Interactive Selection Sheet'!$T$2="", "", IF(B417="","",'Interactive Selection Sheet'!$T$2))</f>
        <v>3.5000000000000003E-2</v>
      </c>
      <c r="D417" s="70">
        <f>IF(B417 = "", "", 'Interactive Selection Sheet'!$P$2)</f>
        <v>4.4999999999999998E-2</v>
      </c>
      <c r="E417" s="70">
        <f>IF(B417="","", 'Interactive Selection Sheet'!$R$2)</f>
        <v>0.02</v>
      </c>
      <c r="F417" s="69" t="str">
        <f>_xlfn.IFNA(IF('Interactive Selection Sheet'!K248= "", VLOOKUP('Interactive Selection Sheet'!$L248, 'Master List Import'!$A$1:$P$519, 4, FALSE), ""), "")</f>
        <v>Snacks - Candy</v>
      </c>
      <c r="G417" s="69" t="str">
        <f>_xlfn.IFNA(IF('Interactive Selection Sheet'!K248= "", VLOOKUP('Interactive Selection Sheet'!$L248, 'Master List Import'!$A$1:$P$519, 5, FALSE), ""), "")</f>
        <v>Snacks - Candy</v>
      </c>
      <c r="H417" s="69" t="str">
        <f>_xlfn.IFNA(IF('Interactive Selection Sheet'!K248= "", VLOOKUP('Interactive Selection Sheet'!$L248, 'Master List Import'!$A$1:$P$519, 6, FALSE), ""), "")</f>
        <v>Both</v>
      </c>
      <c r="I417" s="72">
        <f>_xlfn.IFNA(IF('Interactive Selection Sheet'!K248= "", VLOOKUP('Interactive Selection Sheet'!$L248, 'Master List Import'!$A$1:$P$519, 7, FALSE), ""), "")</f>
        <v>1.1174999999999999</v>
      </c>
      <c r="J417" s="69" t="str">
        <f>_xlfn.IFNA(IF('Interactive Selection Sheet'!K248= "", VLOOKUP('Interactive Selection Sheet'!$L248, 'Master List Import'!$A$1:$P$519, 8, FALSE), ""), "")</f>
        <v>Vistar</v>
      </c>
      <c r="K417" s="69" t="str">
        <f>_xlfn.IFNA(IF('Interactive Selection Sheet'!K248= "", VLOOKUP('Interactive Selection Sheet'!$L248, 'Master List Import'!$A$1:$P$519, 9, FALSE), ""), "")</f>
        <v>FER03852</v>
      </c>
      <c r="L417" s="69">
        <f>_xlfn.IFNA(IF('Interactive Selection Sheet'!K248= "", VLOOKUP('Interactive Selection Sheet'!$L248, 'Master List Import'!$A$1:$P$519, 10, FALSE), ""), "")</f>
        <v>0</v>
      </c>
      <c r="M417" s="69">
        <f>_xlfn.IFNA(IF('Interactive Selection Sheet'!K248= "", VLOOKUP('Interactive Selection Sheet'!$L248, 'Master List Import'!$A$1:$P$519, 11, FALSE), ""), "")</f>
        <v>0</v>
      </c>
      <c r="N417" s="69">
        <f>_xlfn.IFNA(IF('Interactive Selection Sheet'!K248= "", VLOOKUP('Interactive Selection Sheet'!$L248, 'Master List Import'!$A$1:$P$519, 12, FALSE), ""), "")</f>
        <v>12</v>
      </c>
      <c r="O417" s="69">
        <f>_xlfn.IFNA(IF('Interactive Selection Sheet'!K248= "", VLOOKUP('Interactive Selection Sheet'!$L248, 'Master List Import'!$A$1:$P$519, 13, FALSE), ""), "")</f>
        <v>7503</v>
      </c>
      <c r="P417" s="69" t="str">
        <f>_xlfn.IFNA(IF('Interactive Selection Sheet'!K248= "", VLOOKUP('Interactive Selection Sheet'!$L248, 'Master List Import'!$A$1:$P$519, 14, FALSE), ""), "")</f>
        <v>Very Berry Sour Brite Crawlers</v>
      </c>
      <c r="Q417" s="69">
        <f>_xlfn.IFNA(IF('Interactive Selection Sheet'!K248= "", VLOOKUP('Interactive Selection Sheet'!$L248, 'Master List Import'!$A$1:$P$519, 15, FALSE), ""), "")</f>
        <v>1</v>
      </c>
      <c r="R417" s="74">
        <f>_xlfn.IFNA(IF('Interactive Selection Sheet'!K248= "", VLOOKUP('Interactive Selection Sheet'!$L248, 'Master List Import'!$A$1:$P$519, 16, FALSE), ""), "")</f>
        <v>3.5</v>
      </c>
    </row>
    <row r="418" spans="1:18" ht="21.75" customHeight="1" x14ac:dyDescent="0.25">
      <c r="A418" s="69">
        <f>_xlfn.IFNA(IF('Interactive Selection Sheet'!$K249= "", VLOOKUP('Interactive Selection Sheet'!$L249, 'Master List Import'!$A$1:$P$519, 2, FALSE), ""), "")</f>
        <v>7504</v>
      </c>
      <c r="B418" s="69" t="str">
        <f>_xlfn.IFNA(IF('Interactive Selection Sheet'!$K249= "", VLOOKUP('Interactive Selection Sheet'!$L249, 'Master List Import'!$A$1:$P$519, 3, FALSE), ""), "")</f>
        <v>Sour Brite Crawlers, 5oz - 12/cs</v>
      </c>
      <c r="C418" s="76">
        <f>IF('Interactive Selection Sheet'!$T$2="", "", IF(B418="","",'Interactive Selection Sheet'!$T$2))</f>
        <v>3.5000000000000003E-2</v>
      </c>
      <c r="D418" s="70">
        <f>IF(B418 = "", "", 'Interactive Selection Sheet'!$P$2)</f>
        <v>4.4999999999999998E-2</v>
      </c>
      <c r="E418" s="70">
        <f>IF(B418="","", 'Interactive Selection Sheet'!$R$2)</f>
        <v>0.02</v>
      </c>
      <c r="F418" s="69" t="str">
        <f>_xlfn.IFNA(IF('Interactive Selection Sheet'!K249= "", VLOOKUP('Interactive Selection Sheet'!$L249, 'Master List Import'!$A$1:$P$519, 4, FALSE), ""), "")</f>
        <v>Snacks - Candy</v>
      </c>
      <c r="G418" s="69" t="str">
        <f>_xlfn.IFNA(IF('Interactive Selection Sheet'!K249= "", VLOOKUP('Interactive Selection Sheet'!$L249, 'Master List Import'!$A$1:$P$519, 5, FALSE), ""), "")</f>
        <v>Snacks - Candy</v>
      </c>
      <c r="H418" s="69" t="str">
        <f>_xlfn.IFNA(IF('Interactive Selection Sheet'!K249= "", VLOOKUP('Interactive Selection Sheet'!$L249, 'Master List Import'!$A$1:$P$519, 6, FALSE), ""), "")</f>
        <v>Both</v>
      </c>
      <c r="I418" s="72">
        <f>_xlfn.IFNA(IF('Interactive Selection Sheet'!K249= "", VLOOKUP('Interactive Selection Sheet'!$L249, 'Master List Import'!$A$1:$P$519, 7, FALSE), ""), "")</f>
        <v>1.1174999999999999</v>
      </c>
      <c r="J418" s="69" t="str">
        <f>_xlfn.IFNA(IF('Interactive Selection Sheet'!K249= "", VLOOKUP('Interactive Selection Sheet'!$L249, 'Master List Import'!$A$1:$P$519, 8, FALSE), ""), "")</f>
        <v>Vistar</v>
      </c>
      <c r="K418" s="69" t="str">
        <f>_xlfn.IFNA(IF('Interactive Selection Sheet'!K249= "", VLOOKUP('Interactive Selection Sheet'!$L249, 'Master List Import'!$A$1:$P$519, 9, FALSE), ""), "")</f>
        <v>FER03851</v>
      </c>
      <c r="L418" s="69">
        <f>_xlfn.IFNA(IF('Interactive Selection Sheet'!K249= "", VLOOKUP('Interactive Selection Sheet'!$L249, 'Master List Import'!$A$1:$P$519, 10, FALSE), ""), "")</f>
        <v>0</v>
      </c>
      <c r="M418" s="69">
        <f>_xlfn.IFNA(IF('Interactive Selection Sheet'!K249= "", VLOOKUP('Interactive Selection Sheet'!$L249, 'Master List Import'!$A$1:$P$519, 11, FALSE), ""), "")</f>
        <v>0</v>
      </c>
      <c r="N418" s="69">
        <f>_xlfn.IFNA(IF('Interactive Selection Sheet'!K249= "", VLOOKUP('Interactive Selection Sheet'!$L249, 'Master List Import'!$A$1:$P$519, 12, FALSE), ""), "")</f>
        <v>12</v>
      </c>
      <c r="O418" s="69">
        <f>_xlfn.IFNA(IF('Interactive Selection Sheet'!K249= "", VLOOKUP('Interactive Selection Sheet'!$L249, 'Master List Import'!$A$1:$P$519, 13, FALSE), ""), "")</f>
        <v>7504</v>
      </c>
      <c r="P418" s="69" t="str">
        <f>_xlfn.IFNA(IF('Interactive Selection Sheet'!K249= "", VLOOKUP('Interactive Selection Sheet'!$L249, 'Master List Import'!$A$1:$P$519, 14, FALSE), ""), "")</f>
        <v>Sour Brite Crawlers</v>
      </c>
      <c r="Q418" s="69">
        <f>_xlfn.IFNA(IF('Interactive Selection Sheet'!K249= "", VLOOKUP('Interactive Selection Sheet'!$L249, 'Master List Import'!$A$1:$P$519, 15, FALSE), ""), "")</f>
        <v>1</v>
      </c>
      <c r="R418" s="74">
        <f>_xlfn.IFNA(IF('Interactive Selection Sheet'!K249= "", VLOOKUP('Interactive Selection Sheet'!$L249, 'Master List Import'!$A$1:$P$519, 16, FALSE), ""), "")</f>
        <v>3.5</v>
      </c>
    </row>
    <row r="419" spans="1:18" ht="21.75" customHeight="1" x14ac:dyDescent="0.25">
      <c r="A419" s="69">
        <f>_xlfn.IFNA(IF('Interactive Selection Sheet'!$K250= "", VLOOKUP('Interactive Selection Sheet'!$L250, 'Master List Import'!$A$1:$P$519, 2, FALSE), ""), "")</f>
        <v>7505</v>
      </c>
      <c r="B419" s="69" t="str">
        <f>_xlfn.IFNA(IF('Interactive Selection Sheet'!$K250= "", VLOOKUP('Interactive Selection Sheet'!$L250, 'Master List Import'!$A$1:$P$519, 3, FALSE), ""), "")</f>
        <v>Sour Patch Kids, 5oz - 24/cs</v>
      </c>
      <c r="C419" s="76">
        <f>IF('Interactive Selection Sheet'!$T$2="", "", IF(B419="","",'Interactive Selection Sheet'!$T$2))</f>
        <v>3.5000000000000003E-2</v>
      </c>
      <c r="D419" s="70">
        <f>IF(B419 = "", "", 'Interactive Selection Sheet'!$P$2)</f>
        <v>4.4999999999999998E-2</v>
      </c>
      <c r="E419" s="70">
        <f>IF(B419="","", 'Interactive Selection Sheet'!$R$2)</f>
        <v>0.02</v>
      </c>
      <c r="F419" s="69" t="str">
        <f>_xlfn.IFNA(IF('Interactive Selection Sheet'!K250= "", VLOOKUP('Interactive Selection Sheet'!$L250, 'Master List Import'!$A$1:$P$519, 4, FALSE), ""), "")</f>
        <v>Snacks - Candy</v>
      </c>
      <c r="G419" s="69" t="str">
        <f>_xlfn.IFNA(IF('Interactive Selection Sheet'!K250= "", VLOOKUP('Interactive Selection Sheet'!$L250, 'Master List Import'!$A$1:$P$519, 5, FALSE), ""), "")</f>
        <v>Snacks - Candy</v>
      </c>
      <c r="H419" s="69" t="str">
        <f>_xlfn.IFNA(IF('Interactive Selection Sheet'!K250= "", VLOOKUP('Interactive Selection Sheet'!$L250, 'Master List Import'!$A$1:$P$519, 6, FALSE), ""), "")</f>
        <v>Both</v>
      </c>
      <c r="I419" s="72">
        <f>_xlfn.IFNA(IF('Interactive Selection Sheet'!K250= "", VLOOKUP('Interactive Selection Sheet'!$L250, 'Master List Import'!$A$1:$P$519, 7, FALSE), ""), "")</f>
        <v>0.9879</v>
      </c>
      <c r="J419" s="69" t="str">
        <f>_xlfn.IFNA(IF('Interactive Selection Sheet'!K250= "", VLOOKUP('Interactive Selection Sheet'!$L250, 'Master List Import'!$A$1:$P$519, 8, FALSE), ""), "")</f>
        <v>Vistar</v>
      </c>
      <c r="K419" s="69" t="str">
        <f>_xlfn.IFNA(IF('Interactive Selection Sheet'!K250= "", VLOOKUP('Interactive Selection Sheet'!$L250, 'Master List Import'!$A$1:$P$519, 9, FALSE), ""), "")</f>
        <v>JAR1506227</v>
      </c>
      <c r="L419" s="69">
        <f>_xlfn.IFNA(IF('Interactive Selection Sheet'!K250= "", VLOOKUP('Interactive Selection Sheet'!$L250, 'Master List Import'!$A$1:$P$519, 10, FALSE), ""), "")</f>
        <v>0</v>
      </c>
      <c r="M419" s="69">
        <f>_xlfn.IFNA(IF('Interactive Selection Sheet'!K250= "", VLOOKUP('Interactive Selection Sheet'!$L250, 'Master List Import'!$A$1:$P$519, 11, FALSE), ""), "")</f>
        <v>0</v>
      </c>
      <c r="N419" s="69">
        <f>_xlfn.IFNA(IF('Interactive Selection Sheet'!K250= "", VLOOKUP('Interactive Selection Sheet'!$L250, 'Master List Import'!$A$1:$P$519, 12, FALSE), ""), "")</f>
        <v>24</v>
      </c>
      <c r="O419" s="69">
        <f>_xlfn.IFNA(IF('Interactive Selection Sheet'!K250= "", VLOOKUP('Interactive Selection Sheet'!$L250, 'Master List Import'!$A$1:$P$519, 13, FALSE), ""), "")</f>
        <v>7505</v>
      </c>
      <c r="P419" s="69" t="str">
        <f>_xlfn.IFNA(IF('Interactive Selection Sheet'!K250= "", VLOOKUP('Interactive Selection Sheet'!$L250, 'Master List Import'!$A$1:$P$519, 14, FALSE), ""), "")</f>
        <v>Sour Patch Kids</v>
      </c>
      <c r="Q419" s="69">
        <f>_xlfn.IFNA(IF('Interactive Selection Sheet'!K250= "", VLOOKUP('Interactive Selection Sheet'!$L250, 'Master List Import'!$A$1:$P$519, 15, FALSE), ""), "")</f>
        <v>1</v>
      </c>
      <c r="R419" s="74">
        <f>_xlfn.IFNA(IF('Interactive Selection Sheet'!K250= "", VLOOKUP('Interactive Selection Sheet'!$L250, 'Master List Import'!$A$1:$P$519, 16, FALSE), ""), "")</f>
        <v>3</v>
      </c>
    </row>
    <row r="420" spans="1:18" ht="21.75" customHeight="1" x14ac:dyDescent="0.25">
      <c r="A420" s="69">
        <f>_xlfn.IFNA(IF('Interactive Selection Sheet'!$K251= "", VLOOKUP('Interactive Selection Sheet'!$L251, 'Master List Import'!$A$1:$P$519, 2, FALSE), ""), "")</f>
        <v>7506</v>
      </c>
      <c r="B420" s="69" t="str">
        <f>_xlfn.IFNA(IF('Interactive Selection Sheet'!$K251= "", VLOOKUP('Interactive Selection Sheet'!$L251, 'Master List Import'!$A$1:$P$519, 3, FALSE), ""), "")</f>
        <v>Sour Patch Watermelon, 5oz - 12/cs</v>
      </c>
      <c r="C420" s="76">
        <f>IF('Interactive Selection Sheet'!$T$2="", "", IF(B420="","",'Interactive Selection Sheet'!$T$2))</f>
        <v>3.5000000000000003E-2</v>
      </c>
      <c r="D420" s="70">
        <f>IF(B420 = "", "", 'Interactive Selection Sheet'!$P$2)</f>
        <v>4.4999999999999998E-2</v>
      </c>
      <c r="E420" s="70">
        <f>IF(B420="","", 'Interactive Selection Sheet'!$R$2)</f>
        <v>0.02</v>
      </c>
      <c r="F420" s="69" t="str">
        <f>_xlfn.IFNA(IF('Interactive Selection Sheet'!K251= "", VLOOKUP('Interactive Selection Sheet'!$L251, 'Master List Import'!$A$1:$P$519, 4, FALSE), ""), "")</f>
        <v>Snacks - Candy</v>
      </c>
      <c r="G420" s="69" t="str">
        <f>_xlfn.IFNA(IF('Interactive Selection Sheet'!K251= "", VLOOKUP('Interactive Selection Sheet'!$L251, 'Master List Import'!$A$1:$P$519, 5, FALSE), ""), "")</f>
        <v>Snacks - Candy</v>
      </c>
      <c r="H420" s="69" t="str">
        <f>_xlfn.IFNA(IF('Interactive Selection Sheet'!K251= "", VLOOKUP('Interactive Selection Sheet'!$L251, 'Master List Import'!$A$1:$P$519, 6, FALSE), ""), "")</f>
        <v>Both</v>
      </c>
      <c r="I420" s="72">
        <f>_xlfn.IFNA(IF('Interactive Selection Sheet'!K251= "", VLOOKUP('Interactive Selection Sheet'!$L251, 'Master List Import'!$A$1:$P$519, 7, FALSE), ""), "")</f>
        <v>0.98909999999999998</v>
      </c>
      <c r="J420" s="69" t="str">
        <f>_xlfn.IFNA(IF('Interactive Selection Sheet'!K251= "", VLOOKUP('Interactive Selection Sheet'!$L251, 'Master List Import'!$A$1:$P$519, 8, FALSE), ""), "")</f>
        <v>Vistar</v>
      </c>
      <c r="K420" s="69" t="str">
        <f>_xlfn.IFNA(IF('Interactive Selection Sheet'!K251= "", VLOOKUP('Interactive Selection Sheet'!$L251, 'Master List Import'!$A$1:$P$519, 9, FALSE), ""), "")</f>
        <v>JAR1506224</v>
      </c>
      <c r="L420" s="69">
        <f>_xlfn.IFNA(IF('Interactive Selection Sheet'!K251= "", VLOOKUP('Interactive Selection Sheet'!$L251, 'Master List Import'!$A$1:$P$519, 10, FALSE), ""), "")</f>
        <v>0</v>
      </c>
      <c r="M420" s="69">
        <f>_xlfn.IFNA(IF('Interactive Selection Sheet'!K251= "", VLOOKUP('Interactive Selection Sheet'!$L251, 'Master List Import'!$A$1:$P$519, 11, FALSE), ""), "")</f>
        <v>0</v>
      </c>
      <c r="N420" s="69">
        <f>_xlfn.IFNA(IF('Interactive Selection Sheet'!K251= "", VLOOKUP('Interactive Selection Sheet'!$L251, 'Master List Import'!$A$1:$P$519, 12, FALSE), ""), "")</f>
        <v>12</v>
      </c>
      <c r="O420" s="69">
        <f>_xlfn.IFNA(IF('Interactive Selection Sheet'!K251= "", VLOOKUP('Interactive Selection Sheet'!$L251, 'Master List Import'!$A$1:$P$519, 13, FALSE), ""), "")</f>
        <v>7506</v>
      </c>
      <c r="P420" s="69" t="str">
        <f>_xlfn.IFNA(IF('Interactive Selection Sheet'!K251= "", VLOOKUP('Interactive Selection Sheet'!$L251, 'Master List Import'!$A$1:$P$519, 14, FALSE), ""), "")</f>
        <v>Watermelon Sour Patch Kids</v>
      </c>
      <c r="Q420" s="69">
        <f>_xlfn.IFNA(IF('Interactive Selection Sheet'!K251= "", VLOOKUP('Interactive Selection Sheet'!$L251, 'Master List Import'!$A$1:$P$519, 15, FALSE), ""), "")</f>
        <v>1</v>
      </c>
      <c r="R420" s="74">
        <f>_xlfn.IFNA(IF('Interactive Selection Sheet'!K251= "", VLOOKUP('Interactive Selection Sheet'!$L251, 'Master List Import'!$A$1:$P$519, 16, FALSE), ""), "")</f>
        <v>3</v>
      </c>
    </row>
    <row r="421" spans="1:18" ht="21.75" customHeight="1" x14ac:dyDescent="0.25">
      <c r="A421" s="69">
        <f>_xlfn.IFNA(IF('Interactive Selection Sheet'!$K252= "", VLOOKUP('Interactive Selection Sheet'!$L252, 'Master List Import'!$A$1:$P$519, 2, FALSE), ""), "")</f>
        <v>7520</v>
      </c>
      <c r="B421" s="69" t="str">
        <f>_xlfn.IFNA(IF('Interactive Selection Sheet'!$K252= "", VLOOKUP('Interactive Selection Sheet'!$L252, 'Master List Import'!$A$1:$P$519, 3, FALSE), ""), "")</f>
        <v>Skittles Original, 2.17oz - 10/36/cs</v>
      </c>
      <c r="C421" s="76">
        <f>IF('Interactive Selection Sheet'!$T$2="", "", IF(B421="","",'Interactive Selection Sheet'!$T$2))</f>
        <v>3.5000000000000003E-2</v>
      </c>
      <c r="D421" s="70">
        <f>IF(B421 = "", "", 'Interactive Selection Sheet'!$P$2)</f>
        <v>4.4999999999999998E-2</v>
      </c>
      <c r="E421" s="70">
        <f>IF(B421="","", 'Interactive Selection Sheet'!$R$2)</f>
        <v>0.02</v>
      </c>
      <c r="F421" s="69" t="str">
        <f>_xlfn.IFNA(IF('Interactive Selection Sheet'!K252= "", VLOOKUP('Interactive Selection Sheet'!$L252, 'Master List Import'!$A$1:$P$519, 4, FALSE), ""), "")</f>
        <v>Snacks - Candy</v>
      </c>
      <c r="G421" s="69" t="str">
        <f>_xlfn.IFNA(IF('Interactive Selection Sheet'!K252= "", VLOOKUP('Interactive Selection Sheet'!$L252, 'Master List Import'!$A$1:$P$519, 5, FALSE), ""), "")</f>
        <v>Snacks - Candy</v>
      </c>
      <c r="H421" s="69" t="str">
        <f>_xlfn.IFNA(IF('Interactive Selection Sheet'!K252= "", VLOOKUP('Interactive Selection Sheet'!$L252, 'Master List Import'!$A$1:$P$519, 6, FALSE), ""), "")</f>
        <v>Both</v>
      </c>
      <c r="I421" s="72">
        <f>_xlfn.IFNA(IF('Interactive Selection Sheet'!K252= "", VLOOKUP('Interactive Selection Sheet'!$L252, 'Master List Import'!$A$1:$P$519, 7, FALSE), ""), "")</f>
        <v>0.7238</v>
      </c>
      <c r="J421" s="69" t="str">
        <f>_xlfn.IFNA(IF('Interactive Selection Sheet'!K252= "", VLOOKUP('Interactive Selection Sheet'!$L252, 'Master List Import'!$A$1:$P$519, 8, FALSE), ""), "")</f>
        <v>Vistar</v>
      </c>
      <c r="K421" s="69" t="str">
        <f>_xlfn.IFNA(IF('Interactive Selection Sheet'!K252= "", VLOOKUP('Interactive Selection Sheet'!$L252, 'Master List Import'!$A$1:$P$519, 9, FALSE), ""), "")</f>
        <v>MMM01160</v>
      </c>
      <c r="L421" s="69">
        <f>_xlfn.IFNA(IF('Interactive Selection Sheet'!K252= "", VLOOKUP('Interactive Selection Sheet'!$L252, 'Master List Import'!$A$1:$P$519, 10, FALSE), ""), "")</f>
        <v>0</v>
      </c>
      <c r="M421" s="69">
        <f>_xlfn.IFNA(IF('Interactive Selection Sheet'!K252= "", VLOOKUP('Interactive Selection Sheet'!$L252, 'Master List Import'!$A$1:$P$519, 11, FALSE), ""), "")</f>
        <v>0</v>
      </c>
      <c r="N421" s="69">
        <f>_xlfn.IFNA(IF('Interactive Selection Sheet'!K252= "", VLOOKUP('Interactive Selection Sheet'!$L252, 'Master List Import'!$A$1:$P$519, 12, FALSE), ""), "")</f>
        <v>36</v>
      </c>
      <c r="O421" s="69">
        <f>_xlfn.IFNA(IF('Interactive Selection Sheet'!K252= "", VLOOKUP('Interactive Selection Sheet'!$L252, 'Master List Import'!$A$1:$P$519, 13, FALSE), ""), "")</f>
        <v>7520</v>
      </c>
      <c r="P421" s="69" t="str">
        <f>_xlfn.IFNA(IF('Interactive Selection Sheet'!K252= "", VLOOKUP('Interactive Selection Sheet'!$L252, 'Master List Import'!$A$1:$P$519, 14, FALSE), ""), "")</f>
        <v>Skittles</v>
      </c>
      <c r="Q421" s="69">
        <f>_xlfn.IFNA(IF('Interactive Selection Sheet'!K252= "", VLOOKUP('Interactive Selection Sheet'!$L252, 'Master List Import'!$A$1:$P$519, 15, FALSE), ""), "")</f>
        <v>1</v>
      </c>
      <c r="R421" s="74">
        <f>_xlfn.IFNA(IF('Interactive Selection Sheet'!K252= "", VLOOKUP('Interactive Selection Sheet'!$L252, 'Master List Import'!$A$1:$P$519, 16, FALSE), ""), "")</f>
        <v>2.2000000000000002</v>
      </c>
    </row>
    <row r="422" spans="1:18" ht="21.75" customHeight="1" x14ac:dyDescent="0.25">
      <c r="A422" s="69">
        <f>_xlfn.IFNA(IF('Interactive Selection Sheet'!$K253= "", VLOOKUP('Interactive Selection Sheet'!$L253, 'Master List Import'!$A$1:$P$519, 2, FALSE), ""), "")</f>
        <v>7521</v>
      </c>
      <c r="B422" s="69" t="str">
        <f>_xlfn.IFNA(IF('Interactive Selection Sheet'!$K253= "", VLOOKUP('Interactive Selection Sheet'!$L253, 'Master List Import'!$A$1:$P$519, 3, FALSE), ""), "")</f>
        <v>Starburst Fruit Chews Original, 2.07oz - 10/36/cs</v>
      </c>
      <c r="C422" s="76">
        <f>IF('Interactive Selection Sheet'!$T$2="", "", IF(B422="","",'Interactive Selection Sheet'!$T$2))</f>
        <v>3.5000000000000003E-2</v>
      </c>
      <c r="D422" s="70">
        <f>IF(B422 = "", "", 'Interactive Selection Sheet'!$P$2)</f>
        <v>4.4999999999999998E-2</v>
      </c>
      <c r="E422" s="70">
        <f>IF(B422="","", 'Interactive Selection Sheet'!$R$2)</f>
        <v>0.02</v>
      </c>
      <c r="F422" s="69" t="str">
        <f>_xlfn.IFNA(IF('Interactive Selection Sheet'!K253= "", VLOOKUP('Interactive Selection Sheet'!$L253, 'Master List Import'!$A$1:$P$519, 4, FALSE), ""), "")</f>
        <v>Snacks - Candy</v>
      </c>
      <c r="G422" s="69" t="str">
        <f>_xlfn.IFNA(IF('Interactive Selection Sheet'!K253= "", VLOOKUP('Interactive Selection Sheet'!$L253, 'Master List Import'!$A$1:$P$519, 5, FALSE), ""), "")</f>
        <v>Snacks - Candy</v>
      </c>
      <c r="H422" s="69" t="str">
        <f>_xlfn.IFNA(IF('Interactive Selection Sheet'!K253= "", VLOOKUP('Interactive Selection Sheet'!$L253, 'Master List Import'!$A$1:$P$519, 6, FALSE), ""), "")</f>
        <v>Both</v>
      </c>
      <c r="I422" s="72">
        <f>_xlfn.IFNA(IF('Interactive Selection Sheet'!K253= "", VLOOKUP('Interactive Selection Sheet'!$L253, 'Master List Import'!$A$1:$P$519, 7, FALSE), ""), "")</f>
        <v>0.7238</v>
      </c>
      <c r="J422" s="69" t="str">
        <f>_xlfn.IFNA(IF('Interactive Selection Sheet'!K253= "", VLOOKUP('Interactive Selection Sheet'!$L253, 'Master List Import'!$A$1:$P$519, 8, FALSE), ""), "")</f>
        <v>Vistar</v>
      </c>
      <c r="K422" s="69" t="str">
        <f>_xlfn.IFNA(IF('Interactive Selection Sheet'!K253= "", VLOOKUP('Interactive Selection Sheet'!$L253, 'Master List Import'!$A$1:$P$519, 9, FALSE), ""), "")</f>
        <v>MMM01151</v>
      </c>
      <c r="L422" s="69">
        <f>_xlfn.IFNA(IF('Interactive Selection Sheet'!K253= "", VLOOKUP('Interactive Selection Sheet'!$L253, 'Master List Import'!$A$1:$P$519, 10, FALSE), ""), "")</f>
        <v>0</v>
      </c>
      <c r="M422" s="69">
        <f>_xlfn.IFNA(IF('Interactive Selection Sheet'!K253= "", VLOOKUP('Interactive Selection Sheet'!$L253, 'Master List Import'!$A$1:$P$519, 11, FALSE), ""), "")</f>
        <v>0</v>
      </c>
      <c r="N422" s="69">
        <f>_xlfn.IFNA(IF('Interactive Selection Sheet'!K253= "", VLOOKUP('Interactive Selection Sheet'!$L253, 'Master List Import'!$A$1:$P$519, 12, FALSE), ""), "")</f>
        <v>36</v>
      </c>
      <c r="O422" s="69">
        <f>_xlfn.IFNA(IF('Interactive Selection Sheet'!K253= "", VLOOKUP('Interactive Selection Sheet'!$L253, 'Master List Import'!$A$1:$P$519, 13, FALSE), ""), "")</f>
        <v>7521</v>
      </c>
      <c r="P422" s="69" t="str">
        <f>_xlfn.IFNA(IF('Interactive Selection Sheet'!K253= "", VLOOKUP('Interactive Selection Sheet'!$L253, 'Master List Import'!$A$1:$P$519, 14, FALSE), ""), "")</f>
        <v>Starburst Fruit Chews</v>
      </c>
      <c r="Q422" s="69">
        <f>_xlfn.IFNA(IF('Interactive Selection Sheet'!K253= "", VLOOKUP('Interactive Selection Sheet'!$L253, 'Master List Import'!$A$1:$P$519, 15, FALSE), ""), "")</f>
        <v>1</v>
      </c>
      <c r="R422" s="74">
        <f>_xlfn.IFNA(IF('Interactive Selection Sheet'!K253= "", VLOOKUP('Interactive Selection Sheet'!$L253, 'Master List Import'!$A$1:$P$519, 16, FALSE), ""), "")</f>
        <v>2.2000000000000002</v>
      </c>
    </row>
    <row r="423" spans="1:18" ht="21.75" customHeight="1" x14ac:dyDescent="0.25">
      <c r="A423" s="69">
        <f>_xlfn.IFNA(IF('Interactive Selection Sheet'!$K254= "", VLOOKUP('Interactive Selection Sheet'!$L254, 'Master List Import'!$A$1:$P$519, 2, FALSE), ""), "")</f>
        <v>7522</v>
      </c>
      <c r="B423" s="69" t="str">
        <f>_xlfn.IFNA(IF('Interactive Selection Sheet'!$K254= "", VLOOKUP('Interactive Selection Sheet'!$L254, 'Master List Import'!$A$1:$P$519, 3, FALSE), ""), "")</f>
        <v>AirHeads, Mixed Flavors - 12/60/cs</v>
      </c>
      <c r="C423" s="76">
        <f>IF('Interactive Selection Sheet'!$T$2="", "", IF(B423="","",'Interactive Selection Sheet'!$T$2))</f>
        <v>3.5000000000000003E-2</v>
      </c>
      <c r="D423" s="70">
        <f>IF(B423 = "", "", 'Interactive Selection Sheet'!$P$2)</f>
        <v>4.4999999999999998E-2</v>
      </c>
      <c r="E423" s="70">
        <f>IF(B423="","", 'Interactive Selection Sheet'!$R$2)</f>
        <v>0.02</v>
      </c>
      <c r="F423" s="69" t="str">
        <f>_xlfn.IFNA(IF('Interactive Selection Sheet'!K254= "", VLOOKUP('Interactive Selection Sheet'!$L254, 'Master List Import'!$A$1:$P$519, 4, FALSE), ""), "")</f>
        <v>Snacks - Candy</v>
      </c>
      <c r="G423" s="69" t="str">
        <f>_xlfn.IFNA(IF('Interactive Selection Sheet'!K254= "", VLOOKUP('Interactive Selection Sheet'!$L254, 'Master List Import'!$A$1:$P$519, 5, FALSE), ""), "")</f>
        <v>Snacks - Candy</v>
      </c>
      <c r="H423" s="69" t="str">
        <f>_xlfn.IFNA(IF('Interactive Selection Sheet'!K254= "", VLOOKUP('Interactive Selection Sheet'!$L254, 'Master List Import'!$A$1:$P$519, 6, FALSE), ""), "")</f>
        <v>Both</v>
      </c>
      <c r="I423" s="72">
        <f>_xlfn.IFNA(IF('Interactive Selection Sheet'!K254= "", VLOOKUP('Interactive Selection Sheet'!$L254, 'Master List Import'!$A$1:$P$519, 7, FALSE), ""), "")</f>
        <v>0.15040000000000001</v>
      </c>
      <c r="J423" s="69" t="str">
        <f>_xlfn.IFNA(IF('Interactive Selection Sheet'!K254= "", VLOOKUP('Interactive Selection Sheet'!$L254, 'Master List Import'!$A$1:$P$519, 8, FALSE), ""), "")</f>
        <v>Reinhart Foodservice</v>
      </c>
      <c r="K423" s="69" t="str">
        <f>_xlfn.IFNA(IF('Interactive Selection Sheet'!K254= "", VLOOKUP('Interactive Selection Sheet'!$L254, 'Master List Import'!$A$1:$P$519, 9, FALSE), ""), "")</f>
        <v>FD610</v>
      </c>
      <c r="L423" s="69">
        <f>_xlfn.IFNA(IF('Interactive Selection Sheet'!K254= "", VLOOKUP('Interactive Selection Sheet'!$L254, 'Master List Import'!$A$1:$P$519, 10, FALSE), ""), "")</f>
        <v>0</v>
      </c>
      <c r="M423" s="69">
        <f>_xlfn.IFNA(IF('Interactive Selection Sheet'!K254= "", VLOOKUP('Interactive Selection Sheet'!$L254, 'Master List Import'!$A$1:$P$519, 11, FALSE), ""), "")</f>
        <v>0</v>
      </c>
      <c r="N423" s="69">
        <f>_xlfn.IFNA(IF('Interactive Selection Sheet'!K254= "", VLOOKUP('Interactive Selection Sheet'!$L254, 'Master List Import'!$A$1:$P$519, 12, FALSE), ""), "")</f>
        <v>720</v>
      </c>
      <c r="O423" s="69">
        <f>_xlfn.IFNA(IF('Interactive Selection Sheet'!K254= "", VLOOKUP('Interactive Selection Sheet'!$L254, 'Master List Import'!$A$1:$P$519, 13, FALSE), ""), "")</f>
        <v>7522</v>
      </c>
      <c r="P423" s="69" t="str">
        <f>_xlfn.IFNA(IF('Interactive Selection Sheet'!K254= "", VLOOKUP('Interactive Selection Sheet'!$L254, 'Master List Import'!$A$1:$P$519, 14, FALSE), ""), "")</f>
        <v>AirHeads Bar - Random Flavor</v>
      </c>
      <c r="Q423" s="69">
        <f>_xlfn.IFNA(IF('Interactive Selection Sheet'!K254= "", VLOOKUP('Interactive Selection Sheet'!$L254, 'Master List Import'!$A$1:$P$519, 15, FALSE), ""), "")</f>
        <v>1</v>
      </c>
      <c r="R423" s="74">
        <f>_xlfn.IFNA(IF('Interactive Selection Sheet'!K254= "", VLOOKUP('Interactive Selection Sheet'!$L254, 'Master List Import'!$A$1:$P$519, 16, FALSE), ""), "")</f>
        <v>0.5</v>
      </c>
    </row>
    <row r="424" spans="1:18" ht="21.75" customHeight="1" x14ac:dyDescent="0.25">
      <c r="A424" s="69">
        <f>_xlfn.IFNA(IF('Interactive Selection Sheet'!$K255= "", VLOOKUP('Interactive Selection Sheet'!$L255, 'Master List Import'!$A$1:$P$519, 2, FALSE), ""), "")</f>
        <v>7523</v>
      </c>
      <c r="B424" s="69" t="str">
        <f>_xlfn.IFNA(IF('Interactive Selection Sheet'!$K255= "", VLOOKUP('Interactive Selection Sheet'!$L255, 'Master List Import'!$A$1:$P$519, 3, FALSE), ""), "")</f>
        <v>Pop's Snack Shack Lemonheads, 4oz - 48/cs</v>
      </c>
      <c r="C424" s="76">
        <f>IF('Interactive Selection Sheet'!$T$2="", "", IF(B424="","",'Interactive Selection Sheet'!$T$2))</f>
        <v>3.5000000000000003E-2</v>
      </c>
      <c r="D424" s="70">
        <f>IF(B424 = "", "", 'Interactive Selection Sheet'!$P$2)</f>
        <v>4.4999999999999998E-2</v>
      </c>
      <c r="E424" s="70">
        <f>IF(B424="","", 'Interactive Selection Sheet'!$R$2)</f>
        <v>0.02</v>
      </c>
      <c r="F424" s="69" t="str">
        <f>_xlfn.IFNA(IF('Interactive Selection Sheet'!K255= "", VLOOKUP('Interactive Selection Sheet'!$L255, 'Master List Import'!$A$1:$P$519, 4, FALSE), ""), "")</f>
        <v>Snacks - Candy</v>
      </c>
      <c r="G424" s="69" t="str">
        <f>_xlfn.IFNA(IF('Interactive Selection Sheet'!K255= "", VLOOKUP('Interactive Selection Sheet'!$L255, 'Master List Import'!$A$1:$P$519, 5, FALSE), ""), "")</f>
        <v>Snacks - Candy</v>
      </c>
      <c r="H424" s="69" t="str">
        <f>_xlfn.IFNA(IF('Interactive Selection Sheet'!K255= "", VLOOKUP('Interactive Selection Sheet'!$L255, 'Master List Import'!$A$1:$P$519, 6, FALSE), ""), "")</f>
        <v>Both</v>
      </c>
      <c r="I424" s="72">
        <f>_xlfn.IFNA(IF('Interactive Selection Sheet'!K255= "", VLOOKUP('Interactive Selection Sheet'!$L255, 'Master List Import'!$A$1:$P$519, 7, FALSE), ""), "")</f>
        <v>0.627</v>
      </c>
      <c r="J424" s="69" t="str">
        <f>_xlfn.IFNA(IF('Interactive Selection Sheet'!K255= "", VLOOKUP('Interactive Selection Sheet'!$L255, 'Master List Import'!$A$1:$P$519, 8, FALSE), ""), "")</f>
        <v>REI</v>
      </c>
      <c r="K424" s="69" t="str">
        <f>_xlfn.IFNA(IF('Interactive Selection Sheet'!K255= "", VLOOKUP('Interactive Selection Sheet'!$L255, 'Master List Import'!$A$1:$P$519, 9, FALSE), ""), "")</f>
        <v>57273</v>
      </c>
      <c r="L424" s="69">
        <f>_xlfn.IFNA(IF('Interactive Selection Sheet'!K255= "", VLOOKUP('Interactive Selection Sheet'!$L255, 'Master List Import'!$A$1:$P$519, 10, FALSE), ""), "")</f>
        <v>0</v>
      </c>
      <c r="M424" s="69">
        <f>_xlfn.IFNA(IF('Interactive Selection Sheet'!K255= "", VLOOKUP('Interactive Selection Sheet'!$L255, 'Master List Import'!$A$1:$P$519, 11, FALSE), ""), "")</f>
        <v>0</v>
      </c>
      <c r="N424" s="69">
        <f>_xlfn.IFNA(IF('Interactive Selection Sheet'!K255= "", VLOOKUP('Interactive Selection Sheet'!$L255, 'Master List Import'!$A$1:$P$519, 12, FALSE), ""), "")</f>
        <v>48</v>
      </c>
      <c r="O424" s="69">
        <f>_xlfn.IFNA(IF('Interactive Selection Sheet'!K255= "", VLOOKUP('Interactive Selection Sheet'!$L255, 'Master List Import'!$A$1:$P$519, 13, FALSE), ""), "")</f>
        <v>7523</v>
      </c>
      <c r="P424" s="69" t="str">
        <f>_xlfn.IFNA(IF('Interactive Selection Sheet'!K255= "", VLOOKUP('Interactive Selection Sheet'!$L255, 'Master List Import'!$A$1:$P$519, 14, FALSE), ""), "")</f>
        <v>Lemonheads</v>
      </c>
      <c r="Q424" s="69">
        <f>_xlfn.IFNA(IF('Interactive Selection Sheet'!K255= "", VLOOKUP('Interactive Selection Sheet'!$L255, 'Master List Import'!$A$1:$P$519, 15, FALSE), ""), "")</f>
        <v>1</v>
      </c>
      <c r="R424" s="74">
        <f>_xlfn.IFNA(IF('Interactive Selection Sheet'!K255= "", VLOOKUP('Interactive Selection Sheet'!$L255, 'Master List Import'!$A$1:$P$519, 16, FALSE), ""), "")</f>
        <v>2</v>
      </c>
    </row>
    <row r="425" spans="1:18" ht="21.75" customHeight="1" x14ac:dyDescent="0.25">
      <c r="A425" s="69">
        <f>_xlfn.IFNA(IF('Interactive Selection Sheet'!$K256= "", VLOOKUP('Interactive Selection Sheet'!$L256, 'Master List Import'!$A$1:$P$519, 2, FALSE), ""), "")</f>
        <v>7600</v>
      </c>
      <c r="B425" s="69" t="str">
        <f>_xlfn.IFNA(IF('Interactive Selection Sheet'!$K256= "", VLOOKUP('Interactive Selection Sheet'!$L256, 'Master List Import'!$A$1:$P$519, 3, FALSE), ""), "")</f>
        <v>Atkinson Rainbow Sticks, Wild Cherry - 200/cs</v>
      </c>
      <c r="C425" s="76">
        <f>IF('Interactive Selection Sheet'!$T$2="", "", IF(B425="","",'Interactive Selection Sheet'!$T$2))</f>
        <v>3.5000000000000003E-2</v>
      </c>
      <c r="D425" s="70">
        <f>IF(B425 = "", "", 'Interactive Selection Sheet'!$P$2)</f>
        <v>4.4999999999999998E-2</v>
      </c>
      <c r="E425" s="70">
        <f>IF(B425="","", 'Interactive Selection Sheet'!$R$2)</f>
        <v>0.02</v>
      </c>
      <c r="F425" s="69" t="str">
        <f>_xlfn.IFNA(IF('Interactive Selection Sheet'!K256= "", VLOOKUP('Interactive Selection Sheet'!$L256, 'Master List Import'!$A$1:$P$519, 4, FALSE), ""), "")</f>
        <v>Snacks - Candy</v>
      </c>
      <c r="G425" s="69" t="str">
        <f>_xlfn.IFNA(IF('Interactive Selection Sheet'!K256= "", VLOOKUP('Interactive Selection Sheet'!$L256, 'Master List Import'!$A$1:$P$519, 5, FALSE), ""), "")</f>
        <v>Snacks - Candy</v>
      </c>
      <c r="H425" s="69" t="str">
        <f>_xlfn.IFNA(IF('Interactive Selection Sheet'!K256= "", VLOOKUP('Interactive Selection Sheet'!$L256, 'Master List Import'!$A$1:$P$519, 6, FALSE), ""), "")</f>
        <v>Both</v>
      </c>
      <c r="I425" s="72">
        <f>_xlfn.IFNA(IF('Interactive Selection Sheet'!K256= "", VLOOKUP('Interactive Selection Sheet'!$L256, 'Master List Import'!$A$1:$P$519, 7, FALSE), ""), "")</f>
        <v>0.13</v>
      </c>
      <c r="J425" s="69" t="str">
        <f>_xlfn.IFNA(IF('Interactive Selection Sheet'!K256= "", VLOOKUP('Interactive Selection Sheet'!$L256, 'Master List Import'!$A$1:$P$519, 8, FALSE), ""), "")</f>
        <v>REI</v>
      </c>
      <c r="K425" s="69" t="str">
        <f>_xlfn.IFNA(IF('Interactive Selection Sheet'!K256= "", VLOOKUP('Interactive Selection Sheet'!$L256, 'Master List Import'!$A$1:$P$519, 9, FALSE), ""), "")</f>
        <v>33607</v>
      </c>
      <c r="L425" s="69">
        <f>_xlfn.IFNA(IF('Interactive Selection Sheet'!K256= "", VLOOKUP('Interactive Selection Sheet'!$L256, 'Master List Import'!$A$1:$P$519, 10, FALSE), ""), "")</f>
        <v>0</v>
      </c>
      <c r="M425" s="69">
        <f>_xlfn.IFNA(IF('Interactive Selection Sheet'!K256= "", VLOOKUP('Interactive Selection Sheet'!$L256, 'Master List Import'!$A$1:$P$519, 11, FALSE), ""), "")</f>
        <v>0</v>
      </c>
      <c r="N425" s="69">
        <f>_xlfn.IFNA(IF('Interactive Selection Sheet'!K256= "", VLOOKUP('Interactive Selection Sheet'!$L256, 'Master List Import'!$A$1:$P$519, 12, FALSE), ""), "")</f>
        <v>200</v>
      </c>
      <c r="O425" s="69">
        <f>_xlfn.IFNA(IF('Interactive Selection Sheet'!K256= "", VLOOKUP('Interactive Selection Sheet'!$L256, 'Master List Import'!$A$1:$P$519, 13, FALSE), ""), "")</f>
        <v>7600</v>
      </c>
      <c r="P425" s="69" t="str">
        <f>_xlfn.IFNA(IF('Interactive Selection Sheet'!K256= "", VLOOKUP('Interactive Selection Sheet'!$L256, 'Master List Import'!$A$1:$P$519, 14, FALSE), ""), "")</f>
        <v>Wild Cherry Rainbow Stick</v>
      </c>
      <c r="Q425" s="69">
        <f>_xlfn.IFNA(IF('Interactive Selection Sheet'!K256= "", VLOOKUP('Interactive Selection Sheet'!$L256, 'Master List Import'!$A$1:$P$519, 15, FALSE), ""), "")</f>
        <v>1</v>
      </c>
      <c r="R425" s="74">
        <f>_xlfn.IFNA(IF('Interactive Selection Sheet'!K256= "", VLOOKUP('Interactive Selection Sheet'!$L256, 'Master List Import'!$A$1:$P$519, 16, FALSE), ""), "")</f>
        <v>0.45</v>
      </c>
    </row>
    <row r="426" spans="1:18" ht="21.75" customHeight="1" x14ac:dyDescent="0.25">
      <c r="A426" s="69">
        <f>_xlfn.IFNA(IF('Interactive Selection Sheet'!$K257= "", VLOOKUP('Interactive Selection Sheet'!$L257, 'Master List Import'!$A$1:$P$519, 2, FALSE), ""), "")</f>
        <v>7601</v>
      </c>
      <c r="B426" s="69" t="str">
        <f>_xlfn.IFNA(IF('Interactive Selection Sheet'!$K257= "", VLOOKUP('Interactive Selection Sheet'!$L257, 'Master List Import'!$A$1:$P$519, 3, FALSE), ""), "")</f>
        <v>Pop's Snack Shack Jolly Ranchers, Assorted, 4oz - 48/cs</v>
      </c>
      <c r="C426" s="76">
        <f>IF('Interactive Selection Sheet'!$T$2="", "", IF(B426="","",'Interactive Selection Sheet'!$T$2))</f>
        <v>3.5000000000000003E-2</v>
      </c>
      <c r="D426" s="70">
        <f>IF(B426 = "", "", 'Interactive Selection Sheet'!$P$2)</f>
        <v>4.4999999999999998E-2</v>
      </c>
      <c r="E426" s="70">
        <f>IF(B426="","", 'Interactive Selection Sheet'!$R$2)</f>
        <v>0.02</v>
      </c>
      <c r="F426" s="69" t="str">
        <f>_xlfn.IFNA(IF('Interactive Selection Sheet'!K257= "", VLOOKUP('Interactive Selection Sheet'!$L257, 'Master List Import'!$A$1:$P$519, 4, FALSE), ""), "")</f>
        <v>Snacks - Candy</v>
      </c>
      <c r="G426" s="69" t="str">
        <f>_xlfn.IFNA(IF('Interactive Selection Sheet'!K257= "", VLOOKUP('Interactive Selection Sheet'!$L257, 'Master List Import'!$A$1:$P$519, 5, FALSE), ""), "")</f>
        <v>Snacks - Candy</v>
      </c>
      <c r="H426" s="69" t="str">
        <f>_xlfn.IFNA(IF('Interactive Selection Sheet'!K257= "", VLOOKUP('Interactive Selection Sheet'!$L257, 'Master List Import'!$A$1:$P$519, 6, FALSE), ""), "")</f>
        <v>Both</v>
      </c>
      <c r="I426" s="72">
        <f>_xlfn.IFNA(IF('Interactive Selection Sheet'!K257= "", VLOOKUP('Interactive Selection Sheet'!$L257, 'Master List Import'!$A$1:$P$519, 7, FALSE), ""), "")</f>
        <v>0.627</v>
      </c>
      <c r="J426" s="69" t="str">
        <f>_xlfn.IFNA(IF('Interactive Selection Sheet'!K257= "", VLOOKUP('Interactive Selection Sheet'!$L257, 'Master List Import'!$A$1:$P$519, 8, FALSE), ""), "")</f>
        <v>REI</v>
      </c>
      <c r="K426" s="69" t="str">
        <f>_xlfn.IFNA(IF('Interactive Selection Sheet'!K257= "", VLOOKUP('Interactive Selection Sheet'!$L257, 'Master List Import'!$A$1:$P$519, 9, FALSE), ""), "")</f>
        <v>57365</v>
      </c>
      <c r="L426" s="69">
        <f>_xlfn.IFNA(IF('Interactive Selection Sheet'!K257= "", VLOOKUP('Interactive Selection Sheet'!$L257, 'Master List Import'!$A$1:$P$519, 10, FALSE), ""), "")</f>
        <v>0</v>
      </c>
      <c r="M426" s="69">
        <f>_xlfn.IFNA(IF('Interactive Selection Sheet'!K257= "", VLOOKUP('Interactive Selection Sheet'!$L257, 'Master List Import'!$A$1:$P$519, 11, FALSE), ""), "")</f>
        <v>0</v>
      </c>
      <c r="N426" s="69">
        <f>_xlfn.IFNA(IF('Interactive Selection Sheet'!K257= "", VLOOKUP('Interactive Selection Sheet'!$L257, 'Master List Import'!$A$1:$P$519, 12, FALSE), ""), "")</f>
        <v>48</v>
      </c>
      <c r="O426" s="69">
        <f>_xlfn.IFNA(IF('Interactive Selection Sheet'!K257= "", VLOOKUP('Interactive Selection Sheet'!$L257, 'Master List Import'!$A$1:$P$519, 13, FALSE), ""), "")</f>
        <v>7601</v>
      </c>
      <c r="P426" s="69" t="str">
        <f>_xlfn.IFNA(IF('Interactive Selection Sheet'!K257= "", VLOOKUP('Interactive Selection Sheet'!$L257, 'Master List Import'!$A$1:$P$519, 14, FALSE), ""), "")</f>
        <v>Jolly Ranchers</v>
      </c>
      <c r="Q426" s="69">
        <f>_xlfn.IFNA(IF('Interactive Selection Sheet'!K257= "", VLOOKUP('Interactive Selection Sheet'!$L257, 'Master List Import'!$A$1:$P$519, 15, FALSE), ""), "")</f>
        <v>1</v>
      </c>
      <c r="R426" s="74">
        <f>_xlfn.IFNA(IF('Interactive Selection Sheet'!K257= "", VLOOKUP('Interactive Selection Sheet'!$L257, 'Master List Import'!$A$1:$P$519, 16, FALSE), ""), "")</f>
        <v>2</v>
      </c>
    </row>
    <row r="427" spans="1:18" ht="21.75" customHeight="1" x14ac:dyDescent="0.25">
      <c r="A427" s="69">
        <f>_xlfn.IFNA(IF('Interactive Selection Sheet'!$K258= "", VLOOKUP('Interactive Selection Sheet'!$L258, 'Master List Import'!$A$1:$P$519, 2, FALSE), ""), "")</f>
        <v>7602</v>
      </c>
      <c r="B427" s="69" t="str">
        <f>_xlfn.IFNA(IF('Interactive Selection Sheet'!$K258= "", VLOOKUP('Interactive Selection Sheet'!$L258, 'Master List Import'!$A$1:$P$519, 3, FALSE), ""), "")</f>
        <v>Pop's Snack Shack Now &amp; Laters, 3.5oz - 48/cs</v>
      </c>
      <c r="C427" s="76">
        <f>IF('Interactive Selection Sheet'!$T$2="", "", IF(B427="","",'Interactive Selection Sheet'!$T$2))</f>
        <v>3.5000000000000003E-2</v>
      </c>
      <c r="D427" s="70">
        <f>IF(B427 = "", "", 'Interactive Selection Sheet'!$P$2)</f>
        <v>4.4999999999999998E-2</v>
      </c>
      <c r="E427" s="70">
        <f>IF(B427="","", 'Interactive Selection Sheet'!$R$2)</f>
        <v>0.02</v>
      </c>
      <c r="F427" s="69" t="str">
        <f>_xlfn.IFNA(IF('Interactive Selection Sheet'!K258= "", VLOOKUP('Interactive Selection Sheet'!$L258, 'Master List Import'!$A$1:$P$519, 4, FALSE), ""), "")</f>
        <v>Snacks - Candy</v>
      </c>
      <c r="G427" s="69" t="str">
        <f>_xlfn.IFNA(IF('Interactive Selection Sheet'!K258= "", VLOOKUP('Interactive Selection Sheet'!$L258, 'Master List Import'!$A$1:$P$519, 5, FALSE), ""), "")</f>
        <v>Snacks - Candy</v>
      </c>
      <c r="H427" s="69" t="str">
        <f>_xlfn.IFNA(IF('Interactive Selection Sheet'!K258= "", VLOOKUP('Interactive Selection Sheet'!$L258, 'Master List Import'!$A$1:$P$519, 6, FALSE), ""), "")</f>
        <v>Both</v>
      </c>
      <c r="I427" s="72">
        <f>_xlfn.IFNA(IF('Interactive Selection Sheet'!K258= "", VLOOKUP('Interactive Selection Sheet'!$L258, 'Master List Import'!$A$1:$P$519, 7, FALSE), ""), "")</f>
        <v>0.55000000000000004</v>
      </c>
      <c r="J427" s="69" t="str">
        <f>_xlfn.IFNA(IF('Interactive Selection Sheet'!K258= "", VLOOKUP('Interactive Selection Sheet'!$L258, 'Master List Import'!$A$1:$P$519, 8, FALSE), ""), "")</f>
        <v>REI</v>
      </c>
      <c r="K427" s="69" t="str">
        <f>_xlfn.IFNA(IF('Interactive Selection Sheet'!K258= "", VLOOKUP('Interactive Selection Sheet'!$L258, 'Master List Import'!$A$1:$P$519, 9, FALSE), ""), "")</f>
        <v>57653</v>
      </c>
      <c r="L427" s="69">
        <f>_xlfn.IFNA(IF('Interactive Selection Sheet'!K258= "", VLOOKUP('Interactive Selection Sheet'!$L258, 'Master List Import'!$A$1:$P$519, 10, FALSE), ""), "")</f>
        <v>0</v>
      </c>
      <c r="M427" s="69">
        <f>_xlfn.IFNA(IF('Interactive Selection Sheet'!K258= "", VLOOKUP('Interactive Selection Sheet'!$L258, 'Master List Import'!$A$1:$P$519, 11, FALSE), ""), "")</f>
        <v>0</v>
      </c>
      <c r="N427" s="69">
        <f>_xlfn.IFNA(IF('Interactive Selection Sheet'!K258= "", VLOOKUP('Interactive Selection Sheet'!$L258, 'Master List Import'!$A$1:$P$519, 12, FALSE), ""), "")</f>
        <v>48</v>
      </c>
      <c r="O427" s="69">
        <f>_xlfn.IFNA(IF('Interactive Selection Sheet'!K258= "", VLOOKUP('Interactive Selection Sheet'!$L258, 'Master List Import'!$A$1:$P$519, 13, FALSE), ""), "")</f>
        <v>7602</v>
      </c>
      <c r="P427" s="69" t="str">
        <f>_xlfn.IFNA(IF('Interactive Selection Sheet'!K258= "", VLOOKUP('Interactive Selection Sheet'!$L258, 'Master List Import'!$A$1:$P$519, 14, FALSE), ""), "")</f>
        <v>Now &amp; Laters</v>
      </c>
      <c r="Q427" s="69">
        <f>_xlfn.IFNA(IF('Interactive Selection Sheet'!K258= "", VLOOKUP('Interactive Selection Sheet'!$L258, 'Master List Import'!$A$1:$P$519, 15, FALSE), ""), "")</f>
        <v>1</v>
      </c>
      <c r="R427" s="74">
        <f>_xlfn.IFNA(IF('Interactive Selection Sheet'!K258= "", VLOOKUP('Interactive Selection Sheet'!$L258, 'Master List Import'!$A$1:$P$519, 16, FALSE), ""), "")</f>
        <v>1.9</v>
      </c>
    </row>
    <row r="428" spans="1:18" ht="21.75" customHeight="1" x14ac:dyDescent="0.25">
      <c r="A428" s="69">
        <f>_xlfn.IFNA(IF('Interactive Selection Sheet'!$K259= "", VLOOKUP('Interactive Selection Sheet'!$L259, 'Master List Import'!$A$1:$P$519, 2, FALSE), ""), "")</f>
        <v>7603</v>
      </c>
      <c r="B428" s="69" t="str">
        <f>_xlfn.IFNA(IF('Interactive Selection Sheet'!$K259= "", VLOOKUP('Interactive Selection Sheet'!$L259, 'Master List Import'!$A$1:$P$519, 3, FALSE), ""), "")</f>
        <v>Pop's Snack Shack Atomic Fireballs, 4oz - 48/cs</v>
      </c>
      <c r="C428" s="76">
        <f>IF('Interactive Selection Sheet'!$T$2="", "", IF(B428="","",'Interactive Selection Sheet'!$T$2))</f>
        <v>3.5000000000000003E-2</v>
      </c>
      <c r="D428" s="70">
        <f>IF(B428 = "", "", 'Interactive Selection Sheet'!$P$2)</f>
        <v>4.4999999999999998E-2</v>
      </c>
      <c r="E428" s="70">
        <f>IF(B428="","", 'Interactive Selection Sheet'!$R$2)</f>
        <v>0.02</v>
      </c>
      <c r="F428" s="69" t="str">
        <f>_xlfn.IFNA(IF('Interactive Selection Sheet'!K259= "", VLOOKUP('Interactive Selection Sheet'!$L259, 'Master List Import'!$A$1:$P$519, 4, FALSE), ""), "")</f>
        <v>Snacks - Candy</v>
      </c>
      <c r="G428" s="69" t="str">
        <f>_xlfn.IFNA(IF('Interactive Selection Sheet'!K259= "", VLOOKUP('Interactive Selection Sheet'!$L259, 'Master List Import'!$A$1:$P$519, 5, FALSE), ""), "")</f>
        <v>Snacks - Candy</v>
      </c>
      <c r="H428" s="69" t="str">
        <f>_xlfn.IFNA(IF('Interactive Selection Sheet'!K259= "", VLOOKUP('Interactive Selection Sheet'!$L259, 'Master List Import'!$A$1:$P$519, 6, FALSE), ""), "")</f>
        <v>Both</v>
      </c>
      <c r="I428" s="72">
        <f>_xlfn.IFNA(IF('Interactive Selection Sheet'!K259= "", VLOOKUP('Interactive Selection Sheet'!$L259, 'Master List Import'!$A$1:$P$519, 7, FALSE), ""), "")</f>
        <v>0.56000000000000005</v>
      </c>
      <c r="J428" s="69" t="str">
        <f>_xlfn.IFNA(IF('Interactive Selection Sheet'!K259= "", VLOOKUP('Interactive Selection Sheet'!$L259, 'Master List Import'!$A$1:$P$519, 8, FALSE), ""), "")</f>
        <v>REI</v>
      </c>
      <c r="K428" s="69" t="str">
        <f>_xlfn.IFNA(IF('Interactive Selection Sheet'!K259= "", VLOOKUP('Interactive Selection Sheet'!$L259, 'Master List Import'!$A$1:$P$519, 9, FALSE), ""), "")</f>
        <v>57174</v>
      </c>
      <c r="L428" s="69">
        <f>_xlfn.IFNA(IF('Interactive Selection Sheet'!K259= "", VLOOKUP('Interactive Selection Sheet'!$L259, 'Master List Import'!$A$1:$P$519, 10, FALSE), ""), "")</f>
        <v>0</v>
      </c>
      <c r="M428" s="69">
        <f>_xlfn.IFNA(IF('Interactive Selection Sheet'!K259= "", VLOOKUP('Interactive Selection Sheet'!$L259, 'Master List Import'!$A$1:$P$519, 11, FALSE), ""), "")</f>
        <v>0</v>
      </c>
      <c r="N428" s="69">
        <f>_xlfn.IFNA(IF('Interactive Selection Sheet'!K259= "", VLOOKUP('Interactive Selection Sheet'!$L259, 'Master List Import'!$A$1:$P$519, 12, FALSE), ""), "")</f>
        <v>48</v>
      </c>
      <c r="O428" s="69">
        <f>_xlfn.IFNA(IF('Interactive Selection Sheet'!K259= "", VLOOKUP('Interactive Selection Sheet'!$L259, 'Master List Import'!$A$1:$P$519, 13, FALSE), ""), "")</f>
        <v>7603</v>
      </c>
      <c r="P428" s="69" t="str">
        <f>_xlfn.IFNA(IF('Interactive Selection Sheet'!K259= "", VLOOKUP('Interactive Selection Sheet'!$L259, 'Master List Import'!$A$1:$P$519, 14, FALSE), ""), "")</f>
        <v>Atomic Fireballs</v>
      </c>
      <c r="Q428" s="69">
        <f>_xlfn.IFNA(IF('Interactive Selection Sheet'!K259= "", VLOOKUP('Interactive Selection Sheet'!$L259, 'Master List Import'!$A$1:$P$519, 15, FALSE), ""), "")</f>
        <v>1</v>
      </c>
      <c r="R428" s="74">
        <f>_xlfn.IFNA(IF('Interactive Selection Sheet'!K259= "", VLOOKUP('Interactive Selection Sheet'!$L259, 'Master List Import'!$A$1:$P$519, 16, FALSE), ""), "")</f>
        <v>2</v>
      </c>
    </row>
    <row r="429" spans="1:18" ht="21.75" customHeight="1" x14ac:dyDescent="0.25">
      <c r="A429" s="69">
        <f>_xlfn.IFNA(IF('Interactive Selection Sheet'!$K260= "", VLOOKUP('Interactive Selection Sheet'!$L260, 'Master List Import'!$A$1:$P$519, 2, FALSE), ""), "")</f>
        <v>7604</v>
      </c>
      <c r="B429" s="69" t="str">
        <f>_xlfn.IFNA(IF('Interactive Selection Sheet'!$K260= "", VLOOKUP('Interactive Selection Sheet'!$L260, 'Master List Import'!$A$1:$P$519, 3, FALSE), ""), "")</f>
        <v>Pop's Snack Shack Peppermints, 4.5oz - 48/cs</v>
      </c>
      <c r="C429" s="76">
        <f>IF('Interactive Selection Sheet'!$T$2="", "", IF(B429="","",'Interactive Selection Sheet'!$T$2))</f>
        <v>3.5000000000000003E-2</v>
      </c>
      <c r="D429" s="70">
        <f>IF(B429 = "", "", 'Interactive Selection Sheet'!$P$2)</f>
        <v>4.4999999999999998E-2</v>
      </c>
      <c r="E429" s="70">
        <f>IF(B429="","", 'Interactive Selection Sheet'!$R$2)</f>
        <v>0.02</v>
      </c>
      <c r="F429" s="69" t="str">
        <f>_xlfn.IFNA(IF('Interactive Selection Sheet'!K260= "", VLOOKUP('Interactive Selection Sheet'!$L260, 'Master List Import'!$A$1:$P$519, 4, FALSE), ""), "")</f>
        <v>Snacks - Candy</v>
      </c>
      <c r="G429" s="69" t="str">
        <f>_xlfn.IFNA(IF('Interactive Selection Sheet'!K260= "", VLOOKUP('Interactive Selection Sheet'!$L260, 'Master List Import'!$A$1:$P$519, 5, FALSE), ""), "")</f>
        <v>Snacks - Candy</v>
      </c>
      <c r="H429" s="69" t="str">
        <f>_xlfn.IFNA(IF('Interactive Selection Sheet'!K260= "", VLOOKUP('Interactive Selection Sheet'!$L260, 'Master List Import'!$A$1:$P$519, 6, FALSE), ""), "")</f>
        <v>Both</v>
      </c>
      <c r="I429" s="72">
        <f>_xlfn.IFNA(IF('Interactive Selection Sheet'!K260= "", VLOOKUP('Interactive Selection Sheet'!$L260, 'Master List Import'!$A$1:$P$519, 7, FALSE), ""), "")</f>
        <v>0.45100000000000001</v>
      </c>
      <c r="J429" s="69" t="str">
        <f>_xlfn.IFNA(IF('Interactive Selection Sheet'!K260= "", VLOOKUP('Interactive Selection Sheet'!$L260, 'Master List Import'!$A$1:$P$519, 8, FALSE), ""), "")</f>
        <v>REI</v>
      </c>
      <c r="K429" s="69" t="str">
        <f>_xlfn.IFNA(IF('Interactive Selection Sheet'!K260= "", VLOOKUP('Interactive Selection Sheet'!$L260, 'Master List Import'!$A$1:$P$519, 9, FALSE), ""), "")</f>
        <v>57299</v>
      </c>
      <c r="L429" s="69">
        <f>_xlfn.IFNA(IF('Interactive Selection Sheet'!K260= "", VLOOKUP('Interactive Selection Sheet'!$L260, 'Master List Import'!$A$1:$P$519, 10, FALSE), ""), "")</f>
        <v>0</v>
      </c>
      <c r="M429" s="69">
        <f>_xlfn.IFNA(IF('Interactive Selection Sheet'!K260= "", VLOOKUP('Interactive Selection Sheet'!$L260, 'Master List Import'!$A$1:$P$519, 11, FALSE), ""), "")</f>
        <v>0</v>
      </c>
      <c r="N429" s="69">
        <f>_xlfn.IFNA(IF('Interactive Selection Sheet'!K260= "", VLOOKUP('Interactive Selection Sheet'!$L260, 'Master List Import'!$A$1:$P$519, 12, FALSE), ""), "")</f>
        <v>48</v>
      </c>
      <c r="O429" s="69">
        <f>_xlfn.IFNA(IF('Interactive Selection Sheet'!K260= "", VLOOKUP('Interactive Selection Sheet'!$L260, 'Master List Import'!$A$1:$P$519, 13, FALSE), ""), "")</f>
        <v>7604</v>
      </c>
      <c r="P429" s="69" t="str">
        <f>_xlfn.IFNA(IF('Interactive Selection Sheet'!K260= "", VLOOKUP('Interactive Selection Sheet'!$L260, 'Master List Import'!$A$1:$P$519, 14, FALSE), ""), "")</f>
        <v>Starlite Peppermints</v>
      </c>
      <c r="Q429" s="69">
        <f>_xlfn.IFNA(IF('Interactive Selection Sheet'!K260= "", VLOOKUP('Interactive Selection Sheet'!$L260, 'Master List Import'!$A$1:$P$519, 15, FALSE), ""), "")</f>
        <v>1</v>
      </c>
      <c r="R429" s="74">
        <f>_xlfn.IFNA(IF('Interactive Selection Sheet'!K260= "", VLOOKUP('Interactive Selection Sheet'!$L260, 'Master List Import'!$A$1:$P$519, 16, FALSE), ""), "")</f>
        <v>1.9</v>
      </c>
    </row>
    <row r="430" spans="1:18" ht="21.75" customHeight="1" x14ac:dyDescent="0.25">
      <c r="A430" s="69">
        <f>_xlfn.IFNA(IF('Interactive Selection Sheet'!$K261= "", VLOOKUP('Interactive Selection Sheet'!$L261, 'Master List Import'!$A$1:$P$519, 2, FALSE), ""), "")</f>
        <v>7605</v>
      </c>
      <c r="B430" s="69" t="str">
        <f>_xlfn.IFNA(IF('Interactive Selection Sheet'!$K261= "", VLOOKUP('Interactive Selection Sheet'!$L261, 'Master List Import'!$A$1:$P$519, 3, FALSE), ""), "")</f>
        <v>Pop's Snack Shack Butterscotch Discs, 4.5oz - 48/cs</v>
      </c>
      <c r="C430" s="76">
        <f>IF('Interactive Selection Sheet'!$T$2="", "", IF(B430="","",'Interactive Selection Sheet'!$T$2))</f>
        <v>3.5000000000000003E-2</v>
      </c>
      <c r="D430" s="70">
        <f>IF(B430 = "", "", 'Interactive Selection Sheet'!$P$2)</f>
        <v>4.4999999999999998E-2</v>
      </c>
      <c r="E430" s="70">
        <f>IF(B430="","", 'Interactive Selection Sheet'!$R$2)</f>
        <v>0.02</v>
      </c>
      <c r="F430" s="69" t="str">
        <f>_xlfn.IFNA(IF('Interactive Selection Sheet'!K261= "", VLOOKUP('Interactive Selection Sheet'!$L261, 'Master List Import'!$A$1:$P$519, 4, FALSE), ""), "")</f>
        <v>Snacks - Candy</v>
      </c>
      <c r="G430" s="69" t="str">
        <f>_xlfn.IFNA(IF('Interactive Selection Sheet'!K261= "", VLOOKUP('Interactive Selection Sheet'!$L261, 'Master List Import'!$A$1:$P$519, 5, FALSE), ""), "")</f>
        <v>Snacks - Candy</v>
      </c>
      <c r="H430" s="69" t="str">
        <f>_xlfn.IFNA(IF('Interactive Selection Sheet'!K261= "", VLOOKUP('Interactive Selection Sheet'!$L261, 'Master List Import'!$A$1:$P$519, 6, FALSE), ""), "")</f>
        <v>Both</v>
      </c>
      <c r="I430" s="72">
        <f>_xlfn.IFNA(IF('Interactive Selection Sheet'!K261= "", VLOOKUP('Interactive Selection Sheet'!$L261, 'Master List Import'!$A$1:$P$519, 7, FALSE), ""), "")</f>
        <v>0.51</v>
      </c>
      <c r="J430" s="69" t="str">
        <f>_xlfn.IFNA(IF('Interactive Selection Sheet'!K261= "", VLOOKUP('Interactive Selection Sheet'!$L261, 'Master List Import'!$A$1:$P$519, 8, FALSE), ""), "")</f>
        <v>REI</v>
      </c>
      <c r="K430" s="69" t="str">
        <f>_xlfn.IFNA(IF('Interactive Selection Sheet'!K261= "", VLOOKUP('Interactive Selection Sheet'!$L261, 'Master List Import'!$A$1:$P$519, 9, FALSE), ""), "")</f>
        <v>57281</v>
      </c>
      <c r="L430" s="69">
        <f>_xlfn.IFNA(IF('Interactive Selection Sheet'!K261= "", VLOOKUP('Interactive Selection Sheet'!$L261, 'Master List Import'!$A$1:$P$519, 10, FALSE), ""), "")</f>
        <v>0</v>
      </c>
      <c r="M430" s="69">
        <f>_xlfn.IFNA(IF('Interactive Selection Sheet'!K261= "", VLOOKUP('Interactive Selection Sheet'!$L261, 'Master List Import'!$A$1:$P$519, 11, FALSE), ""), "")</f>
        <v>0</v>
      </c>
      <c r="N430" s="69">
        <f>_xlfn.IFNA(IF('Interactive Selection Sheet'!K261= "", VLOOKUP('Interactive Selection Sheet'!$L261, 'Master List Import'!$A$1:$P$519, 12, FALSE), ""), "")</f>
        <v>48</v>
      </c>
      <c r="O430" s="69">
        <f>_xlfn.IFNA(IF('Interactive Selection Sheet'!K261= "", VLOOKUP('Interactive Selection Sheet'!$L261, 'Master List Import'!$A$1:$P$519, 13, FALSE), ""), "")</f>
        <v>7605</v>
      </c>
      <c r="P430" s="69" t="str">
        <f>_xlfn.IFNA(IF('Interactive Selection Sheet'!K261= "", VLOOKUP('Interactive Selection Sheet'!$L261, 'Master List Import'!$A$1:$P$519, 14, FALSE), ""), "")</f>
        <v>Butterscotch Discs</v>
      </c>
      <c r="Q430" s="69">
        <f>_xlfn.IFNA(IF('Interactive Selection Sheet'!K261= "", VLOOKUP('Interactive Selection Sheet'!$L261, 'Master List Import'!$A$1:$P$519, 15, FALSE), ""), "")</f>
        <v>1</v>
      </c>
      <c r="R430" s="74">
        <f>_xlfn.IFNA(IF('Interactive Selection Sheet'!K261= "", VLOOKUP('Interactive Selection Sheet'!$L261, 'Master List Import'!$A$1:$P$519, 16, FALSE), ""), "")</f>
        <v>1.9</v>
      </c>
    </row>
    <row r="431" spans="1:18" ht="21.75" customHeight="1" x14ac:dyDescent="0.25">
      <c r="A431" s="69">
        <f>_xlfn.IFNA(IF('Interactive Selection Sheet'!$K262= "", VLOOKUP('Interactive Selection Sheet'!$L262, 'Master List Import'!$A$1:$P$519, 2, FALSE), ""), "")</f>
        <v>7606</v>
      </c>
      <c r="B431" s="69" t="str">
        <f>_xlfn.IFNA(IF('Interactive Selection Sheet'!$K262= "", VLOOKUP('Interactive Selection Sheet'!$L262, 'Master List Import'!$A$1:$P$519, 3, FALSE), ""), "")</f>
        <v>Tootsie Pops, Assorted Flavors, 0.6oz - 100/cs</v>
      </c>
      <c r="C431" s="76">
        <f>IF('Interactive Selection Sheet'!$T$2="", "", IF(B431="","",'Interactive Selection Sheet'!$T$2))</f>
        <v>3.5000000000000003E-2</v>
      </c>
      <c r="D431" s="70">
        <f>IF(B431 = "", "", 'Interactive Selection Sheet'!$P$2)</f>
        <v>4.4999999999999998E-2</v>
      </c>
      <c r="E431" s="70">
        <f>IF(B431="","", 'Interactive Selection Sheet'!$R$2)</f>
        <v>0.02</v>
      </c>
      <c r="F431" s="69" t="str">
        <f>_xlfn.IFNA(IF('Interactive Selection Sheet'!K262= "", VLOOKUP('Interactive Selection Sheet'!$L262, 'Master List Import'!$A$1:$P$519, 4, FALSE), ""), "")</f>
        <v>Snacks - Candy</v>
      </c>
      <c r="G431" s="69" t="str">
        <f>_xlfn.IFNA(IF('Interactive Selection Sheet'!K262= "", VLOOKUP('Interactive Selection Sheet'!$L262, 'Master List Import'!$A$1:$P$519, 5, FALSE), ""), "")</f>
        <v>Snacks - Candy</v>
      </c>
      <c r="H431" s="69" t="str">
        <f>_xlfn.IFNA(IF('Interactive Selection Sheet'!K262= "", VLOOKUP('Interactive Selection Sheet'!$L262, 'Master List Import'!$A$1:$P$519, 6, FALSE), ""), "")</f>
        <v>Both</v>
      </c>
      <c r="I431" s="72">
        <f>_xlfn.IFNA(IF('Interactive Selection Sheet'!K262= "", VLOOKUP('Interactive Selection Sheet'!$L262, 'Master List Import'!$A$1:$P$519, 7, FALSE), ""), "")</f>
        <v>0.10539999999999999</v>
      </c>
      <c r="J431" s="69" t="str">
        <f>_xlfn.IFNA(IF('Interactive Selection Sheet'!K262= "", VLOOKUP('Interactive Selection Sheet'!$L262, 'Master List Import'!$A$1:$P$519, 8, FALSE), ""), "")</f>
        <v>CTC Commissary, LLC</v>
      </c>
      <c r="K431" s="69" t="str">
        <f>_xlfn.IFNA(IF('Interactive Selection Sheet'!K262= "", VLOOKUP('Interactive Selection Sheet'!$L262, 'Master List Import'!$A$1:$P$519, 9, FALSE), ""), "")</f>
        <v>SAMS2423</v>
      </c>
      <c r="L431" s="69">
        <f>_xlfn.IFNA(IF('Interactive Selection Sheet'!K262= "", VLOOKUP('Interactive Selection Sheet'!$L262, 'Master List Import'!$A$1:$P$519, 10, FALSE), ""), "")</f>
        <v>0</v>
      </c>
      <c r="M431" s="69">
        <f>_xlfn.IFNA(IF('Interactive Selection Sheet'!K262= "", VLOOKUP('Interactive Selection Sheet'!$L262, 'Master List Import'!$A$1:$P$519, 11, FALSE), ""), "")</f>
        <v>0</v>
      </c>
      <c r="N431" s="69">
        <f>_xlfn.IFNA(IF('Interactive Selection Sheet'!K262= "", VLOOKUP('Interactive Selection Sheet'!$L262, 'Master List Import'!$A$1:$P$519, 12, FALSE), ""), "")</f>
        <v>100</v>
      </c>
      <c r="O431" s="69">
        <f>_xlfn.IFNA(IF('Interactive Selection Sheet'!K262= "", VLOOKUP('Interactive Selection Sheet'!$L262, 'Master List Import'!$A$1:$P$519, 13, FALSE), ""), "")</f>
        <v>7606</v>
      </c>
      <c r="P431" s="69" t="str">
        <f>_xlfn.IFNA(IF('Interactive Selection Sheet'!K262= "", VLOOKUP('Interactive Selection Sheet'!$L262, 'Master List Import'!$A$1:$P$519, 14, FALSE), ""), "")</f>
        <v>Tootsie Pop - Random Flavor</v>
      </c>
      <c r="Q431" s="69">
        <f>_xlfn.IFNA(IF('Interactive Selection Sheet'!K262= "", VLOOKUP('Interactive Selection Sheet'!$L262, 'Master List Import'!$A$1:$P$519, 15, FALSE), ""), "")</f>
        <v>1</v>
      </c>
      <c r="R431" s="74">
        <f>_xlfn.IFNA(IF('Interactive Selection Sheet'!K262= "", VLOOKUP('Interactive Selection Sheet'!$L262, 'Master List Import'!$A$1:$P$519, 16, FALSE), ""), "")</f>
        <v>0.45</v>
      </c>
    </row>
    <row r="432" spans="1:18" ht="21.75" customHeight="1" x14ac:dyDescent="0.25">
      <c r="A432" s="69">
        <f>_xlfn.IFNA(IF('Interactive Selection Sheet'!$K263= "", VLOOKUP('Interactive Selection Sheet'!$L263, 'Master List Import'!$A$1:$P$519, 2, FALSE), ""), "")</f>
        <v>7620</v>
      </c>
      <c r="B432" s="69" t="str">
        <f>_xlfn.IFNA(IF('Interactive Selection Sheet'!$K263= "", VLOOKUP('Interactive Selection Sheet'!$L263, 'Master List Import'!$A$1:$P$519, 3, FALSE), ""), "")</f>
        <v>Atkinson Chick-O-Sticks, 0.7oz - 200/cs</v>
      </c>
      <c r="C432" s="76">
        <f>IF('Interactive Selection Sheet'!$T$2="", "", IF(B432="","",'Interactive Selection Sheet'!$T$2))</f>
        <v>3.5000000000000003E-2</v>
      </c>
      <c r="D432" s="70">
        <f>IF(B432 = "", "", 'Interactive Selection Sheet'!$P$2)</f>
        <v>4.4999999999999998E-2</v>
      </c>
      <c r="E432" s="70">
        <f>IF(B432="","", 'Interactive Selection Sheet'!$R$2)</f>
        <v>0.02</v>
      </c>
      <c r="F432" s="69" t="str">
        <f>_xlfn.IFNA(IF('Interactive Selection Sheet'!K263= "", VLOOKUP('Interactive Selection Sheet'!$L263, 'Master List Import'!$A$1:$P$519, 4, FALSE), ""), "")</f>
        <v>Snacks - Candy</v>
      </c>
      <c r="G432" s="69" t="str">
        <f>_xlfn.IFNA(IF('Interactive Selection Sheet'!K263= "", VLOOKUP('Interactive Selection Sheet'!$L263, 'Master List Import'!$A$1:$P$519, 5, FALSE), ""), "")</f>
        <v>Snacks - Candy</v>
      </c>
      <c r="H432" s="69" t="str">
        <f>_xlfn.IFNA(IF('Interactive Selection Sheet'!K263= "", VLOOKUP('Interactive Selection Sheet'!$L263, 'Master List Import'!$A$1:$P$519, 6, FALSE), ""), "")</f>
        <v>Both</v>
      </c>
      <c r="I432" s="72">
        <f>_xlfn.IFNA(IF('Interactive Selection Sheet'!K263= "", VLOOKUP('Interactive Selection Sheet'!$L263, 'Master List Import'!$A$1:$P$519, 7, FALSE), ""), "")</f>
        <v>0.14499999999999999</v>
      </c>
      <c r="J432" s="69" t="str">
        <f>_xlfn.IFNA(IF('Interactive Selection Sheet'!K263= "", VLOOKUP('Interactive Selection Sheet'!$L263, 'Master List Import'!$A$1:$P$519, 8, FALSE), ""), "")</f>
        <v>REI</v>
      </c>
      <c r="K432" s="69" t="str">
        <f>_xlfn.IFNA(IF('Interactive Selection Sheet'!K263= "", VLOOKUP('Interactive Selection Sheet'!$L263, 'Master List Import'!$A$1:$P$519, 9, FALSE), ""), "")</f>
        <v>49750</v>
      </c>
      <c r="L432" s="69">
        <f>_xlfn.IFNA(IF('Interactive Selection Sheet'!K263= "", VLOOKUP('Interactive Selection Sheet'!$L263, 'Master List Import'!$A$1:$P$519, 10, FALSE), ""), "")</f>
        <v>0</v>
      </c>
      <c r="M432" s="69">
        <f>_xlfn.IFNA(IF('Interactive Selection Sheet'!K263= "", VLOOKUP('Interactive Selection Sheet'!$L263, 'Master List Import'!$A$1:$P$519, 11, FALSE), ""), "")</f>
        <v>0</v>
      </c>
      <c r="N432" s="69">
        <f>_xlfn.IFNA(IF('Interactive Selection Sheet'!K263= "", VLOOKUP('Interactive Selection Sheet'!$L263, 'Master List Import'!$A$1:$P$519, 12, FALSE), ""), "")</f>
        <v>200</v>
      </c>
      <c r="O432" s="69">
        <f>_xlfn.IFNA(IF('Interactive Selection Sheet'!K263= "", VLOOKUP('Interactive Selection Sheet'!$L263, 'Master List Import'!$A$1:$P$519, 13, FALSE), ""), "")</f>
        <v>7620</v>
      </c>
      <c r="P432" s="69" t="str">
        <f>_xlfn.IFNA(IF('Interactive Selection Sheet'!K263= "", VLOOKUP('Interactive Selection Sheet'!$L263, 'Master List Import'!$A$1:$P$519, 14, FALSE), ""), "")</f>
        <v>Chick-O-Stick</v>
      </c>
      <c r="Q432" s="69">
        <f>_xlfn.IFNA(IF('Interactive Selection Sheet'!K263= "", VLOOKUP('Interactive Selection Sheet'!$L263, 'Master List Import'!$A$1:$P$519, 15, FALSE), ""), "")</f>
        <v>1</v>
      </c>
      <c r="R432" s="74">
        <f>_xlfn.IFNA(IF('Interactive Selection Sheet'!K263= "", VLOOKUP('Interactive Selection Sheet'!$L263, 'Master List Import'!$A$1:$P$519, 16, FALSE), ""), "")</f>
        <v>0.5</v>
      </c>
    </row>
    <row r="433" spans="1:18" ht="21.75" customHeight="1" x14ac:dyDescent="0.25">
      <c r="A433" s="69">
        <f>_xlfn.IFNA(IF('Interactive Selection Sheet'!A218 = "", VLOOKUP('Interactive Selection Sheet'!$B218, 'Master List Import'!$A$1:$P$519, 2, FALSE), ""), "")</f>
        <v>7700</v>
      </c>
      <c r="B433" s="69" t="str">
        <f>_xlfn.IFNA(IF('Interactive Selection Sheet'!A218 = "", VLOOKUP('Interactive Selection Sheet'!$B218, 'Master List Import'!$A$1:$P$519, 3, FALSE), ""), "")</f>
        <v>Tito's Hearty Beef Summer Sausage, 5oz - 40/cs</v>
      </c>
      <c r="C433" s="76">
        <f>IF('Interactive Selection Sheet'!$T$2="", "", IF(B433="","",'Interactive Selection Sheet'!$T$2))</f>
        <v>3.5000000000000003E-2</v>
      </c>
      <c r="D433" s="70">
        <f>IF(B433 = "", "", 'Interactive Selection Sheet'!$P$2)</f>
        <v>4.4999999999999998E-2</v>
      </c>
      <c r="E433" s="70">
        <f>IF(B433="","", 'Interactive Selection Sheet'!$R$2)</f>
        <v>0.02</v>
      </c>
      <c r="F433" s="69" t="str">
        <f>_xlfn.IFNA(IF('Interactive Selection Sheet'!A218 = "", VLOOKUP('Interactive Selection Sheet'!$B218, 'Master List Import'!$A$1:$P$519, 4, FALSE), ""), "")</f>
        <v>Snacks - Meats/Other</v>
      </c>
      <c r="G433" s="69" t="str">
        <f>_xlfn.IFNA(IF('Interactive Selection Sheet'!A218 = "", VLOOKUP('Interactive Selection Sheet'!$B218, 'Master List Import'!$A$1:$P$519, 5, FALSE), ""), "")</f>
        <v>Snacks - Meats/Other</v>
      </c>
      <c r="H433" s="69" t="str">
        <f>_xlfn.IFNA(IF('Interactive Selection Sheet'!A218 = "", VLOOKUP('Interactive Selection Sheet'!$B218, 'Master List Import'!$A$1:$P$519, 6, FALSE), ""), "")</f>
        <v>Both</v>
      </c>
      <c r="I433" s="72">
        <f>_xlfn.IFNA(IF('Interactive Selection Sheet'!A218 = "", VLOOKUP('Interactive Selection Sheet'!$B218, 'Master List Import'!$A$1:$P$519, 7, FALSE), ""), "")</f>
        <v>1.38</v>
      </c>
      <c r="J433" s="69" t="str">
        <f>_xlfn.IFNA(IF('Interactive Selection Sheet'!A218 = "", VLOOKUP('Interactive Selection Sheet'!$B218, 'Master List Import'!$A$1:$P$519, 8, FALSE), ""), "")</f>
        <v>REI</v>
      </c>
      <c r="K433" s="69" t="str">
        <f>_xlfn.IFNA(IF('Interactive Selection Sheet'!A218 = "", VLOOKUP('Interactive Selection Sheet'!$B218, 'Master List Import'!$A$1:$P$519, 9, FALSE), ""), "")</f>
        <v>206991</v>
      </c>
      <c r="L433" s="69">
        <f>_xlfn.IFNA(IF('Interactive Selection Sheet'!A218 = "", VLOOKUP('Interactive Selection Sheet'!$B218, 'Master List Import'!$A$1:$P$519, 10, FALSE), ""), "")</f>
        <v>0</v>
      </c>
      <c r="M433" s="69">
        <f>_xlfn.IFNA(IF('Interactive Selection Sheet'!A218 = "", VLOOKUP('Interactive Selection Sheet'!$B218, 'Master List Import'!$A$1:$P$519, 11, FALSE), ""), "")</f>
        <v>0</v>
      </c>
      <c r="N433" s="69">
        <f>_xlfn.IFNA(IF('Interactive Selection Sheet'!A218 = "", VLOOKUP('Interactive Selection Sheet'!$B218, 'Master List Import'!$A$1:$P$519, 12, FALSE), ""), "")</f>
        <v>40</v>
      </c>
      <c r="O433" s="69">
        <f>_xlfn.IFNA(IF('Interactive Selection Sheet'!A218 = "", VLOOKUP('Interactive Selection Sheet'!$B218, 'Master List Import'!$A$1:$P$519, 13, FALSE), ""), "")</f>
        <v>7700</v>
      </c>
      <c r="P433" s="69" t="str">
        <f>_xlfn.IFNA(IF('Interactive Selection Sheet'!A218 = "", VLOOKUP('Interactive Selection Sheet'!$B218, 'Master List Import'!$A$1:$P$519, 14, FALSE), ""), "")</f>
        <v>Beef Summer Sausage</v>
      </c>
      <c r="Q433" s="69">
        <f>_xlfn.IFNA(IF('Interactive Selection Sheet'!A218 = "", VLOOKUP('Interactive Selection Sheet'!$B218, 'Master List Import'!$A$1:$P$519, 15, FALSE), ""), "")</f>
        <v>1</v>
      </c>
      <c r="R433" s="74">
        <f>_xlfn.IFNA(IF('Interactive Selection Sheet'!A218 = "", VLOOKUP('Interactive Selection Sheet'!$B218, 'Master List Import'!$A$1:$P$519, 16, FALSE), ""), "")</f>
        <v>4.3499999999999996</v>
      </c>
    </row>
    <row r="434" spans="1:18" ht="21.75" customHeight="1" x14ac:dyDescent="0.25">
      <c r="A434" s="69">
        <f>_xlfn.IFNA(IF('Interactive Selection Sheet'!A219 = "", VLOOKUP('Interactive Selection Sheet'!$B219, 'Master List Import'!$A$1:$P$519, 2, FALSE), ""), "")</f>
        <v>7701</v>
      </c>
      <c r="B434" s="69" t="str">
        <f>_xlfn.IFNA(IF('Interactive Selection Sheet'!A219 = "", VLOOKUP('Interactive Selection Sheet'!$B219, 'Master List Import'!$A$1:$P$519, 3, FALSE), ""), "")</f>
        <v>Tito's Hot &amp; Spicy Beef Summer Sausage, 5oz - 40/cs</v>
      </c>
      <c r="C434" s="76">
        <f>IF('Interactive Selection Sheet'!$T$2="", "", IF(B434="","",'Interactive Selection Sheet'!$T$2))</f>
        <v>3.5000000000000003E-2</v>
      </c>
      <c r="D434" s="70">
        <f>IF(B434 = "", "", 'Interactive Selection Sheet'!$P$2)</f>
        <v>4.4999999999999998E-2</v>
      </c>
      <c r="E434" s="70">
        <f>IF(B434="","", 'Interactive Selection Sheet'!$R$2)</f>
        <v>0.02</v>
      </c>
      <c r="F434" s="69" t="str">
        <f>_xlfn.IFNA(IF('Interactive Selection Sheet'!A219 = "", VLOOKUP('Interactive Selection Sheet'!$B219, 'Master List Import'!$A$1:$P$519, 4, FALSE), ""), "")</f>
        <v>Snacks - Meats/Other</v>
      </c>
      <c r="G434" s="69" t="str">
        <f>_xlfn.IFNA(IF('Interactive Selection Sheet'!A219 = "", VLOOKUP('Interactive Selection Sheet'!$B219, 'Master List Import'!$A$1:$P$519, 5, FALSE), ""), "")</f>
        <v>Snacks - Meats/Other</v>
      </c>
      <c r="H434" s="69" t="str">
        <f>_xlfn.IFNA(IF('Interactive Selection Sheet'!A219 = "", VLOOKUP('Interactive Selection Sheet'!$B219, 'Master List Import'!$A$1:$P$519, 6, FALSE), ""), "")</f>
        <v>Both</v>
      </c>
      <c r="I434" s="72">
        <f>_xlfn.IFNA(IF('Interactive Selection Sheet'!A219 = "", VLOOKUP('Interactive Selection Sheet'!$B219, 'Master List Import'!$A$1:$P$519, 7, FALSE), ""), "")</f>
        <v>1.38</v>
      </c>
      <c r="J434" s="69" t="str">
        <f>_xlfn.IFNA(IF('Interactive Selection Sheet'!A219 = "", VLOOKUP('Interactive Selection Sheet'!$B219, 'Master List Import'!$A$1:$P$519, 8, FALSE), ""), "")</f>
        <v>REI</v>
      </c>
      <c r="K434" s="69" t="str">
        <f>_xlfn.IFNA(IF('Interactive Selection Sheet'!A219 = "", VLOOKUP('Interactive Selection Sheet'!$B219, 'Master List Import'!$A$1:$P$519, 9, FALSE), ""), "")</f>
        <v>206990</v>
      </c>
      <c r="L434" s="69">
        <f>_xlfn.IFNA(IF('Interactive Selection Sheet'!A219 = "", VLOOKUP('Interactive Selection Sheet'!$B219, 'Master List Import'!$A$1:$P$519, 10, FALSE), ""), "")</f>
        <v>0</v>
      </c>
      <c r="M434" s="69">
        <f>_xlfn.IFNA(IF('Interactive Selection Sheet'!A219 = "", VLOOKUP('Interactive Selection Sheet'!$B219, 'Master List Import'!$A$1:$P$519, 11, FALSE), ""), "")</f>
        <v>0</v>
      </c>
      <c r="N434" s="69">
        <f>_xlfn.IFNA(IF('Interactive Selection Sheet'!A219 = "", VLOOKUP('Interactive Selection Sheet'!$B219, 'Master List Import'!$A$1:$P$519, 12, FALSE), ""), "")</f>
        <v>40</v>
      </c>
      <c r="O434" s="69">
        <f>_xlfn.IFNA(IF('Interactive Selection Sheet'!A219 = "", VLOOKUP('Interactive Selection Sheet'!$B219, 'Master List Import'!$A$1:$P$519, 13, FALSE), ""), "")</f>
        <v>7701</v>
      </c>
      <c r="P434" s="69" t="str">
        <f>_xlfn.IFNA(IF('Interactive Selection Sheet'!A219 = "", VLOOKUP('Interactive Selection Sheet'!$B219, 'Master List Import'!$A$1:$P$519, 14, FALSE), ""), "")</f>
        <v>Hot &amp; Spicy Beef Summer Sausage</v>
      </c>
      <c r="Q434" s="69">
        <f>_xlfn.IFNA(IF('Interactive Selection Sheet'!A219 = "", VLOOKUP('Interactive Selection Sheet'!$B219, 'Master List Import'!$A$1:$P$519, 15, FALSE), ""), "")</f>
        <v>1</v>
      </c>
      <c r="R434" s="74">
        <f>_xlfn.IFNA(IF('Interactive Selection Sheet'!A219 = "", VLOOKUP('Interactive Selection Sheet'!$B219, 'Master List Import'!$A$1:$P$519, 16, FALSE), ""), "")</f>
        <v>4.55</v>
      </c>
    </row>
    <row r="435" spans="1:18" ht="21.75" customHeight="1" x14ac:dyDescent="0.25">
      <c r="A435" s="69">
        <f>_xlfn.IFNA(IF('Interactive Selection Sheet'!A220 = "", VLOOKUP('Interactive Selection Sheet'!$B220, 'Master List Import'!$A$1:$P$519, 2, FALSE), ""), "")</f>
        <v>7702</v>
      </c>
      <c r="B435" s="69" t="str">
        <f>_xlfn.IFNA(IF('Interactive Selection Sheet'!A220 = "", VLOOKUP('Interactive Selection Sheet'!$B220, 'Master List Import'!$A$1:$P$519, 3, FALSE), ""), "")</f>
        <v>O'Briens Beef Sticks, 1.125oz twin pack - 100/cs</v>
      </c>
      <c r="C435" s="76">
        <f>IF('Interactive Selection Sheet'!$T$2="", "", IF(B435="","",'Interactive Selection Sheet'!$T$2))</f>
        <v>3.5000000000000003E-2</v>
      </c>
      <c r="D435" s="70">
        <f>IF(B435 = "", "", 'Interactive Selection Sheet'!$P$2)</f>
        <v>4.4999999999999998E-2</v>
      </c>
      <c r="E435" s="70">
        <f>IF(B435="","", 'Interactive Selection Sheet'!$R$2)</f>
        <v>0.02</v>
      </c>
      <c r="F435" s="69" t="str">
        <f>_xlfn.IFNA(IF('Interactive Selection Sheet'!A220 = "", VLOOKUP('Interactive Selection Sheet'!$B220, 'Master List Import'!$A$1:$P$519, 4, FALSE), ""), "")</f>
        <v>Snacks - Meats/Other</v>
      </c>
      <c r="G435" s="69" t="str">
        <f>_xlfn.IFNA(IF('Interactive Selection Sheet'!A220 = "", VLOOKUP('Interactive Selection Sheet'!$B220, 'Master List Import'!$A$1:$P$519, 5, FALSE), ""), "")</f>
        <v>Snacks - Meats/Other</v>
      </c>
      <c r="H435" s="69" t="str">
        <f>_xlfn.IFNA(IF('Interactive Selection Sheet'!A220 = "", VLOOKUP('Interactive Selection Sheet'!$B220, 'Master List Import'!$A$1:$P$519, 6, FALSE), ""), "")</f>
        <v>Both</v>
      </c>
      <c r="I435" s="72">
        <f>_xlfn.IFNA(IF('Interactive Selection Sheet'!A220 = "", VLOOKUP('Interactive Selection Sheet'!$B220, 'Master List Import'!$A$1:$P$519, 7, FALSE), ""), "")</f>
        <v>0.51500000000000001</v>
      </c>
      <c r="J435" s="69" t="str">
        <f>_xlfn.IFNA(IF('Interactive Selection Sheet'!A220 = "", VLOOKUP('Interactive Selection Sheet'!$B220, 'Master List Import'!$A$1:$P$519, 8, FALSE), ""), "")</f>
        <v>REI</v>
      </c>
      <c r="K435" s="69" t="str">
        <f>_xlfn.IFNA(IF('Interactive Selection Sheet'!A220 = "", VLOOKUP('Interactive Selection Sheet'!$B220, 'Master List Import'!$A$1:$P$519, 9, FALSE), ""), "")</f>
        <v>206938</v>
      </c>
      <c r="L435" s="69">
        <f>_xlfn.IFNA(IF('Interactive Selection Sheet'!A220 = "", VLOOKUP('Interactive Selection Sheet'!$B220, 'Master List Import'!$A$1:$P$519, 10, FALSE), ""), "")</f>
        <v>0</v>
      </c>
      <c r="M435" s="69">
        <f>_xlfn.IFNA(IF('Interactive Selection Sheet'!A220 = "", VLOOKUP('Interactive Selection Sheet'!$B220, 'Master List Import'!$A$1:$P$519, 11, FALSE), ""), "")</f>
        <v>0</v>
      </c>
      <c r="N435" s="69">
        <f>_xlfn.IFNA(IF('Interactive Selection Sheet'!A220 = "", VLOOKUP('Interactive Selection Sheet'!$B220, 'Master List Import'!$A$1:$P$519, 12, FALSE), ""), "")</f>
        <v>100</v>
      </c>
      <c r="O435" s="69">
        <f>_xlfn.IFNA(IF('Interactive Selection Sheet'!A220 = "", VLOOKUP('Interactive Selection Sheet'!$B220, 'Master List Import'!$A$1:$P$519, 13, FALSE), ""), "")</f>
        <v>7702</v>
      </c>
      <c r="P435" s="69" t="str">
        <f>_xlfn.IFNA(IF('Interactive Selection Sheet'!A220 = "", VLOOKUP('Interactive Selection Sheet'!$B220, 'Master List Import'!$A$1:$P$519, 14, FALSE), ""), "")</f>
        <v>O'Brien's Beef Sticks</v>
      </c>
      <c r="Q435" s="69">
        <f>_xlfn.IFNA(IF('Interactive Selection Sheet'!A220 = "", VLOOKUP('Interactive Selection Sheet'!$B220, 'Master List Import'!$A$1:$P$519, 15, FALSE), ""), "")</f>
        <v>1</v>
      </c>
      <c r="R435" s="74">
        <f>_xlfn.IFNA(IF('Interactive Selection Sheet'!A220 = "", VLOOKUP('Interactive Selection Sheet'!$B220, 'Master List Import'!$A$1:$P$519, 16, FALSE), ""), "")</f>
        <v>1.7</v>
      </c>
    </row>
    <row r="436" spans="1:18" ht="21.75" customHeight="1" x14ac:dyDescent="0.25">
      <c r="A436" s="69">
        <f>_xlfn.IFNA(IF('Interactive Selection Sheet'!A221 = "", VLOOKUP('Interactive Selection Sheet'!$B221, 'Master List Import'!$A$1:$P$519, 2, FALSE), ""), "")</f>
        <v>7703</v>
      </c>
      <c r="B436" s="69" t="str">
        <f>_xlfn.IFNA(IF('Interactive Selection Sheet'!A221 = "", VLOOKUP('Interactive Selection Sheet'!$B221, 'Master List Import'!$A$1:$P$519, 3, FALSE), ""), "")</f>
        <v>Double Barrel Beef Sticks (Hot Shots), 1.125oz twin pack - 100/cs</v>
      </c>
      <c r="C436" s="76">
        <f>IF('Interactive Selection Sheet'!$T$2="", "", IF(B436="","",'Interactive Selection Sheet'!$T$2))</f>
        <v>3.5000000000000003E-2</v>
      </c>
      <c r="D436" s="70">
        <f>IF(B436 = "", "", 'Interactive Selection Sheet'!$P$2)</f>
        <v>4.4999999999999998E-2</v>
      </c>
      <c r="E436" s="70">
        <f>IF(B436="","", 'Interactive Selection Sheet'!$R$2)</f>
        <v>0.02</v>
      </c>
      <c r="F436" s="69" t="str">
        <f>_xlfn.IFNA(IF('Interactive Selection Sheet'!A221 = "", VLOOKUP('Interactive Selection Sheet'!$B221, 'Master List Import'!$A$1:$P$519, 4, FALSE), ""), "")</f>
        <v>Snacks - Meats/Other</v>
      </c>
      <c r="G436" s="69" t="str">
        <f>_xlfn.IFNA(IF('Interactive Selection Sheet'!A221 = "", VLOOKUP('Interactive Selection Sheet'!$B221, 'Master List Import'!$A$1:$P$519, 5, FALSE), ""), "")</f>
        <v>Snacks - Meats/Other</v>
      </c>
      <c r="H436" s="69" t="str">
        <f>_xlfn.IFNA(IF('Interactive Selection Sheet'!A221 = "", VLOOKUP('Interactive Selection Sheet'!$B221, 'Master List Import'!$A$1:$P$519, 6, FALSE), ""), "")</f>
        <v>Both</v>
      </c>
      <c r="I436" s="72">
        <f>_xlfn.IFNA(IF('Interactive Selection Sheet'!A221 = "", VLOOKUP('Interactive Selection Sheet'!$B221, 'Master List Import'!$A$1:$P$519, 7, FALSE), ""), "")</f>
        <v>0.50309999999999999</v>
      </c>
      <c r="J436" s="69" t="str">
        <f>_xlfn.IFNA(IF('Interactive Selection Sheet'!A221 = "", VLOOKUP('Interactive Selection Sheet'!$B221, 'Master List Import'!$A$1:$P$519, 8, FALSE), ""), "")</f>
        <v>Vistar</v>
      </c>
      <c r="K436" s="69" t="str">
        <f>_xlfn.IFNA(IF('Interactive Selection Sheet'!A221 = "", VLOOKUP('Interactive Selection Sheet'!$B221, 'Master List Import'!$A$1:$P$519, 9, FALSE), ""), "")</f>
        <v>HUI53041</v>
      </c>
      <c r="L436" s="69">
        <f>_xlfn.IFNA(IF('Interactive Selection Sheet'!A221 = "", VLOOKUP('Interactive Selection Sheet'!$B221, 'Master List Import'!$A$1:$P$519, 10, FALSE), ""), "")</f>
        <v>0</v>
      </c>
      <c r="M436" s="69">
        <f>_xlfn.IFNA(IF('Interactive Selection Sheet'!A221 = "", VLOOKUP('Interactive Selection Sheet'!$B221, 'Master List Import'!$A$1:$P$519, 11, FALSE), ""), "")</f>
        <v>0</v>
      </c>
      <c r="N436" s="69">
        <f>_xlfn.IFNA(IF('Interactive Selection Sheet'!A221 = "", VLOOKUP('Interactive Selection Sheet'!$B221, 'Master List Import'!$A$1:$P$519, 12, FALSE), ""), "")</f>
        <v>100</v>
      </c>
      <c r="O436" s="69">
        <f>_xlfn.IFNA(IF('Interactive Selection Sheet'!A221 = "", VLOOKUP('Interactive Selection Sheet'!$B221, 'Master List Import'!$A$1:$P$519, 13, FALSE), ""), "")</f>
        <v>7703</v>
      </c>
      <c r="P436" s="69" t="str">
        <f>_xlfn.IFNA(IF('Interactive Selection Sheet'!A221 = "", VLOOKUP('Interactive Selection Sheet'!$B221, 'Master List Import'!$A$1:$P$519, 14, FALSE), ""), "")</f>
        <v>Double Barrel Beef Sticks</v>
      </c>
      <c r="Q436" s="69">
        <f>_xlfn.IFNA(IF('Interactive Selection Sheet'!A221 = "", VLOOKUP('Interactive Selection Sheet'!$B221, 'Master List Import'!$A$1:$P$519, 15, FALSE), ""), "")</f>
        <v>1</v>
      </c>
      <c r="R436" s="74">
        <f>_xlfn.IFNA(IF('Interactive Selection Sheet'!A221 = "", VLOOKUP('Interactive Selection Sheet'!$B221, 'Master List Import'!$A$1:$P$519, 16, FALSE), ""), "")</f>
        <v>1.7</v>
      </c>
    </row>
    <row r="437" spans="1:18" ht="21.75" customHeight="1" x14ac:dyDescent="0.25">
      <c r="A437" s="69">
        <f>_xlfn.IFNA(IF('Interactive Selection Sheet'!A222 = "", VLOOKUP('Interactive Selection Sheet'!$B222, 'Master List Import'!$A$1:$P$519, 2, FALSE), ""), "")</f>
        <v>7720</v>
      </c>
      <c r="B437" s="69" t="str">
        <f>_xlfn.IFNA(IF('Interactive Selection Sheet'!A222 = "", VLOOKUP('Interactive Selection Sheet'!$B222, 'Master List Import'!$A$1:$P$519, 3, FALSE), ""), "")</f>
        <v>Van Holtens Hot Dill Pickle (#4) - 12/cs</v>
      </c>
      <c r="C437" s="76">
        <f>IF('Interactive Selection Sheet'!$T$2="", "", IF(B437="","",'Interactive Selection Sheet'!$T$2))</f>
        <v>3.5000000000000003E-2</v>
      </c>
      <c r="D437" s="70">
        <f>IF(B437 = "", "", 'Interactive Selection Sheet'!$P$2)</f>
        <v>4.4999999999999998E-2</v>
      </c>
      <c r="E437" s="70">
        <f>IF(B437="","", 'Interactive Selection Sheet'!$R$2)</f>
        <v>0.02</v>
      </c>
      <c r="F437" s="69" t="str">
        <f>_xlfn.IFNA(IF('Interactive Selection Sheet'!A222 = "", VLOOKUP('Interactive Selection Sheet'!$B222, 'Master List Import'!$A$1:$P$519, 4, FALSE), ""), "")</f>
        <v>Snacks - Meats/Other</v>
      </c>
      <c r="G437" s="69" t="str">
        <f>_xlfn.IFNA(IF('Interactive Selection Sheet'!A222 = "", VLOOKUP('Interactive Selection Sheet'!$B222, 'Master List Import'!$A$1:$P$519, 5, FALSE), ""), "")</f>
        <v>Snacks - Meats/Other</v>
      </c>
      <c r="H437" s="69" t="str">
        <f>_xlfn.IFNA(IF('Interactive Selection Sheet'!A222 = "", VLOOKUP('Interactive Selection Sheet'!$B222, 'Master List Import'!$A$1:$P$519, 6, FALSE), ""), "")</f>
        <v>Both</v>
      </c>
      <c r="I437" s="72">
        <f>_xlfn.IFNA(IF('Interactive Selection Sheet'!A222 = "", VLOOKUP('Interactive Selection Sheet'!$B222, 'Master List Import'!$A$1:$P$519, 7, FALSE), ""), "")</f>
        <v>0.75660000000000005</v>
      </c>
      <c r="J437" s="69" t="str">
        <f>_xlfn.IFNA(IF('Interactive Selection Sheet'!A222 = "", VLOOKUP('Interactive Selection Sheet'!$B222, 'Master List Import'!$A$1:$P$519, 8, FALSE), ""), "")</f>
        <v>Vistar</v>
      </c>
      <c r="K437" s="69" t="str">
        <f>_xlfn.IFNA(IF('Interactive Selection Sheet'!A222 = "", VLOOKUP('Interactive Selection Sheet'!$B222, 'Master List Import'!$A$1:$P$519, 9, FALSE), ""), "")</f>
        <v>JGV412H</v>
      </c>
      <c r="L437" s="69">
        <f>_xlfn.IFNA(IF('Interactive Selection Sheet'!A222 = "", VLOOKUP('Interactive Selection Sheet'!$B222, 'Master List Import'!$A$1:$P$519, 10, FALSE), ""), "")</f>
        <v>0</v>
      </c>
      <c r="M437" s="69">
        <f>_xlfn.IFNA(IF('Interactive Selection Sheet'!A222 = "", VLOOKUP('Interactive Selection Sheet'!$B222, 'Master List Import'!$A$1:$P$519, 11, FALSE), ""), "")</f>
        <v>0</v>
      </c>
      <c r="N437" s="69">
        <f>_xlfn.IFNA(IF('Interactive Selection Sheet'!A222 = "", VLOOKUP('Interactive Selection Sheet'!$B222, 'Master List Import'!$A$1:$P$519, 12, FALSE), ""), "")</f>
        <v>12</v>
      </c>
      <c r="O437" s="69">
        <f>_xlfn.IFNA(IF('Interactive Selection Sheet'!A222 = "", VLOOKUP('Interactive Selection Sheet'!$B222, 'Master List Import'!$A$1:$P$519, 13, FALSE), ""), "")</f>
        <v>7720</v>
      </c>
      <c r="P437" s="69" t="str">
        <f>_xlfn.IFNA(IF('Interactive Selection Sheet'!A222 = "", VLOOKUP('Interactive Selection Sheet'!$B222, 'Master List Import'!$A$1:$P$519, 14, FALSE), ""), "")</f>
        <v>Hot Dill Pickle</v>
      </c>
      <c r="Q437" s="69">
        <f>_xlfn.IFNA(IF('Interactive Selection Sheet'!A222 = "", VLOOKUP('Interactive Selection Sheet'!$B222, 'Master List Import'!$A$1:$P$519, 15, FALSE), ""), "")</f>
        <v>1</v>
      </c>
      <c r="R437" s="74">
        <f>_xlfn.IFNA(IF('Interactive Selection Sheet'!A222 = "", VLOOKUP('Interactive Selection Sheet'!$B222, 'Master List Import'!$A$1:$P$519, 16, FALSE), ""), "")</f>
        <v>2.25</v>
      </c>
    </row>
    <row r="438" spans="1:18" ht="21.75" customHeight="1" x14ac:dyDescent="0.25">
      <c r="A438" s="69">
        <f>_xlfn.IFNA(IF('Interactive Selection Sheet'!A223 = "", VLOOKUP('Interactive Selection Sheet'!$B223, 'Master List Import'!$A$1:$P$519, 2, FALSE), ""), "")</f>
        <v>7721</v>
      </c>
      <c r="B438" s="69" t="str">
        <f>_xlfn.IFNA(IF('Interactive Selection Sheet'!A223 = "", VLOOKUP('Interactive Selection Sheet'!$B223, 'Master List Import'!$A$1:$P$519, 3, FALSE), ""), "")</f>
        <v>Van Holtens Mild Dill Pickle (#4) - 12/cs</v>
      </c>
      <c r="C438" s="76">
        <f>IF('Interactive Selection Sheet'!$T$2="", "", IF(B438="","",'Interactive Selection Sheet'!$T$2))</f>
        <v>3.5000000000000003E-2</v>
      </c>
      <c r="D438" s="70">
        <f>IF(B438 = "", "", 'Interactive Selection Sheet'!$P$2)</f>
        <v>4.4999999999999998E-2</v>
      </c>
      <c r="E438" s="70">
        <f>IF(B438="","", 'Interactive Selection Sheet'!$R$2)</f>
        <v>0.02</v>
      </c>
      <c r="F438" s="69" t="str">
        <f>_xlfn.IFNA(IF('Interactive Selection Sheet'!A223 = "", VLOOKUP('Interactive Selection Sheet'!$B223, 'Master List Import'!$A$1:$P$519, 4, FALSE), ""), "")</f>
        <v>Snacks - Meats/Other</v>
      </c>
      <c r="G438" s="69" t="str">
        <f>_xlfn.IFNA(IF('Interactive Selection Sheet'!A223 = "", VLOOKUP('Interactive Selection Sheet'!$B223, 'Master List Import'!$A$1:$P$519, 5, FALSE), ""), "")</f>
        <v>Snacks - Meats/Other</v>
      </c>
      <c r="H438" s="69" t="str">
        <f>_xlfn.IFNA(IF('Interactive Selection Sheet'!A223 = "", VLOOKUP('Interactive Selection Sheet'!$B223, 'Master List Import'!$A$1:$P$519, 6, FALSE), ""), "")</f>
        <v>Both</v>
      </c>
      <c r="I438" s="72">
        <f>_xlfn.IFNA(IF('Interactive Selection Sheet'!A223 = "", VLOOKUP('Interactive Selection Sheet'!$B223, 'Master List Import'!$A$1:$P$519, 7, FALSE), ""), "")</f>
        <v>0.75660000000000005</v>
      </c>
      <c r="J438" s="69" t="str">
        <f>_xlfn.IFNA(IF('Interactive Selection Sheet'!A223 = "", VLOOKUP('Interactive Selection Sheet'!$B223, 'Master List Import'!$A$1:$P$519, 8, FALSE), ""), "")</f>
        <v>Vistar</v>
      </c>
      <c r="K438" s="69" t="str">
        <f>_xlfn.IFNA(IF('Interactive Selection Sheet'!A223 = "", VLOOKUP('Interactive Selection Sheet'!$B223, 'Master List Import'!$A$1:$P$519, 9, FALSE), ""), "")</f>
        <v>JGV412M</v>
      </c>
      <c r="L438" s="69">
        <f>_xlfn.IFNA(IF('Interactive Selection Sheet'!A223 = "", VLOOKUP('Interactive Selection Sheet'!$B223, 'Master List Import'!$A$1:$P$519, 10, FALSE), ""), "")</f>
        <v>0</v>
      </c>
      <c r="M438" s="69">
        <f>_xlfn.IFNA(IF('Interactive Selection Sheet'!A223 = "", VLOOKUP('Interactive Selection Sheet'!$B223, 'Master List Import'!$A$1:$P$519, 11, FALSE), ""), "")</f>
        <v>0</v>
      </c>
      <c r="N438" s="69">
        <f>_xlfn.IFNA(IF('Interactive Selection Sheet'!A223 = "", VLOOKUP('Interactive Selection Sheet'!$B223, 'Master List Import'!$A$1:$P$519, 12, FALSE), ""), "")</f>
        <v>12</v>
      </c>
      <c r="O438" s="69">
        <f>_xlfn.IFNA(IF('Interactive Selection Sheet'!A223 = "", VLOOKUP('Interactive Selection Sheet'!$B223, 'Master List Import'!$A$1:$P$519, 13, FALSE), ""), "")</f>
        <v>7721</v>
      </c>
      <c r="P438" s="69" t="str">
        <f>_xlfn.IFNA(IF('Interactive Selection Sheet'!A223 = "", VLOOKUP('Interactive Selection Sheet'!$B223, 'Master List Import'!$A$1:$P$519, 14, FALSE), ""), "")</f>
        <v>Dill Pickle</v>
      </c>
      <c r="Q438" s="69">
        <f>_xlfn.IFNA(IF('Interactive Selection Sheet'!A223 = "", VLOOKUP('Interactive Selection Sheet'!$B223, 'Master List Import'!$A$1:$P$519, 15, FALSE), ""), "")</f>
        <v>1</v>
      </c>
      <c r="R438" s="74">
        <f>_xlfn.IFNA(IF('Interactive Selection Sheet'!A223 = "", VLOOKUP('Interactive Selection Sheet'!$B223, 'Master List Import'!$A$1:$P$519, 16, FALSE), ""), "")</f>
        <v>2.25</v>
      </c>
    </row>
    <row r="439" spans="1:18" ht="21.75" customHeight="1" x14ac:dyDescent="0.25">
      <c r="A439" s="69">
        <f>_xlfn.IFNA(IF('Interactive Selection Sheet'!A224 = "", VLOOKUP('Interactive Selection Sheet'!$B224, 'Master List Import'!$A$1:$P$519, 2, FALSE), ""), "")</f>
        <v>7730</v>
      </c>
      <c r="B439" s="69" t="str">
        <f>_xlfn.IFNA(IF('Interactive Selection Sheet'!A224 = "", VLOOKUP('Interactive Selection Sheet'!$B224, 'Master List Import'!$A$1:$P$519, 3, FALSE), ""), "")</f>
        <v>Butter Lovers Microwave Popcorn, 2.75oz - 36/cs</v>
      </c>
      <c r="C439" s="76">
        <f>IF('Interactive Selection Sheet'!$T$2="", "", IF(B439="","",'Interactive Selection Sheet'!$T$2))</f>
        <v>3.5000000000000003E-2</v>
      </c>
      <c r="D439" s="70">
        <f>IF(B439 = "", "", 'Interactive Selection Sheet'!$P$2)</f>
        <v>4.4999999999999998E-2</v>
      </c>
      <c r="E439" s="70">
        <f>IF(B439="","", 'Interactive Selection Sheet'!$R$2)</f>
        <v>0.02</v>
      </c>
      <c r="F439" s="69" t="str">
        <f>_xlfn.IFNA(IF('Interactive Selection Sheet'!A224 = "", VLOOKUP('Interactive Selection Sheet'!$B224, 'Master List Import'!$A$1:$P$519, 4, FALSE), ""), "")</f>
        <v>Snacks - Meats/Other</v>
      </c>
      <c r="G439" s="69" t="str">
        <f>_xlfn.IFNA(IF('Interactive Selection Sheet'!A224 = "", VLOOKUP('Interactive Selection Sheet'!$B224, 'Master List Import'!$A$1:$P$519, 5, FALSE), ""), "")</f>
        <v>Snacks - Meats/Other</v>
      </c>
      <c r="H439" s="69" t="str">
        <f>_xlfn.IFNA(IF('Interactive Selection Sheet'!A224 = "", VLOOKUP('Interactive Selection Sheet'!$B224, 'Master List Import'!$A$1:$P$519, 6, FALSE), ""), "")</f>
        <v>Both</v>
      </c>
      <c r="I439" s="72">
        <f>_xlfn.IFNA(IF('Interactive Selection Sheet'!A224 = "", VLOOKUP('Interactive Selection Sheet'!$B224, 'Master List Import'!$A$1:$P$519, 7, FALSE), ""), "")</f>
        <v>0.35</v>
      </c>
      <c r="J439" s="69" t="str">
        <f>_xlfn.IFNA(IF('Interactive Selection Sheet'!A224 = "", VLOOKUP('Interactive Selection Sheet'!$B224, 'Master List Import'!$A$1:$P$519, 8, FALSE), ""), "")</f>
        <v>REI</v>
      </c>
      <c r="K439" s="69" t="str">
        <f>_xlfn.IFNA(IF('Interactive Selection Sheet'!A224 = "", VLOOKUP('Interactive Selection Sheet'!$B224, 'Master List Import'!$A$1:$P$519, 9, FALSE), ""), "")</f>
        <v>211292</v>
      </c>
      <c r="L439" s="69">
        <f>_xlfn.IFNA(IF('Interactive Selection Sheet'!A224 = "", VLOOKUP('Interactive Selection Sheet'!$B224, 'Master List Import'!$A$1:$P$519, 10, FALSE), ""), "")</f>
        <v>0</v>
      </c>
      <c r="M439" s="69">
        <f>_xlfn.IFNA(IF('Interactive Selection Sheet'!A224 = "", VLOOKUP('Interactive Selection Sheet'!$B224, 'Master List Import'!$A$1:$P$519, 11, FALSE), ""), "")</f>
        <v>0</v>
      </c>
      <c r="N439" s="69">
        <f>_xlfn.IFNA(IF('Interactive Selection Sheet'!A224 = "", VLOOKUP('Interactive Selection Sheet'!$B224, 'Master List Import'!$A$1:$P$519, 12, FALSE), ""), "")</f>
        <v>36</v>
      </c>
      <c r="O439" s="69">
        <f>_xlfn.IFNA(IF('Interactive Selection Sheet'!A224 = "", VLOOKUP('Interactive Selection Sheet'!$B224, 'Master List Import'!$A$1:$P$519, 13, FALSE), ""), "")</f>
        <v>7730</v>
      </c>
      <c r="P439" s="69" t="str">
        <f>_xlfn.IFNA(IF('Interactive Selection Sheet'!A224 = "", VLOOKUP('Interactive Selection Sheet'!$B224, 'Master List Import'!$A$1:$P$519, 14, FALSE), ""), "")</f>
        <v>Microwave Butter Popcorn</v>
      </c>
      <c r="Q439" s="69">
        <f>_xlfn.IFNA(IF('Interactive Selection Sheet'!A224 = "", VLOOKUP('Interactive Selection Sheet'!$B224, 'Master List Import'!$A$1:$P$519, 15, FALSE), ""), "")</f>
        <v>1</v>
      </c>
      <c r="R439" s="74">
        <f>_xlfn.IFNA(IF('Interactive Selection Sheet'!A224 = "", VLOOKUP('Interactive Selection Sheet'!$B224, 'Master List Import'!$A$1:$P$519, 16, FALSE), ""), "")</f>
        <v>1.05</v>
      </c>
    </row>
    <row r="440" spans="1:18" ht="21.75" customHeight="1" x14ac:dyDescent="0.25">
      <c r="A440" s="69">
        <f>_xlfn.IFNA(IF('Interactive Selection Sheet'!$K177= "", VLOOKUP('Interactive Selection Sheet'!$L177, 'Master List Import'!$A$1:$P$519, 2, FALSE), ""), "")</f>
        <v>7740</v>
      </c>
      <c r="B440" s="69" t="str">
        <f>_xlfn.IFNA(IF('Interactive Selection Sheet'!$K177= "", VLOOKUP('Interactive Selection Sheet'!$L177, 'Master List Import'!$A$1:$P$519, 3, FALSE), ""), "")</f>
        <v>Salted Peanuts, 1oz - 100/cs</v>
      </c>
      <c r="C440" s="76">
        <f>IF('Interactive Selection Sheet'!$T$2="", "", IF(B440="","",'Interactive Selection Sheet'!$T$2))</f>
        <v>3.5000000000000003E-2</v>
      </c>
      <c r="D440" s="70">
        <f>IF(B440 = "", "", 'Interactive Selection Sheet'!$P$2)</f>
        <v>4.4999999999999998E-2</v>
      </c>
      <c r="E440" s="70">
        <f>IF(B440="","", 'Interactive Selection Sheet'!$R$2)</f>
        <v>0.02</v>
      </c>
      <c r="F440" s="69" t="str">
        <f>_xlfn.IFNA(IF('Interactive Selection Sheet'!K177= "", VLOOKUP('Interactive Selection Sheet'!$L177, 'Master List Import'!$A$1:$P$519, 4, FALSE), ""), "")</f>
        <v>Snacks - Bars/Nuts</v>
      </c>
      <c r="G440" s="69" t="str">
        <f>_xlfn.IFNA(IF('Interactive Selection Sheet'!K177= "", VLOOKUP('Interactive Selection Sheet'!$L177, 'Master List Import'!$A$1:$P$519, 5, FALSE), ""), "")</f>
        <v>Snacks - Bars/Nuts</v>
      </c>
      <c r="H440" s="69" t="str">
        <f>_xlfn.IFNA(IF('Interactive Selection Sheet'!K177= "", VLOOKUP('Interactive Selection Sheet'!$L177, 'Master List Import'!$A$1:$P$519, 6, FALSE), ""), "")</f>
        <v>Both</v>
      </c>
      <c r="I440" s="72">
        <f>_xlfn.IFNA(IF('Interactive Selection Sheet'!K177= "", VLOOKUP('Interactive Selection Sheet'!$L177, 'Master List Import'!$A$1:$P$519, 7, FALSE), ""), "")</f>
        <v>0.2273</v>
      </c>
      <c r="J440" s="69" t="str">
        <f>_xlfn.IFNA(IF('Interactive Selection Sheet'!K177= "", VLOOKUP('Interactive Selection Sheet'!$L177, 'Master List Import'!$A$1:$P$519, 8, FALSE), ""), "")</f>
        <v>Vistar</v>
      </c>
      <c r="K440" s="69" t="str">
        <f>_xlfn.IFNA(IF('Interactive Selection Sheet'!K177= "", VLOOKUP('Interactive Selection Sheet'!$L177, 'Master List Import'!$A$1:$P$519, 9, FALSE), ""), "")</f>
        <v>KAR978</v>
      </c>
      <c r="L440" s="69">
        <f>_xlfn.IFNA(IF('Interactive Selection Sheet'!K177= "", VLOOKUP('Interactive Selection Sheet'!$L177, 'Master List Import'!$A$1:$P$519, 10, FALSE), ""), "")</f>
        <v>0</v>
      </c>
      <c r="M440" s="69">
        <f>_xlfn.IFNA(IF('Interactive Selection Sheet'!K177= "", VLOOKUP('Interactive Selection Sheet'!$L177, 'Master List Import'!$A$1:$P$519, 11, FALSE), ""), "")</f>
        <v>0</v>
      </c>
      <c r="N440" s="69">
        <f>_xlfn.IFNA(IF('Interactive Selection Sheet'!K177= "", VLOOKUP('Interactive Selection Sheet'!$L177, 'Master List Import'!$A$1:$P$519, 12, FALSE), ""), "")</f>
        <v>100</v>
      </c>
      <c r="O440" s="69">
        <f>_xlfn.IFNA(IF('Interactive Selection Sheet'!K177= "", VLOOKUP('Interactive Selection Sheet'!$L177, 'Master List Import'!$A$1:$P$519, 13, FALSE), ""), "")</f>
        <v>7740</v>
      </c>
      <c r="P440" s="69" t="str">
        <f>_xlfn.IFNA(IF('Interactive Selection Sheet'!K177= "", VLOOKUP('Interactive Selection Sheet'!$L177, 'Master List Import'!$A$1:$P$519, 14, FALSE), ""), "")</f>
        <v>Salted Peanuts</v>
      </c>
      <c r="Q440" s="69">
        <f>_xlfn.IFNA(IF('Interactive Selection Sheet'!K177= "", VLOOKUP('Interactive Selection Sheet'!$L177, 'Master List Import'!$A$1:$P$519, 15, FALSE), ""), "")</f>
        <v>1</v>
      </c>
      <c r="R440" s="74">
        <f>_xlfn.IFNA(IF('Interactive Selection Sheet'!K177= "", VLOOKUP('Interactive Selection Sheet'!$L177, 'Master List Import'!$A$1:$P$519, 16, FALSE), ""), "")</f>
        <v>0.65</v>
      </c>
    </row>
    <row r="441" spans="1:18" ht="21.75" customHeight="1" x14ac:dyDescent="0.25">
      <c r="A441" s="69">
        <f>_xlfn.IFNA(IF('Interactive Selection Sheet'!$K178= "", VLOOKUP('Interactive Selection Sheet'!$L178, 'Master List Import'!$A$1:$P$519, 2, FALSE), ""), "")</f>
        <v>7741</v>
      </c>
      <c r="B441" s="69" t="str">
        <f>_xlfn.IFNA(IF('Interactive Selection Sheet'!$K178= "", VLOOKUP('Interactive Selection Sheet'!$L178, 'Master List Import'!$A$1:$P$519, 3, FALSE), ""), "")</f>
        <v>Sunflower Kernels, 2oz - 72/cs</v>
      </c>
      <c r="C441" s="76">
        <f>IF('Interactive Selection Sheet'!$T$2="", "", IF(B441="","",'Interactive Selection Sheet'!$T$2))</f>
        <v>3.5000000000000003E-2</v>
      </c>
      <c r="D441" s="70">
        <f>IF(B441 = "", "", 'Interactive Selection Sheet'!$P$2)</f>
        <v>4.4999999999999998E-2</v>
      </c>
      <c r="E441" s="70">
        <f>IF(B441="","", 'Interactive Selection Sheet'!$R$2)</f>
        <v>0.02</v>
      </c>
      <c r="F441" s="69" t="str">
        <f>_xlfn.IFNA(IF('Interactive Selection Sheet'!K178= "", VLOOKUP('Interactive Selection Sheet'!$L178, 'Master List Import'!$A$1:$P$519, 4, FALSE), ""), "")</f>
        <v>Snacks - Bars/Nuts</v>
      </c>
      <c r="G441" s="69" t="str">
        <f>_xlfn.IFNA(IF('Interactive Selection Sheet'!K178= "", VLOOKUP('Interactive Selection Sheet'!$L178, 'Master List Import'!$A$1:$P$519, 5, FALSE), ""), "")</f>
        <v>Snacks - Bars/Nuts</v>
      </c>
      <c r="H441" s="69" t="str">
        <f>_xlfn.IFNA(IF('Interactive Selection Sheet'!K178= "", VLOOKUP('Interactive Selection Sheet'!$L178, 'Master List Import'!$A$1:$P$519, 6, FALSE), ""), "")</f>
        <v>Both</v>
      </c>
      <c r="I441" s="72">
        <f>_xlfn.IFNA(IF('Interactive Selection Sheet'!K178= "", VLOOKUP('Interactive Selection Sheet'!$L178, 'Master List Import'!$A$1:$P$519, 7, FALSE), ""), "")</f>
        <v>0.40910000000000002</v>
      </c>
      <c r="J441" s="69" t="str">
        <f>_xlfn.IFNA(IF('Interactive Selection Sheet'!K178= "", VLOOKUP('Interactive Selection Sheet'!$L178, 'Master List Import'!$A$1:$P$519, 8, FALSE), ""), "")</f>
        <v>Vistar</v>
      </c>
      <c r="K441" s="69" t="str">
        <f>_xlfn.IFNA(IF('Interactive Selection Sheet'!K178= "", VLOOKUP('Interactive Selection Sheet'!$L178, 'Master List Import'!$A$1:$P$519, 9, FALSE), ""), "")</f>
        <v>KAR08989</v>
      </c>
      <c r="L441" s="69">
        <f>_xlfn.IFNA(IF('Interactive Selection Sheet'!K178= "", VLOOKUP('Interactive Selection Sheet'!$L178, 'Master List Import'!$A$1:$P$519, 10, FALSE), ""), "")</f>
        <v>0</v>
      </c>
      <c r="M441" s="69">
        <f>_xlfn.IFNA(IF('Interactive Selection Sheet'!K178= "", VLOOKUP('Interactive Selection Sheet'!$L178, 'Master List Import'!$A$1:$P$519, 11, FALSE), ""), "")</f>
        <v>0</v>
      </c>
      <c r="N441" s="69">
        <f>_xlfn.IFNA(IF('Interactive Selection Sheet'!K178= "", VLOOKUP('Interactive Selection Sheet'!$L178, 'Master List Import'!$A$1:$P$519, 12, FALSE), ""), "")</f>
        <v>72</v>
      </c>
      <c r="O441" s="69">
        <f>_xlfn.IFNA(IF('Interactive Selection Sheet'!K178= "", VLOOKUP('Interactive Selection Sheet'!$L178, 'Master List Import'!$A$1:$P$519, 13, FALSE), ""), "")</f>
        <v>7741</v>
      </c>
      <c r="P441" s="69" t="str">
        <f>_xlfn.IFNA(IF('Interactive Selection Sheet'!K178= "", VLOOKUP('Interactive Selection Sheet'!$L178, 'Master List Import'!$A$1:$P$519, 14, FALSE), ""), "")</f>
        <v>Sunflower Kernels</v>
      </c>
      <c r="Q441" s="69">
        <f>_xlfn.IFNA(IF('Interactive Selection Sheet'!K178= "", VLOOKUP('Interactive Selection Sheet'!$L178, 'Master List Import'!$A$1:$P$519, 15, FALSE), ""), "")</f>
        <v>1</v>
      </c>
      <c r="R441" s="74">
        <f>_xlfn.IFNA(IF('Interactive Selection Sheet'!K178= "", VLOOKUP('Interactive Selection Sheet'!$L178, 'Master List Import'!$A$1:$P$519, 16, FALSE), ""), "")</f>
        <v>1.1499999999999999</v>
      </c>
    </row>
    <row r="442" spans="1:18" ht="21.75" customHeight="1" x14ac:dyDescent="0.25">
      <c r="A442" s="69">
        <f>_xlfn.IFNA(IF('Interactive Selection Sheet'!$K179= "", VLOOKUP('Interactive Selection Sheet'!$L179, 'Master List Import'!$A$1:$P$519, 2, FALSE), ""), "")</f>
        <v>7742</v>
      </c>
      <c r="B442" s="69" t="str">
        <f>_xlfn.IFNA(IF('Interactive Selection Sheet'!$K179= "", VLOOKUP('Interactive Selection Sheet'!$L179, 'Master List Import'!$A$1:$P$519, 3, FALSE), ""), "")</f>
        <v>Zachary Double Dipped Peanuts 12/5oz</v>
      </c>
      <c r="C442" s="76">
        <f>IF('Interactive Selection Sheet'!$T$2="", "", IF(B442="","",'Interactive Selection Sheet'!$T$2))</f>
        <v>3.5000000000000003E-2</v>
      </c>
      <c r="D442" s="70">
        <f>IF(B442 = "", "", 'Interactive Selection Sheet'!$P$2)</f>
        <v>4.4999999999999998E-2</v>
      </c>
      <c r="E442" s="70">
        <f>IF(B442="","", 'Interactive Selection Sheet'!$R$2)</f>
        <v>0.02</v>
      </c>
      <c r="F442" s="69" t="str">
        <f>_xlfn.IFNA(IF('Interactive Selection Sheet'!K179= "", VLOOKUP('Interactive Selection Sheet'!$L179, 'Master List Import'!$A$1:$P$519, 4, FALSE), ""), "")</f>
        <v>Snacks - Bars/Nuts</v>
      </c>
      <c r="G442" s="69" t="str">
        <f>_xlfn.IFNA(IF('Interactive Selection Sheet'!K179= "", VLOOKUP('Interactive Selection Sheet'!$L179, 'Master List Import'!$A$1:$P$519, 5, FALSE), ""), "")</f>
        <v>Snacks - Bars/Nuts</v>
      </c>
      <c r="H442" s="69" t="str">
        <f>_xlfn.IFNA(IF('Interactive Selection Sheet'!K179= "", VLOOKUP('Interactive Selection Sheet'!$L179, 'Master List Import'!$A$1:$P$519, 6, FALSE), ""), "")</f>
        <v>Both</v>
      </c>
      <c r="I442" s="72">
        <f>_xlfn.IFNA(IF('Interactive Selection Sheet'!K179= "", VLOOKUP('Interactive Selection Sheet'!$L179, 'Master List Import'!$A$1:$P$519, 7, FALSE), ""), "")</f>
        <v>1.2</v>
      </c>
      <c r="J442" s="69" t="str">
        <f>_xlfn.IFNA(IF('Interactive Selection Sheet'!K179= "", VLOOKUP('Interactive Selection Sheet'!$L179, 'Master List Import'!$A$1:$P$519, 8, FALSE), ""), "")</f>
        <v>REI</v>
      </c>
      <c r="K442" s="69" t="str">
        <f>_xlfn.IFNA(IF('Interactive Selection Sheet'!K179= "", VLOOKUP('Interactive Selection Sheet'!$L179, 'Master List Import'!$A$1:$P$519, 9, FALSE), ""), "")</f>
        <v>60912</v>
      </c>
      <c r="L442" s="69">
        <f>_xlfn.IFNA(IF('Interactive Selection Sheet'!K179= "", VLOOKUP('Interactive Selection Sheet'!$L179, 'Master List Import'!$A$1:$P$519, 10, FALSE), ""), "")</f>
        <v>0</v>
      </c>
      <c r="M442" s="69">
        <f>_xlfn.IFNA(IF('Interactive Selection Sheet'!K179= "", VLOOKUP('Interactive Selection Sheet'!$L179, 'Master List Import'!$A$1:$P$519, 11, FALSE), ""), "")</f>
        <v>0</v>
      </c>
      <c r="N442" s="69">
        <f>_xlfn.IFNA(IF('Interactive Selection Sheet'!K179= "", VLOOKUP('Interactive Selection Sheet'!$L179, 'Master List Import'!$A$1:$P$519, 12, FALSE), ""), "")</f>
        <v>12</v>
      </c>
      <c r="O442" s="69">
        <f>_xlfn.IFNA(IF('Interactive Selection Sheet'!K179= "", VLOOKUP('Interactive Selection Sheet'!$L179, 'Master List Import'!$A$1:$P$519, 13, FALSE), ""), "")</f>
        <v>7742</v>
      </c>
      <c r="P442" s="69" t="str">
        <f>_xlfn.IFNA(IF('Interactive Selection Sheet'!K179= "", VLOOKUP('Interactive Selection Sheet'!$L179, 'Master List Import'!$A$1:$P$519, 14, FALSE), ""), "")</f>
        <v>Double Dipped Peanuts</v>
      </c>
      <c r="Q442" s="69">
        <f>_xlfn.IFNA(IF('Interactive Selection Sheet'!K179= "", VLOOKUP('Interactive Selection Sheet'!$L179, 'Master List Import'!$A$1:$P$519, 15, FALSE), ""), "")</f>
        <v>1</v>
      </c>
      <c r="R442" s="74">
        <f>_xlfn.IFNA(IF('Interactive Selection Sheet'!K179= "", VLOOKUP('Interactive Selection Sheet'!$L179, 'Master List Import'!$A$1:$P$519, 16, FALSE), ""), "")</f>
        <v>4.2</v>
      </c>
    </row>
    <row r="443" spans="1:18" ht="21.75" customHeight="1" x14ac:dyDescent="0.25">
      <c r="A443" s="69">
        <f>_xlfn.IFNA(IF('Interactive Selection Sheet'!$K180= "", VLOOKUP('Interactive Selection Sheet'!$L180, 'Master List Import'!$A$1:$P$519, 2, FALSE), ""), "")</f>
        <v>7760</v>
      </c>
      <c r="B443" s="69" t="str">
        <f>_xlfn.IFNA(IF('Interactive Selection Sheet'!$K180= "", VLOOKUP('Interactive Selection Sheet'!$L180, 'Master List Import'!$A$1:$P$519, 3, FALSE), ""), "")</f>
        <v>All Energy Trail Mix, 2oz - 48/cs</v>
      </c>
      <c r="C443" s="76">
        <f>IF('Interactive Selection Sheet'!$T$2="", "", IF(B443="","",'Interactive Selection Sheet'!$T$2))</f>
        <v>3.5000000000000003E-2</v>
      </c>
      <c r="D443" s="70">
        <f>IF(B443 = "", "", 'Interactive Selection Sheet'!$P$2)</f>
        <v>4.4999999999999998E-2</v>
      </c>
      <c r="E443" s="70">
        <f>IF(B443="","", 'Interactive Selection Sheet'!$R$2)</f>
        <v>0.02</v>
      </c>
      <c r="F443" s="69" t="str">
        <f>_xlfn.IFNA(IF('Interactive Selection Sheet'!K180= "", VLOOKUP('Interactive Selection Sheet'!$L180, 'Master List Import'!$A$1:$P$519, 4, FALSE), ""), "")</f>
        <v>Snacks - Bars/Nuts</v>
      </c>
      <c r="G443" s="69" t="str">
        <f>_xlfn.IFNA(IF('Interactive Selection Sheet'!K180= "", VLOOKUP('Interactive Selection Sheet'!$L180, 'Master List Import'!$A$1:$P$519, 5, FALSE), ""), "")</f>
        <v>Snacks - Bars/Nuts</v>
      </c>
      <c r="H443" s="69" t="str">
        <f>_xlfn.IFNA(IF('Interactive Selection Sheet'!K180= "", VLOOKUP('Interactive Selection Sheet'!$L180, 'Master List Import'!$A$1:$P$519, 6, FALSE), ""), "")</f>
        <v>Both</v>
      </c>
      <c r="I443" s="72">
        <f>_xlfn.IFNA(IF('Interactive Selection Sheet'!K180= "", VLOOKUP('Interactive Selection Sheet'!$L180, 'Master List Import'!$A$1:$P$519, 7, FALSE), ""), "")</f>
        <v>0.44330000000000003</v>
      </c>
      <c r="J443" s="69" t="str">
        <f>_xlfn.IFNA(IF('Interactive Selection Sheet'!K180= "", VLOOKUP('Interactive Selection Sheet'!$L180, 'Master List Import'!$A$1:$P$519, 8, FALSE), ""), "")</f>
        <v>Vistar</v>
      </c>
      <c r="K443" s="69" t="str">
        <f>_xlfn.IFNA(IF('Interactive Selection Sheet'!K180= "", VLOOKUP('Interactive Selection Sheet'!$L180, 'Master List Import'!$A$1:$P$519, 9, FALSE), ""), "")</f>
        <v>KAR08952</v>
      </c>
      <c r="L443" s="69">
        <f>_xlfn.IFNA(IF('Interactive Selection Sheet'!K180= "", VLOOKUP('Interactive Selection Sheet'!$L180, 'Master List Import'!$A$1:$P$519, 10, FALSE), ""), "")</f>
        <v>0</v>
      </c>
      <c r="M443" s="69">
        <f>_xlfn.IFNA(IF('Interactive Selection Sheet'!K180= "", VLOOKUP('Interactive Selection Sheet'!$L180, 'Master List Import'!$A$1:$P$519, 11, FALSE), ""), "")</f>
        <v>0</v>
      </c>
      <c r="N443" s="69">
        <f>_xlfn.IFNA(IF('Interactive Selection Sheet'!K180= "", VLOOKUP('Interactive Selection Sheet'!$L180, 'Master List Import'!$A$1:$P$519, 12, FALSE), ""), "")</f>
        <v>48</v>
      </c>
      <c r="O443" s="69">
        <f>_xlfn.IFNA(IF('Interactive Selection Sheet'!K180= "", VLOOKUP('Interactive Selection Sheet'!$L180, 'Master List Import'!$A$1:$P$519, 13, FALSE), ""), "")</f>
        <v>7760</v>
      </c>
      <c r="P443" s="69" t="str">
        <f>_xlfn.IFNA(IF('Interactive Selection Sheet'!K180= "", VLOOKUP('Interactive Selection Sheet'!$L180, 'Master List Import'!$A$1:$P$519, 14, FALSE), ""), "")</f>
        <v>All Energy Trail Mix</v>
      </c>
      <c r="Q443" s="69">
        <f>_xlfn.IFNA(IF('Interactive Selection Sheet'!K180= "", VLOOKUP('Interactive Selection Sheet'!$L180, 'Master List Import'!$A$1:$P$519, 15, FALSE), ""), "")</f>
        <v>1</v>
      </c>
      <c r="R443" s="74">
        <f>_xlfn.IFNA(IF('Interactive Selection Sheet'!K180= "", VLOOKUP('Interactive Selection Sheet'!$L180, 'Master List Import'!$A$1:$P$519, 16, FALSE), ""), "")</f>
        <v>1.25</v>
      </c>
    </row>
    <row r="444" spans="1:18" ht="21.75" customHeight="1" x14ac:dyDescent="0.25">
      <c r="A444" s="69">
        <f>_xlfn.IFNA(IF('Interactive Selection Sheet'!$K181= "", VLOOKUP('Interactive Selection Sheet'!$L181, 'Master List Import'!$A$1:$P$519, 2, FALSE), ""), "")</f>
        <v>7761</v>
      </c>
      <c r="B444" s="69" t="str">
        <f>_xlfn.IFNA(IF('Interactive Selection Sheet'!$K181= "", VLOOKUP('Interactive Selection Sheet'!$L181, 'Master List Import'!$A$1:$P$519, 3, FALSE), ""), "")</f>
        <v>Sweet N' Spicy Snack Mix, 1.75oz - 72/cs</v>
      </c>
      <c r="C444" s="76">
        <f>IF('Interactive Selection Sheet'!$T$2="", "", IF(B444="","",'Interactive Selection Sheet'!$T$2))</f>
        <v>3.5000000000000003E-2</v>
      </c>
      <c r="D444" s="70">
        <f>IF(B444 = "", "", 'Interactive Selection Sheet'!$P$2)</f>
        <v>4.4999999999999998E-2</v>
      </c>
      <c r="E444" s="70">
        <f>IF(B444="","", 'Interactive Selection Sheet'!$R$2)</f>
        <v>0.02</v>
      </c>
      <c r="F444" s="69" t="str">
        <f>_xlfn.IFNA(IF('Interactive Selection Sheet'!K181= "", VLOOKUP('Interactive Selection Sheet'!$L181, 'Master List Import'!$A$1:$P$519, 4, FALSE), ""), "")</f>
        <v>Snacks - Bars/Nuts</v>
      </c>
      <c r="G444" s="69" t="str">
        <f>_xlfn.IFNA(IF('Interactive Selection Sheet'!K181= "", VLOOKUP('Interactive Selection Sheet'!$L181, 'Master List Import'!$A$1:$P$519, 5, FALSE), ""), "")</f>
        <v>Snacks - Bars/Nuts</v>
      </c>
      <c r="H444" s="69" t="str">
        <f>_xlfn.IFNA(IF('Interactive Selection Sheet'!K181= "", VLOOKUP('Interactive Selection Sheet'!$L181, 'Master List Import'!$A$1:$P$519, 6, FALSE), ""), "")</f>
        <v>Both</v>
      </c>
      <c r="I444" s="72">
        <f>_xlfn.IFNA(IF('Interactive Selection Sheet'!K181= "", VLOOKUP('Interactive Selection Sheet'!$L181, 'Master List Import'!$A$1:$P$519, 7, FALSE), ""), "")</f>
        <v>0.3977</v>
      </c>
      <c r="J444" s="69" t="str">
        <f>_xlfn.IFNA(IF('Interactive Selection Sheet'!K181= "", VLOOKUP('Interactive Selection Sheet'!$L181, 'Master List Import'!$A$1:$P$519, 8, FALSE), ""), "")</f>
        <v>Vistar</v>
      </c>
      <c r="K444" s="69" t="str">
        <f>_xlfn.IFNA(IF('Interactive Selection Sheet'!K181= "", VLOOKUP('Interactive Selection Sheet'!$L181, 'Master List Import'!$A$1:$P$519, 9, FALSE), ""), "")</f>
        <v>KAR984</v>
      </c>
      <c r="L444" s="69">
        <f>_xlfn.IFNA(IF('Interactive Selection Sheet'!K181= "", VLOOKUP('Interactive Selection Sheet'!$L181, 'Master List Import'!$A$1:$P$519, 10, FALSE), ""), "")</f>
        <v>0</v>
      </c>
      <c r="M444" s="69">
        <f>_xlfn.IFNA(IF('Interactive Selection Sheet'!K181= "", VLOOKUP('Interactive Selection Sheet'!$L181, 'Master List Import'!$A$1:$P$519, 11, FALSE), ""), "")</f>
        <v>0</v>
      </c>
      <c r="N444" s="69">
        <f>_xlfn.IFNA(IF('Interactive Selection Sheet'!K181= "", VLOOKUP('Interactive Selection Sheet'!$L181, 'Master List Import'!$A$1:$P$519, 12, FALSE), ""), "")</f>
        <v>72</v>
      </c>
      <c r="O444" s="69">
        <f>_xlfn.IFNA(IF('Interactive Selection Sheet'!K181= "", VLOOKUP('Interactive Selection Sheet'!$L181, 'Master List Import'!$A$1:$P$519, 13, FALSE), ""), "")</f>
        <v>7761</v>
      </c>
      <c r="P444" s="69" t="str">
        <f>_xlfn.IFNA(IF('Interactive Selection Sheet'!K181= "", VLOOKUP('Interactive Selection Sheet'!$L181, 'Master List Import'!$A$1:$P$519, 14, FALSE), ""), "")</f>
        <v>Sweet 'N Spicy Snack Mix</v>
      </c>
      <c r="Q444" s="69">
        <f>_xlfn.IFNA(IF('Interactive Selection Sheet'!K181= "", VLOOKUP('Interactive Selection Sheet'!$L181, 'Master List Import'!$A$1:$P$519, 15, FALSE), ""), "")</f>
        <v>1</v>
      </c>
      <c r="R444" s="74">
        <f>_xlfn.IFNA(IF('Interactive Selection Sheet'!K181= "", VLOOKUP('Interactive Selection Sheet'!$L181, 'Master List Import'!$A$1:$P$519, 16, FALSE), ""), "")</f>
        <v>1.2</v>
      </c>
    </row>
    <row r="445" spans="1:18" ht="21.75" customHeight="1" x14ac:dyDescent="0.25">
      <c r="A445" s="69">
        <f>_xlfn.IFNA(IF('Interactive Selection Sheet'!$K184= "", VLOOKUP('Interactive Selection Sheet'!$L184, 'Master List Import'!$A$1:$P$519, 2, FALSE), ""), "")</f>
        <v>7800</v>
      </c>
      <c r="B445" s="69" t="str">
        <f>_xlfn.IFNA(IF('Interactive Selection Sheet'!$K184= "", VLOOKUP('Interactive Selection Sheet'!$L184, 'Master List Import'!$A$1:$P$519, 3, FALSE), ""), "")</f>
        <v>Nekot Peanut Butter Sandwich Crackers, 1.75oz - 6/20/cs</v>
      </c>
      <c r="C445" s="76">
        <f>IF('Interactive Selection Sheet'!$T$2="", "", IF(B445="","",'Interactive Selection Sheet'!$T$2))</f>
        <v>3.5000000000000003E-2</v>
      </c>
      <c r="D445" s="70">
        <f>IF(B445 = "", "", 'Interactive Selection Sheet'!$P$2)</f>
        <v>4.4999999999999998E-2</v>
      </c>
      <c r="E445" s="70">
        <f>IF(B445="","", 'Interactive Selection Sheet'!$R$2)</f>
        <v>0.02</v>
      </c>
      <c r="F445" s="69" t="str">
        <f>_xlfn.IFNA(IF('Interactive Selection Sheet'!K184= "", VLOOKUP('Interactive Selection Sheet'!$L184, 'Master List Import'!$A$1:$P$519, 4, FALSE), ""), "")</f>
        <v>Snacks - Cookies/Crackers</v>
      </c>
      <c r="G445" s="69" t="str">
        <f>_xlfn.IFNA(IF('Interactive Selection Sheet'!K184= "", VLOOKUP('Interactive Selection Sheet'!$L184, 'Master List Import'!$A$1:$P$519, 5, FALSE), ""), "")</f>
        <v>Snacks - Cookies/Crackers</v>
      </c>
      <c r="H445" s="69" t="str">
        <f>_xlfn.IFNA(IF('Interactive Selection Sheet'!K184= "", VLOOKUP('Interactive Selection Sheet'!$L184, 'Master List Import'!$A$1:$P$519, 6, FALSE), ""), "")</f>
        <v>Both</v>
      </c>
      <c r="I445" s="72">
        <f>_xlfn.IFNA(IF('Interactive Selection Sheet'!K184= "", VLOOKUP('Interactive Selection Sheet'!$L184, 'Master List Import'!$A$1:$P$519, 7, FALSE), ""), "")</f>
        <v>0.19</v>
      </c>
      <c r="J445" s="69" t="str">
        <f>_xlfn.IFNA(IF('Interactive Selection Sheet'!K184= "", VLOOKUP('Interactive Selection Sheet'!$L184, 'Master List Import'!$A$1:$P$519, 8, FALSE), ""), "")</f>
        <v>Vistar</v>
      </c>
      <c r="K445" s="69" t="str">
        <f>_xlfn.IFNA(IF('Interactive Selection Sheet'!K184= "", VLOOKUP('Interactive Selection Sheet'!$L184, 'Master List Import'!$A$1:$P$519, 9, FALSE), ""), "")</f>
        <v>SNY90131</v>
      </c>
      <c r="L445" s="69">
        <f>_xlfn.IFNA(IF('Interactive Selection Sheet'!K184= "", VLOOKUP('Interactive Selection Sheet'!$L184, 'Master List Import'!$A$1:$P$519, 10, FALSE), ""), "")</f>
        <v>0</v>
      </c>
      <c r="M445" s="69">
        <f>_xlfn.IFNA(IF('Interactive Selection Sheet'!K184= "", VLOOKUP('Interactive Selection Sheet'!$L184, 'Master List Import'!$A$1:$P$519, 11, FALSE), ""), "")</f>
        <v>0</v>
      </c>
      <c r="N445" s="69">
        <f>_xlfn.IFNA(IF('Interactive Selection Sheet'!K184= "", VLOOKUP('Interactive Selection Sheet'!$L184, 'Master List Import'!$A$1:$P$519, 12, FALSE), ""), "")</f>
        <v>120</v>
      </c>
      <c r="O445" s="69">
        <f>_xlfn.IFNA(IF('Interactive Selection Sheet'!K184= "", VLOOKUP('Interactive Selection Sheet'!$L184, 'Master List Import'!$A$1:$P$519, 13, FALSE), ""), "")</f>
        <v>7800</v>
      </c>
      <c r="P445" s="69" t="str">
        <f>_xlfn.IFNA(IF('Interactive Selection Sheet'!K184= "", VLOOKUP('Interactive Selection Sheet'!$L184, 'Master List Import'!$A$1:$P$519, 14, FALSE), ""), "")</f>
        <v>Nekot Peanut Butter Sandwich Crackers</v>
      </c>
      <c r="Q445" s="69">
        <f>_xlfn.IFNA(IF('Interactive Selection Sheet'!K184= "", VLOOKUP('Interactive Selection Sheet'!$L184, 'Master List Import'!$A$1:$P$519, 15, FALSE), ""), "")</f>
        <v>1</v>
      </c>
      <c r="R445" s="74">
        <f>_xlfn.IFNA(IF('Interactive Selection Sheet'!K184= "", VLOOKUP('Interactive Selection Sheet'!$L184, 'Master List Import'!$A$1:$P$519, 16, FALSE), ""), "")</f>
        <v>0.65</v>
      </c>
    </row>
    <row r="446" spans="1:18" ht="21.75" customHeight="1" x14ac:dyDescent="0.25">
      <c r="A446" s="69">
        <f>_xlfn.IFNA(IF('Interactive Selection Sheet'!$K185= "", VLOOKUP('Interactive Selection Sheet'!$L185, 'Master List Import'!$A$1:$P$519, 2, FALSE), ""), "")</f>
        <v>7801</v>
      </c>
      <c r="B446" s="69" t="str">
        <f>_xlfn.IFNA(IF('Interactive Selection Sheet'!$K185= "", VLOOKUP('Interactive Selection Sheet'!$L185, 'Master List Import'!$A$1:$P$519, 3, FALSE), ""), "")</f>
        <v>Lance Toasty Peanut Butter Sandwich Crackers, 1.29oz - 6/20/cs</v>
      </c>
      <c r="C446" s="76">
        <f>IF('Interactive Selection Sheet'!$T$2="", "", IF(B446="","",'Interactive Selection Sheet'!$T$2))</f>
        <v>3.5000000000000003E-2</v>
      </c>
      <c r="D446" s="70">
        <f>IF(B446 = "", "", 'Interactive Selection Sheet'!$P$2)</f>
        <v>4.4999999999999998E-2</v>
      </c>
      <c r="E446" s="70">
        <f>IF(B446="","", 'Interactive Selection Sheet'!$R$2)</f>
        <v>0.02</v>
      </c>
      <c r="F446" s="69" t="str">
        <f>_xlfn.IFNA(IF('Interactive Selection Sheet'!K185= "", VLOOKUP('Interactive Selection Sheet'!$L185, 'Master List Import'!$A$1:$P$519, 4, FALSE), ""), "")</f>
        <v>Snacks - Cookies/Crackers</v>
      </c>
      <c r="G446" s="69" t="str">
        <f>_xlfn.IFNA(IF('Interactive Selection Sheet'!K185= "", VLOOKUP('Interactive Selection Sheet'!$L185, 'Master List Import'!$A$1:$P$519, 5, FALSE), ""), "")</f>
        <v>Snacks - Cookies/Crackers</v>
      </c>
      <c r="H446" s="69" t="str">
        <f>_xlfn.IFNA(IF('Interactive Selection Sheet'!K185= "", VLOOKUP('Interactive Selection Sheet'!$L185, 'Master List Import'!$A$1:$P$519, 6, FALSE), ""), "")</f>
        <v>Both</v>
      </c>
      <c r="I446" s="72">
        <f>_xlfn.IFNA(IF('Interactive Selection Sheet'!K185= "", VLOOKUP('Interactive Selection Sheet'!$L185, 'Master List Import'!$A$1:$P$519, 7, FALSE), ""), "")</f>
        <v>0.1867</v>
      </c>
      <c r="J446" s="69" t="str">
        <f>_xlfn.IFNA(IF('Interactive Selection Sheet'!K185= "", VLOOKUP('Interactive Selection Sheet'!$L185, 'Master List Import'!$A$1:$P$519, 8, FALSE), ""), "")</f>
        <v>Vistar</v>
      </c>
      <c r="K446" s="69" t="str">
        <f>_xlfn.IFNA(IF('Interactive Selection Sheet'!K185= "", VLOOKUP('Interactive Selection Sheet'!$L185, 'Master List Import'!$A$1:$P$519, 9, FALSE), ""), "")</f>
        <v>SNY90128</v>
      </c>
      <c r="L446" s="69">
        <f>_xlfn.IFNA(IF('Interactive Selection Sheet'!K185= "", VLOOKUP('Interactive Selection Sheet'!$L185, 'Master List Import'!$A$1:$P$519, 10, FALSE), ""), "")</f>
        <v>0</v>
      </c>
      <c r="M446" s="69">
        <f>_xlfn.IFNA(IF('Interactive Selection Sheet'!K185= "", VLOOKUP('Interactive Selection Sheet'!$L185, 'Master List Import'!$A$1:$P$519, 11, FALSE), ""), "")</f>
        <v>0</v>
      </c>
      <c r="N446" s="69">
        <f>_xlfn.IFNA(IF('Interactive Selection Sheet'!K185= "", VLOOKUP('Interactive Selection Sheet'!$L185, 'Master List Import'!$A$1:$P$519, 12, FALSE), ""), "")</f>
        <v>120</v>
      </c>
      <c r="O446" s="69">
        <f>_xlfn.IFNA(IF('Interactive Selection Sheet'!K185= "", VLOOKUP('Interactive Selection Sheet'!$L185, 'Master List Import'!$A$1:$P$519, 13, FALSE), ""), "")</f>
        <v>7801</v>
      </c>
      <c r="P446" s="69" t="str">
        <f>_xlfn.IFNA(IF('Interactive Selection Sheet'!K185= "", VLOOKUP('Interactive Selection Sheet'!$L185, 'Master List Import'!$A$1:$P$519, 14, FALSE), ""), "")</f>
        <v>Toasty Peanut Butter Sandwich Crackers</v>
      </c>
      <c r="Q446" s="69">
        <f>_xlfn.IFNA(IF('Interactive Selection Sheet'!K185= "", VLOOKUP('Interactive Selection Sheet'!$L185, 'Master List Import'!$A$1:$P$519, 15, FALSE), ""), "")</f>
        <v>1</v>
      </c>
      <c r="R446" s="74">
        <f>_xlfn.IFNA(IF('Interactive Selection Sheet'!K185= "", VLOOKUP('Interactive Selection Sheet'!$L185, 'Master List Import'!$A$1:$P$519, 16, FALSE), ""), "")</f>
        <v>0.65</v>
      </c>
    </row>
    <row r="447" spans="1:18" ht="21.75" customHeight="1" x14ac:dyDescent="0.25">
      <c r="A447" s="69">
        <f>_xlfn.IFNA(IF('Interactive Selection Sheet'!$K186= "", VLOOKUP('Interactive Selection Sheet'!$L186, 'Master List Import'!$A$1:$P$519, 2, FALSE), ""), "")</f>
        <v>7802</v>
      </c>
      <c r="B447" s="69" t="str">
        <f>_xlfn.IFNA(IF('Interactive Selection Sheet'!$K186= "", VLOOKUP('Interactive Selection Sheet'!$L186, 'Master List Import'!$A$1:$P$519, 3, FALSE), ""), "")</f>
        <v>Lance Grilled Cheese Sandwich Crackers, 1.375oz - 6/20/cs</v>
      </c>
      <c r="C447" s="76">
        <f>IF('Interactive Selection Sheet'!$T$2="", "", IF(B447="","",'Interactive Selection Sheet'!$T$2))</f>
        <v>3.5000000000000003E-2</v>
      </c>
      <c r="D447" s="70">
        <f>IF(B447 = "", "", 'Interactive Selection Sheet'!$P$2)</f>
        <v>4.4999999999999998E-2</v>
      </c>
      <c r="E447" s="70">
        <f>IF(B447="","", 'Interactive Selection Sheet'!$R$2)</f>
        <v>0.02</v>
      </c>
      <c r="F447" s="69" t="str">
        <f>_xlfn.IFNA(IF('Interactive Selection Sheet'!K186= "", VLOOKUP('Interactive Selection Sheet'!$L186, 'Master List Import'!$A$1:$P$519, 4, FALSE), ""), "")</f>
        <v>Snacks - Cookies/Crackers</v>
      </c>
      <c r="G447" s="69" t="str">
        <f>_xlfn.IFNA(IF('Interactive Selection Sheet'!K186= "", VLOOKUP('Interactive Selection Sheet'!$L186, 'Master List Import'!$A$1:$P$519, 5, FALSE), ""), "")</f>
        <v>Snacks - Cookies/Crackers</v>
      </c>
      <c r="H447" s="69" t="str">
        <f>_xlfn.IFNA(IF('Interactive Selection Sheet'!K186= "", VLOOKUP('Interactive Selection Sheet'!$L186, 'Master List Import'!$A$1:$P$519, 6, FALSE), ""), "")</f>
        <v>Both</v>
      </c>
      <c r="I447" s="72">
        <f>_xlfn.IFNA(IF('Interactive Selection Sheet'!K186= "", VLOOKUP('Interactive Selection Sheet'!$L186, 'Master List Import'!$A$1:$P$519, 7, FALSE), ""), "")</f>
        <v>0.19</v>
      </c>
      <c r="J447" s="69" t="str">
        <f>_xlfn.IFNA(IF('Interactive Selection Sheet'!K186= "", VLOOKUP('Interactive Selection Sheet'!$L186, 'Master List Import'!$A$1:$P$519, 8, FALSE), ""), "")</f>
        <v>REI</v>
      </c>
      <c r="K447" s="69" t="str">
        <f>_xlfn.IFNA(IF('Interactive Selection Sheet'!K186= "", VLOOKUP('Interactive Selection Sheet'!$L186, 'Master List Import'!$A$1:$P$519, 9, FALSE), ""), "")</f>
        <v>200595</v>
      </c>
      <c r="L447" s="69">
        <f>_xlfn.IFNA(IF('Interactive Selection Sheet'!K186= "", VLOOKUP('Interactive Selection Sheet'!$L186, 'Master List Import'!$A$1:$P$519, 10, FALSE), ""), "")</f>
        <v>0</v>
      </c>
      <c r="M447" s="69">
        <f>_xlfn.IFNA(IF('Interactive Selection Sheet'!K186= "", VLOOKUP('Interactive Selection Sheet'!$L186, 'Master List Import'!$A$1:$P$519, 11, FALSE), ""), "")</f>
        <v>0</v>
      </c>
      <c r="N447" s="69">
        <f>_xlfn.IFNA(IF('Interactive Selection Sheet'!K186= "", VLOOKUP('Interactive Selection Sheet'!$L186, 'Master List Import'!$A$1:$P$519, 12, FALSE), ""), "")</f>
        <v>120</v>
      </c>
      <c r="O447" s="69">
        <f>_xlfn.IFNA(IF('Interactive Selection Sheet'!K186= "", VLOOKUP('Interactive Selection Sheet'!$L186, 'Master List Import'!$A$1:$P$519, 13, FALSE), ""), "")</f>
        <v>7802</v>
      </c>
      <c r="P447" s="69" t="str">
        <f>_xlfn.IFNA(IF('Interactive Selection Sheet'!K186= "", VLOOKUP('Interactive Selection Sheet'!$L186, 'Master List Import'!$A$1:$P$519, 14, FALSE), ""), "")</f>
        <v>Grilled Cheese Sandwich Crackers</v>
      </c>
      <c r="Q447" s="69">
        <f>_xlfn.IFNA(IF('Interactive Selection Sheet'!K186= "", VLOOKUP('Interactive Selection Sheet'!$L186, 'Master List Import'!$A$1:$P$519, 15, FALSE), ""), "")</f>
        <v>1</v>
      </c>
      <c r="R447" s="74">
        <f>_xlfn.IFNA(IF('Interactive Selection Sheet'!K186= "", VLOOKUP('Interactive Selection Sheet'!$L186, 'Master List Import'!$A$1:$P$519, 16, FALSE), ""), "")</f>
        <v>0.65</v>
      </c>
    </row>
    <row r="448" spans="1:18" ht="21.75" customHeight="1" x14ac:dyDescent="0.25">
      <c r="A448" s="69">
        <f>_xlfn.IFNA(IF('Interactive Selection Sheet'!$K187= "", VLOOKUP('Interactive Selection Sheet'!$L187, 'Master List Import'!$A$1:$P$519, 2, FALSE), ""), "")</f>
        <v>7803</v>
      </c>
      <c r="B448" s="69" t="str">
        <f>_xlfn.IFNA(IF('Interactive Selection Sheet'!$K187= "", VLOOKUP('Interactive Selection Sheet'!$L187, 'Master List Import'!$A$1:$P$519, 3, FALSE), ""), "")</f>
        <v>Lance Spicy Cheddar Sandwich Crackers, 1.41oz - 6/20/cs</v>
      </c>
      <c r="C448" s="76">
        <f>IF('Interactive Selection Sheet'!$T$2="", "", IF(B448="","",'Interactive Selection Sheet'!$T$2))</f>
        <v>3.5000000000000003E-2</v>
      </c>
      <c r="D448" s="70">
        <f>IF(B448 = "", "", 'Interactive Selection Sheet'!$P$2)</f>
        <v>4.4999999999999998E-2</v>
      </c>
      <c r="E448" s="70">
        <f>IF(B448="","", 'Interactive Selection Sheet'!$R$2)</f>
        <v>0.02</v>
      </c>
      <c r="F448" s="69" t="str">
        <f>_xlfn.IFNA(IF('Interactive Selection Sheet'!K187= "", VLOOKUP('Interactive Selection Sheet'!$L187, 'Master List Import'!$A$1:$P$519, 4, FALSE), ""), "")</f>
        <v>Snacks - Cookies/Crackers</v>
      </c>
      <c r="G448" s="69" t="str">
        <f>_xlfn.IFNA(IF('Interactive Selection Sheet'!K187= "", VLOOKUP('Interactive Selection Sheet'!$L187, 'Master List Import'!$A$1:$P$519, 5, FALSE), ""), "")</f>
        <v>Snacks - Cookies/Crackers</v>
      </c>
      <c r="H448" s="69" t="str">
        <f>_xlfn.IFNA(IF('Interactive Selection Sheet'!K187= "", VLOOKUP('Interactive Selection Sheet'!$L187, 'Master List Import'!$A$1:$P$519, 6, FALSE), ""), "")</f>
        <v>Both</v>
      </c>
      <c r="I448" s="72">
        <f>_xlfn.IFNA(IF('Interactive Selection Sheet'!K187= "", VLOOKUP('Interactive Selection Sheet'!$L187, 'Master List Import'!$A$1:$P$519, 7, FALSE), ""), "")</f>
        <v>0.19</v>
      </c>
      <c r="J448" s="69" t="str">
        <f>_xlfn.IFNA(IF('Interactive Selection Sheet'!K187= "", VLOOKUP('Interactive Selection Sheet'!$L187, 'Master List Import'!$A$1:$P$519, 8, FALSE), ""), "")</f>
        <v>REI</v>
      </c>
      <c r="K448" s="69" t="str">
        <f>_xlfn.IFNA(IF('Interactive Selection Sheet'!K187= "", VLOOKUP('Interactive Selection Sheet'!$L187, 'Master List Import'!$A$1:$P$519, 9, FALSE), ""), "")</f>
        <v>200599</v>
      </c>
      <c r="L448" s="69">
        <f>_xlfn.IFNA(IF('Interactive Selection Sheet'!K187= "", VLOOKUP('Interactive Selection Sheet'!$L187, 'Master List Import'!$A$1:$P$519, 10, FALSE), ""), "")</f>
        <v>0</v>
      </c>
      <c r="M448" s="69">
        <f>_xlfn.IFNA(IF('Interactive Selection Sheet'!K187= "", VLOOKUP('Interactive Selection Sheet'!$L187, 'Master List Import'!$A$1:$P$519, 11, FALSE), ""), "")</f>
        <v>0</v>
      </c>
      <c r="N448" s="69">
        <f>_xlfn.IFNA(IF('Interactive Selection Sheet'!K187= "", VLOOKUP('Interactive Selection Sheet'!$L187, 'Master List Import'!$A$1:$P$519, 12, FALSE), ""), "")</f>
        <v>120</v>
      </c>
      <c r="O448" s="69">
        <f>_xlfn.IFNA(IF('Interactive Selection Sheet'!K187= "", VLOOKUP('Interactive Selection Sheet'!$L187, 'Master List Import'!$A$1:$P$519, 13, FALSE), ""), "")</f>
        <v>7803</v>
      </c>
      <c r="P448" s="69" t="str">
        <f>_xlfn.IFNA(IF('Interactive Selection Sheet'!K187= "", VLOOKUP('Interactive Selection Sheet'!$L187, 'Master List Import'!$A$1:$P$519, 14, FALSE), ""), "")</f>
        <v>Spicy Cheddar Sandwich Crackers</v>
      </c>
      <c r="Q448" s="69">
        <f>_xlfn.IFNA(IF('Interactive Selection Sheet'!K187= "", VLOOKUP('Interactive Selection Sheet'!$L187, 'Master List Import'!$A$1:$P$519, 15, FALSE), ""), "")</f>
        <v>1</v>
      </c>
      <c r="R448" s="74">
        <f>_xlfn.IFNA(IF('Interactive Selection Sheet'!K187= "", VLOOKUP('Interactive Selection Sheet'!$L187, 'Master List Import'!$A$1:$P$519, 16, FALSE), ""), "")</f>
        <v>0.65</v>
      </c>
    </row>
    <row r="449" spans="1:18" ht="21.75" customHeight="1" x14ac:dyDescent="0.25">
      <c r="A449" s="69">
        <f>_xlfn.IFNA(IF('Interactive Selection Sheet'!$K188= "", VLOOKUP('Interactive Selection Sheet'!$L188, 'Master List Import'!$A$1:$P$519, 2, FALSE), ""), "")</f>
        <v>7804</v>
      </c>
      <c r="B449" s="69" t="str">
        <f>_xlfn.IFNA(IF('Interactive Selection Sheet'!$K188= "", VLOOKUP('Interactive Selection Sheet'!$L188, 'Master List Import'!$A$1:$P$519, 3, FALSE), ""), "")</f>
        <v>Lance Cream Cheese/Chive Sandwich Crackers, 1.375oz - 6/20/cs</v>
      </c>
      <c r="C449" s="76">
        <f>IF('Interactive Selection Sheet'!$T$2="", "", IF(B449="","",'Interactive Selection Sheet'!$T$2))</f>
        <v>3.5000000000000003E-2</v>
      </c>
      <c r="D449" s="70">
        <f>IF(B449 = "", "", 'Interactive Selection Sheet'!$P$2)</f>
        <v>4.4999999999999998E-2</v>
      </c>
      <c r="E449" s="70">
        <f>IF(B449="","", 'Interactive Selection Sheet'!$R$2)</f>
        <v>0.02</v>
      </c>
      <c r="F449" s="69" t="str">
        <f>_xlfn.IFNA(IF('Interactive Selection Sheet'!K188= "", VLOOKUP('Interactive Selection Sheet'!$L188, 'Master List Import'!$A$1:$P$519, 4, FALSE), ""), "")</f>
        <v>Snacks - Cookies/Crackers</v>
      </c>
      <c r="G449" s="69" t="str">
        <f>_xlfn.IFNA(IF('Interactive Selection Sheet'!K188= "", VLOOKUP('Interactive Selection Sheet'!$L188, 'Master List Import'!$A$1:$P$519, 5, FALSE), ""), "")</f>
        <v>Snacks - Cookies/Crackers</v>
      </c>
      <c r="H449" s="69" t="str">
        <f>_xlfn.IFNA(IF('Interactive Selection Sheet'!K188= "", VLOOKUP('Interactive Selection Sheet'!$L188, 'Master List Import'!$A$1:$P$519, 6, FALSE), ""), "")</f>
        <v>Both</v>
      </c>
      <c r="I449" s="72">
        <f>_xlfn.IFNA(IF('Interactive Selection Sheet'!K188= "", VLOOKUP('Interactive Selection Sheet'!$L188, 'Master List Import'!$A$1:$P$519, 7, FALSE), ""), "")</f>
        <v>0.19</v>
      </c>
      <c r="J449" s="69" t="str">
        <f>_xlfn.IFNA(IF('Interactive Selection Sheet'!K188= "", VLOOKUP('Interactive Selection Sheet'!$L188, 'Master List Import'!$A$1:$P$519, 8, FALSE), ""), "")</f>
        <v>REI</v>
      </c>
      <c r="K449" s="69" t="str">
        <f>_xlfn.IFNA(IF('Interactive Selection Sheet'!K188= "", VLOOKUP('Interactive Selection Sheet'!$L188, 'Master List Import'!$A$1:$P$519, 9, FALSE), ""), "")</f>
        <v>200594</v>
      </c>
      <c r="L449" s="69">
        <f>_xlfn.IFNA(IF('Interactive Selection Sheet'!K188= "", VLOOKUP('Interactive Selection Sheet'!$L188, 'Master List Import'!$A$1:$P$519, 10, FALSE), ""), "")</f>
        <v>0</v>
      </c>
      <c r="M449" s="69">
        <f>_xlfn.IFNA(IF('Interactive Selection Sheet'!K188= "", VLOOKUP('Interactive Selection Sheet'!$L188, 'Master List Import'!$A$1:$P$519, 11, FALSE), ""), "")</f>
        <v>0</v>
      </c>
      <c r="N449" s="69">
        <f>_xlfn.IFNA(IF('Interactive Selection Sheet'!K188= "", VLOOKUP('Interactive Selection Sheet'!$L188, 'Master List Import'!$A$1:$P$519, 12, FALSE), ""), "")</f>
        <v>120</v>
      </c>
      <c r="O449" s="69">
        <f>_xlfn.IFNA(IF('Interactive Selection Sheet'!K188= "", VLOOKUP('Interactive Selection Sheet'!$L188, 'Master List Import'!$A$1:$P$519, 13, FALSE), ""), "")</f>
        <v>7804</v>
      </c>
      <c r="P449" s="69" t="str">
        <f>_xlfn.IFNA(IF('Interactive Selection Sheet'!K188= "", VLOOKUP('Interactive Selection Sheet'!$L188, 'Master List Import'!$A$1:$P$519, 14, FALSE), ""), "")</f>
        <v>Cream Cheese &amp; Chive Sandwich Crackers</v>
      </c>
      <c r="Q449" s="69">
        <f>_xlfn.IFNA(IF('Interactive Selection Sheet'!K188= "", VLOOKUP('Interactive Selection Sheet'!$L188, 'Master List Import'!$A$1:$P$519, 15, FALSE), ""), "")</f>
        <v>1</v>
      </c>
      <c r="R449" s="74">
        <f>_xlfn.IFNA(IF('Interactive Selection Sheet'!K188= "", VLOOKUP('Interactive Selection Sheet'!$L188, 'Master List Import'!$A$1:$P$519, 16, FALSE), ""), "")</f>
        <v>0.65</v>
      </c>
    </row>
    <row r="450" spans="1:18" ht="21.75" customHeight="1" x14ac:dyDescent="0.25">
      <c r="A450" s="69">
        <f>_xlfn.IFNA(IF('Interactive Selection Sheet'!$K190= "", VLOOKUP('Interactive Selection Sheet'!$L190, 'Master List Import'!$A$1:$P$519, 2, FALSE), ""), "")</f>
        <v>7841</v>
      </c>
      <c r="B450" s="69" t="str">
        <f>_xlfn.IFNA(IF('Interactive Selection Sheet'!$K190= "", VLOOKUP('Interactive Selection Sheet'!$L190, 'Master List Import'!$A$1:$P$519, 3, FALSE), ""), "")</f>
        <v>Cheez-It Hot &amp; Spicy Crackers, 3oz - 6/6/cs</v>
      </c>
      <c r="C450" s="76">
        <f>IF('Interactive Selection Sheet'!$T$2="", "", IF(B450="","",'Interactive Selection Sheet'!$T$2))</f>
        <v>3.5000000000000003E-2</v>
      </c>
      <c r="D450" s="70">
        <f>IF(B450 = "", "", 'Interactive Selection Sheet'!$P$2)</f>
        <v>4.4999999999999998E-2</v>
      </c>
      <c r="E450" s="70">
        <f>IF(B450="","", 'Interactive Selection Sheet'!$R$2)</f>
        <v>0.02</v>
      </c>
      <c r="F450" s="69" t="str">
        <f>_xlfn.IFNA(IF('Interactive Selection Sheet'!K190= "", VLOOKUP('Interactive Selection Sheet'!$L190, 'Master List Import'!$A$1:$P$519, 4, FALSE), ""), "")</f>
        <v>Snacks - Cookies/Crackers</v>
      </c>
      <c r="G450" s="69" t="str">
        <f>_xlfn.IFNA(IF('Interactive Selection Sheet'!K190= "", VLOOKUP('Interactive Selection Sheet'!$L190, 'Master List Import'!$A$1:$P$519, 5, FALSE), ""), "")</f>
        <v>Snacks - Cookies/Crackers</v>
      </c>
      <c r="H450" s="69" t="str">
        <f>_xlfn.IFNA(IF('Interactive Selection Sheet'!K190= "", VLOOKUP('Interactive Selection Sheet'!$L190, 'Master List Import'!$A$1:$P$519, 6, FALSE), ""), "")</f>
        <v>Both</v>
      </c>
      <c r="I450" s="72">
        <f>_xlfn.IFNA(IF('Interactive Selection Sheet'!K190= "", VLOOKUP('Interactive Selection Sheet'!$L190, 'Master List Import'!$A$1:$P$519, 7, FALSE), ""), "")</f>
        <v>1.0371999999999999</v>
      </c>
      <c r="J450" s="69" t="str">
        <f>_xlfn.IFNA(IF('Interactive Selection Sheet'!K190= "", VLOOKUP('Interactive Selection Sheet'!$L190, 'Master List Import'!$A$1:$P$519, 8, FALSE), ""), "")</f>
        <v>Vistar</v>
      </c>
      <c r="K450" s="69" t="str">
        <f>_xlfn.IFNA(IF('Interactive Selection Sheet'!K190= "", VLOOKUP('Interactive Selection Sheet'!$L190, 'Master List Import'!$A$1:$P$519, 9, FALSE), ""), "")</f>
        <v>KEE37278</v>
      </c>
      <c r="L450" s="69">
        <f>_xlfn.IFNA(IF('Interactive Selection Sheet'!K190= "", VLOOKUP('Interactive Selection Sheet'!$L190, 'Master List Import'!$A$1:$P$519, 10, FALSE), ""), "")</f>
        <v>0</v>
      </c>
      <c r="M450" s="69">
        <f>_xlfn.IFNA(IF('Interactive Selection Sheet'!K190= "", VLOOKUP('Interactive Selection Sheet'!$L190, 'Master List Import'!$A$1:$P$519, 11, FALSE), ""), "")</f>
        <v>0</v>
      </c>
      <c r="N450" s="69">
        <f>_xlfn.IFNA(IF('Interactive Selection Sheet'!K190= "", VLOOKUP('Interactive Selection Sheet'!$L190, 'Master List Import'!$A$1:$P$519, 12, FALSE), ""), "")</f>
        <v>36</v>
      </c>
      <c r="O450" s="69">
        <f>_xlfn.IFNA(IF('Interactive Selection Sheet'!K190= "", VLOOKUP('Interactive Selection Sheet'!$L190, 'Master List Import'!$A$1:$P$519, 13, FALSE), ""), "")</f>
        <v>7841</v>
      </c>
      <c r="P450" s="69" t="str">
        <f>_xlfn.IFNA(IF('Interactive Selection Sheet'!K190= "", VLOOKUP('Interactive Selection Sheet'!$L190, 'Master List Import'!$A$1:$P$519, 14, FALSE), ""), "")</f>
        <v>Cheez-It Hot &amp; Spicy Crackers</v>
      </c>
      <c r="Q450" s="69">
        <f>_xlfn.IFNA(IF('Interactive Selection Sheet'!K190= "", VLOOKUP('Interactive Selection Sheet'!$L190, 'Master List Import'!$A$1:$P$519, 15, FALSE), ""), "")</f>
        <v>1</v>
      </c>
      <c r="R450" s="74">
        <f>_xlfn.IFNA(IF('Interactive Selection Sheet'!K190= "", VLOOKUP('Interactive Selection Sheet'!$L190, 'Master List Import'!$A$1:$P$519, 16, FALSE), ""), "")</f>
        <v>3</v>
      </c>
    </row>
    <row r="451" spans="1:18" ht="21.75" customHeight="1" x14ac:dyDescent="0.25">
      <c r="A451" s="69">
        <f>_xlfn.IFNA(IF('Interactive Selection Sheet'!F205= "", VLOOKUP('Interactive Selection Sheet'!$G205, 'Master List Import'!$A$1:$P$519, 2, FALSE), ""), "")</f>
        <v>7900</v>
      </c>
      <c r="B451" s="69" t="str">
        <f>_xlfn.IFNA(IF('Interactive Selection Sheet'!F205= "", VLOOKUP('Interactive Selection Sheet'!$G205, 'Master List Import'!$A$1:$P$519, 3, FALSE), ""), "")</f>
        <v>BBQ Pork Rinds, 0.875oz - 60/cs</v>
      </c>
      <c r="C451" s="76">
        <f>IF('Interactive Selection Sheet'!$T$2="", "", IF(B451="","",'Interactive Selection Sheet'!$T$2))</f>
        <v>3.5000000000000003E-2</v>
      </c>
      <c r="D451" s="70">
        <f>IF(B451 = "", "", 'Interactive Selection Sheet'!$P$2)</f>
        <v>4.4999999999999998E-2</v>
      </c>
      <c r="E451" s="70">
        <f>IF(B451="","", 'Interactive Selection Sheet'!$R$2)</f>
        <v>0.02</v>
      </c>
      <c r="F451" s="69" t="str">
        <f>_xlfn.IFNA(IF('Interactive Selection Sheet'!F205= "", VLOOKUP('Interactive Selection Sheet'!$G205, 'Master List Import'!$A$1:$P$519, 4, FALSE), ""), "")</f>
        <v>Snacks - Chips</v>
      </c>
      <c r="G451" s="69" t="str">
        <f>_xlfn.IFNA(IF('Interactive Selection Sheet'!F205= "", VLOOKUP('Interactive Selection Sheet'!$G205, 'Master List Import'!$A$1:$P$519, 5, FALSE), ""), "")</f>
        <v>Snacks - Chips</v>
      </c>
      <c r="H451" s="69" t="str">
        <f>_xlfn.IFNA(IF('Interactive Selection Sheet'!F205= "", VLOOKUP('Interactive Selection Sheet'!$G205, 'Master List Import'!$A$1:$P$519, 6, FALSE), ""), "")</f>
        <v>Both</v>
      </c>
      <c r="I451" s="72">
        <f>_xlfn.IFNA(IF('Interactive Selection Sheet'!F205= "", VLOOKUP('Interactive Selection Sheet'!$G205, 'Master List Import'!$A$1:$P$519, 7, FALSE), ""), "")</f>
        <v>0.3241</v>
      </c>
      <c r="J451" s="69" t="str">
        <f>_xlfn.IFNA(IF('Interactive Selection Sheet'!F205= "", VLOOKUP('Interactive Selection Sheet'!$G205, 'Master List Import'!$A$1:$P$519, 8, FALSE), ""), "")</f>
        <v>Vistar</v>
      </c>
      <c r="K451" s="69" t="str">
        <f>_xlfn.IFNA(IF('Interactive Selection Sheet'!F205= "", VLOOKUP('Interactive Selection Sheet'!$G205, 'Master List Import'!$A$1:$P$519, 9, FALSE), ""), "")</f>
        <v>SON00713</v>
      </c>
      <c r="L451" s="69">
        <f>_xlfn.IFNA(IF('Interactive Selection Sheet'!F205= "", VLOOKUP('Interactive Selection Sheet'!$G205, 'Master List Import'!$A$1:$P$519, 10, FALSE), ""), "")</f>
        <v>0</v>
      </c>
      <c r="M451" s="69">
        <f>_xlfn.IFNA(IF('Interactive Selection Sheet'!F205= "", VLOOKUP('Interactive Selection Sheet'!$G205, 'Master List Import'!$A$1:$P$519, 11, FALSE), ""), "")</f>
        <v>0</v>
      </c>
      <c r="N451" s="69">
        <f>_xlfn.IFNA(IF('Interactive Selection Sheet'!F205= "", VLOOKUP('Interactive Selection Sheet'!$G205, 'Master List Import'!$A$1:$P$519, 12, FALSE), ""), "")</f>
        <v>60</v>
      </c>
      <c r="O451" s="69">
        <f>_xlfn.IFNA(IF('Interactive Selection Sheet'!F205= "", VLOOKUP('Interactive Selection Sheet'!$G205, 'Master List Import'!$A$1:$P$519, 13, FALSE), ""), "")</f>
        <v>7900</v>
      </c>
      <c r="P451" s="69" t="str">
        <f>_xlfn.IFNA(IF('Interactive Selection Sheet'!F205= "", VLOOKUP('Interactive Selection Sheet'!$G205, 'Master List Import'!$A$1:$P$519, 14, FALSE), ""), "")</f>
        <v>BBQ Pork Rinds</v>
      </c>
      <c r="Q451" s="69">
        <f>_xlfn.IFNA(IF('Interactive Selection Sheet'!F205= "", VLOOKUP('Interactive Selection Sheet'!$G205, 'Master List Import'!$A$1:$P$519, 15, FALSE), ""), "")</f>
        <v>1</v>
      </c>
      <c r="R451" s="74">
        <f>_xlfn.IFNA(IF('Interactive Selection Sheet'!F205= "", VLOOKUP('Interactive Selection Sheet'!$G205, 'Master List Import'!$A$1:$P$519, 16, FALSE), ""), "")</f>
        <v>1.1000000000000001</v>
      </c>
    </row>
    <row r="452" spans="1:18" ht="21.75" customHeight="1" x14ac:dyDescent="0.25">
      <c r="A452" s="69">
        <f>_xlfn.IFNA(IF('Interactive Selection Sheet'!F206= "", VLOOKUP('Interactive Selection Sheet'!$G206, 'Master List Import'!$A$1:$P$519, 2, FALSE), ""), "")</f>
        <v>7901</v>
      </c>
      <c r="B452" s="69" t="str">
        <f>_xlfn.IFNA(IF('Interactive Selection Sheet'!F206= "", VLOOKUP('Interactive Selection Sheet'!$G206, 'Master List Import'!$A$1:$P$519, 3, FALSE), ""), "")</f>
        <v>Hot Pork Rinds, 0.875oz - 60/cs</v>
      </c>
      <c r="C452" s="76">
        <f>IF('Interactive Selection Sheet'!$T$2="", "", IF(B452="","",'Interactive Selection Sheet'!$T$2))</f>
        <v>3.5000000000000003E-2</v>
      </c>
      <c r="D452" s="70">
        <f>IF(B452 = "", "", 'Interactive Selection Sheet'!$P$2)</f>
        <v>4.4999999999999998E-2</v>
      </c>
      <c r="E452" s="70">
        <f>IF(B452="","", 'Interactive Selection Sheet'!$R$2)</f>
        <v>0.02</v>
      </c>
      <c r="F452" s="69" t="str">
        <f>_xlfn.IFNA(IF('Interactive Selection Sheet'!F206= "", VLOOKUP('Interactive Selection Sheet'!$G206, 'Master List Import'!$A$1:$P$519, 4, FALSE), ""), "")</f>
        <v>Snacks - Chips</v>
      </c>
      <c r="G452" s="69" t="str">
        <f>_xlfn.IFNA(IF('Interactive Selection Sheet'!F206= "", VLOOKUP('Interactive Selection Sheet'!$G206, 'Master List Import'!$A$1:$P$519, 5, FALSE), ""), "")</f>
        <v>Snacks - Chips</v>
      </c>
      <c r="H452" s="69" t="str">
        <f>_xlfn.IFNA(IF('Interactive Selection Sheet'!F206= "", VLOOKUP('Interactive Selection Sheet'!$G206, 'Master List Import'!$A$1:$P$519, 6, FALSE), ""), "")</f>
        <v>Both</v>
      </c>
      <c r="I452" s="72">
        <f>_xlfn.IFNA(IF('Interactive Selection Sheet'!F206= "", VLOOKUP('Interactive Selection Sheet'!$G206, 'Master List Import'!$A$1:$P$519, 7, FALSE), ""), "")</f>
        <v>0.3241</v>
      </c>
      <c r="J452" s="69" t="str">
        <f>_xlfn.IFNA(IF('Interactive Selection Sheet'!F206= "", VLOOKUP('Interactive Selection Sheet'!$G206, 'Master List Import'!$A$1:$P$519, 8, FALSE), ""), "")</f>
        <v>Vistar</v>
      </c>
      <c r="K452" s="69" t="str">
        <f>_xlfn.IFNA(IF('Interactive Selection Sheet'!F206= "", VLOOKUP('Interactive Selection Sheet'!$G206, 'Master List Import'!$A$1:$P$519, 9, FALSE), ""), "")</f>
        <v>SON00712</v>
      </c>
      <c r="L452" s="69">
        <f>_xlfn.IFNA(IF('Interactive Selection Sheet'!F206= "", VLOOKUP('Interactive Selection Sheet'!$G206, 'Master List Import'!$A$1:$P$519, 10, FALSE), ""), "")</f>
        <v>0</v>
      </c>
      <c r="M452" s="69">
        <f>_xlfn.IFNA(IF('Interactive Selection Sheet'!F206= "", VLOOKUP('Interactive Selection Sheet'!$G206, 'Master List Import'!$A$1:$P$519, 11, FALSE), ""), "")</f>
        <v>0</v>
      </c>
      <c r="N452" s="69">
        <f>_xlfn.IFNA(IF('Interactive Selection Sheet'!F206= "", VLOOKUP('Interactive Selection Sheet'!$G206, 'Master List Import'!$A$1:$P$519, 12, FALSE), ""), "")</f>
        <v>60</v>
      </c>
      <c r="O452" s="69">
        <f>_xlfn.IFNA(IF('Interactive Selection Sheet'!F206= "", VLOOKUP('Interactive Selection Sheet'!$G206, 'Master List Import'!$A$1:$P$519, 13, FALSE), ""), "")</f>
        <v>7901</v>
      </c>
      <c r="P452" s="69" t="str">
        <f>_xlfn.IFNA(IF('Interactive Selection Sheet'!F206= "", VLOOKUP('Interactive Selection Sheet'!$G206, 'Master List Import'!$A$1:$P$519, 14, FALSE), ""), "")</f>
        <v>Hot Pork Rinds</v>
      </c>
      <c r="Q452" s="69">
        <f>_xlfn.IFNA(IF('Interactive Selection Sheet'!F206= "", VLOOKUP('Interactive Selection Sheet'!$G206, 'Master List Import'!$A$1:$P$519, 15, FALSE), ""), "")</f>
        <v>1</v>
      </c>
      <c r="R452" s="74">
        <f>_xlfn.IFNA(IF('Interactive Selection Sheet'!F206= "", VLOOKUP('Interactive Selection Sheet'!$G206, 'Master List Import'!$A$1:$P$519, 16, FALSE), ""), "")</f>
        <v>1.1000000000000001</v>
      </c>
    </row>
    <row r="453" spans="1:18" ht="21.75" customHeight="1" x14ac:dyDescent="0.25">
      <c r="A453" s="69">
        <f>_xlfn.IFNA(IF('Interactive Selection Sheet'!F207= "", VLOOKUP('Interactive Selection Sheet'!$G207, 'Master List Import'!$A$1:$P$519, 2, FALSE), ""), "")</f>
        <v>7920</v>
      </c>
      <c r="B453" s="69" t="str">
        <f>_xlfn.IFNA(IF('Interactive Selection Sheet'!F207= "", VLOOKUP('Interactive Selection Sheet'!$G207, 'Master List Import'!$A$1:$P$519, 3, FALSE), ""), "")</f>
        <v>Jalapeno Pretzel Pieces, 2.25oz - 60/cs</v>
      </c>
      <c r="C453" s="76">
        <f>IF('Interactive Selection Sheet'!$T$2="", "", IF(B453="","",'Interactive Selection Sheet'!$T$2))</f>
        <v>3.5000000000000003E-2</v>
      </c>
      <c r="D453" s="70">
        <f>IF(B453 = "", "", 'Interactive Selection Sheet'!$P$2)</f>
        <v>4.4999999999999998E-2</v>
      </c>
      <c r="E453" s="70">
        <f>IF(B453="","", 'Interactive Selection Sheet'!$R$2)</f>
        <v>0.02</v>
      </c>
      <c r="F453" s="69" t="str">
        <f>_xlfn.IFNA(IF('Interactive Selection Sheet'!F207= "", VLOOKUP('Interactive Selection Sheet'!$G207, 'Master List Import'!$A$1:$P$519, 4, FALSE), ""), "")</f>
        <v>Snacks - Chips</v>
      </c>
      <c r="G453" s="69" t="str">
        <f>_xlfn.IFNA(IF('Interactive Selection Sheet'!F207= "", VLOOKUP('Interactive Selection Sheet'!$G207, 'Master List Import'!$A$1:$P$519, 5, FALSE), ""), "")</f>
        <v>Snacks - Chips</v>
      </c>
      <c r="H453" s="69" t="str">
        <f>_xlfn.IFNA(IF('Interactive Selection Sheet'!F207= "", VLOOKUP('Interactive Selection Sheet'!$G207, 'Master List Import'!$A$1:$P$519, 6, FALSE), ""), "")</f>
        <v>Both</v>
      </c>
      <c r="I453" s="72">
        <f>_xlfn.IFNA(IF('Interactive Selection Sheet'!F207= "", VLOOKUP('Interactive Selection Sheet'!$G207, 'Master List Import'!$A$1:$P$519, 7, FALSE), ""), "")</f>
        <v>0.42</v>
      </c>
      <c r="J453" s="69" t="str">
        <f>_xlfn.IFNA(IF('Interactive Selection Sheet'!F207= "", VLOOKUP('Interactive Selection Sheet'!$G207, 'Master List Import'!$A$1:$P$519, 8, FALSE), ""), "")</f>
        <v>REI</v>
      </c>
      <c r="K453" s="69" t="str">
        <f>_xlfn.IFNA(IF('Interactive Selection Sheet'!F207= "", VLOOKUP('Interactive Selection Sheet'!$G207, 'Master List Import'!$A$1:$P$519, 9, FALSE), ""), "")</f>
        <v>802123</v>
      </c>
      <c r="L453" s="69">
        <f>_xlfn.IFNA(IF('Interactive Selection Sheet'!F207= "", VLOOKUP('Interactive Selection Sheet'!$G207, 'Master List Import'!$A$1:$P$519, 10, FALSE), ""), "")</f>
        <v>0</v>
      </c>
      <c r="M453" s="69">
        <f>_xlfn.IFNA(IF('Interactive Selection Sheet'!F207= "", VLOOKUP('Interactive Selection Sheet'!$G207, 'Master List Import'!$A$1:$P$519, 11, FALSE), ""), "")</f>
        <v>0</v>
      </c>
      <c r="N453" s="69">
        <f>_xlfn.IFNA(IF('Interactive Selection Sheet'!F207= "", VLOOKUP('Interactive Selection Sheet'!$G207, 'Master List Import'!$A$1:$P$519, 12, FALSE), ""), "")</f>
        <v>60</v>
      </c>
      <c r="O453" s="69">
        <f>_xlfn.IFNA(IF('Interactive Selection Sheet'!F207= "", VLOOKUP('Interactive Selection Sheet'!$G207, 'Master List Import'!$A$1:$P$519, 13, FALSE), ""), "")</f>
        <v>7920</v>
      </c>
      <c r="P453" s="69" t="str">
        <f>_xlfn.IFNA(IF('Interactive Selection Sheet'!F207= "", VLOOKUP('Interactive Selection Sheet'!$G207, 'Master List Import'!$A$1:$P$519, 14, FALSE), ""), "")</f>
        <v>Jalapeno Pretzel Pieces</v>
      </c>
      <c r="Q453" s="69">
        <f>_xlfn.IFNA(IF('Interactive Selection Sheet'!F207= "", VLOOKUP('Interactive Selection Sheet'!$G207, 'Master List Import'!$A$1:$P$519, 15, FALSE), ""), "")</f>
        <v>1</v>
      </c>
      <c r="R453" s="74">
        <f>_xlfn.IFNA(IF('Interactive Selection Sheet'!F207= "", VLOOKUP('Interactive Selection Sheet'!$G207, 'Master List Import'!$A$1:$P$519, 16, FALSE), ""), "")</f>
        <v>1.65</v>
      </c>
    </row>
    <row r="454" spans="1:18" ht="21.75" customHeight="1" x14ac:dyDescent="0.25">
      <c r="A454" s="69">
        <f>_xlfn.IFNA(IF('Interactive Selection Sheet'!F208= "", VLOOKUP('Interactive Selection Sheet'!$G208, 'Master List Import'!$A$1:$P$519, 2, FALSE), ""), "")</f>
        <v>7921</v>
      </c>
      <c r="B454" s="69" t="str">
        <f>_xlfn.IFNA(IF('Interactive Selection Sheet'!F208= "", VLOOKUP('Interactive Selection Sheet'!$G208, 'Master List Import'!$A$1:$P$519, 3, FALSE), ""), "")</f>
        <v>Snyder Buffalo Hotwings Pretzel Pieces, 2.25oz</v>
      </c>
      <c r="C454" s="76">
        <f>IF('Interactive Selection Sheet'!$T$2="", "", IF(B454="","",'Interactive Selection Sheet'!$T$2))</f>
        <v>3.5000000000000003E-2</v>
      </c>
      <c r="D454" s="70">
        <f>IF(B454 = "", "", 'Interactive Selection Sheet'!$P$2)</f>
        <v>4.4999999999999998E-2</v>
      </c>
      <c r="E454" s="70">
        <f>IF(B454="","", 'Interactive Selection Sheet'!$R$2)</f>
        <v>0.02</v>
      </c>
      <c r="F454" s="69" t="str">
        <f>_xlfn.IFNA(IF('Interactive Selection Sheet'!F208= "", VLOOKUP('Interactive Selection Sheet'!$G208, 'Master List Import'!$A$1:$P$519, 4, FALSE), ""), "")</f>
        <v>Snacks - Chips</v>
      </c>
      <c r="G454" s="69" t="str">
        <f>_xlfn.IFNA(IF('Interactive Selection Sheet'!F208= "", VLOOKUP('Interactive Selection Sheet'!$G208, 'Master List Import'!$A$1:$P$519, 5, FALSE), ""), "")</f>
        <v>Snacks - Chips</v>
      </c>
      <c r="H454" s="69" t="str">
        <f>_xlfn.IFNA(IF('Interactive Selection Sheet'!F208= "", VLOOKUP('Interactive Selection Sheet'!$G208, 'Master List Import'!$A$1:$P$519, 6, FALSE), ""), "")</f>
        <v>Both</v>
      </c>
      <c r="I454" s="72">
        <f>_xlfn.IFNA(IF('Interactive Selection Sheet'!F208= "", VLOOKUP('Interactive Selection Sheet'!$G208, 'Master List Import'!$A$1:$P$519, 7, FALSE), ""), "")</f>
        <v>0.42</v>
      </c>
      <c r="J454" s="69" t="str">
        <f>_xlfn.IFNA(IF('Interactive Selection Sheet'!F208= "", VLOOKUP('Interactive Selection Sheet'!$G208, 'Master List Import'!$A$1:$P$519, 8, FALSE), ""), "")</f>
        <v>REI</v>
      </c>
      <c r="K454" s="69" t="str">
        <f>_xlfn.IFNA(IF('Interactive Selection Sheet'!F208= "", VLOOKUP('Interactive Selection Sheet'!$G208, 'Master List Import'!$A$1:$P$519, 9, FALSE), ""), "")</f>
        <v>802124</v>
      </c>
      <c r="L454" s="69">
        <f>_xlfn.IFNA(IF('Interactive Selection Sheet'!F208= "", VLOOKUP('Interactive Selection Sheet'!$G208, 'Master List Import'!$A$1:$P$519, 10, FALSE), ""), "")</f>
        <v>0</v>
      </c>
      <c r="M454" s="69">
        <f>_xlfn.IFNA(IF('Interactive Selection Sheet'!F208= "", VLOOKUP('Interactive Selection Sheet'!$G208, 'Master List Import'!$A$1:$P$519, 11, FALSE), ""), "")</f>
        <v>0</v>
      </c>
      <c r="N454" s="69">
        <f>_xlfn.IFNA(IF('Interactive Selection Sheet'!F208= "", VLOOKUP('Interactive Selection Sheet'!$G208, 'Master List Import'!$A$1:$P$519, 12, FALSE), ""), "")</f>
        <v>60</v>
      </c>
      <c r="O454" s="69">
        <f>_xlfn.IFNA(IF('Interactive Selection Sheet'!F208= "", VLOOKUP('Interactive Selection Sheet'!$G208, 'Master List Import'!$A$1:$P$519, 13, FALSE), ""), "")</f>
        <v>7921</v>
      </c>
      <c r="P454" s="69" t="str">
        <f>_xlfn.IFNA(IF('Interactive Selection Sheet'!F208= "", VLOOKUP('Interactive Selection Sheet'!$G208, 'Master List Import'!$A$1:$P$519, 14, FALSE), ""), "")</f>
        <v>Buffalo Pretzel Pieces</v>
      </c>
      <c r="Q454" s="69">
        <f>_xlfn.IFNA(IF('Interactive Selection Sheet'!F208= "", VLOOKUP('Interactive Selection Sheet'!$G208, 'Master List Import'!$A$1:$P$519, 15, FALSE), ""), "")</f>
        <v>1</v>
      </c>
      <c r="R454" s="74">
        <f>_xlfn.IFNA(IF('Interactive Selection Sheet'!F208= "", VLOOKUP('Interactive Selection Sheet'!$G208, 'Master List Import'!$A$1:$P$519, 16, FALSE), ""), "")</f>
        <v>1.65</v>
      </c>
    </row>
    <row r="455" spans="1:18" ht="21.75" customHeight="1" x14ac:dyDescent="0.25">
      <c r="A455" s="69">
        <f>_xlfn.IFNA(IF('Interactive Selection Sheet'!F209= "", VLOOKUP('Interactive Selection Sheet'!$G209, 'Master List Import'!$A$1:$P$519, 2, FALSE), ""), "")</f>
        <v>7930</v>
      </c>
      <c r="B455" s="69" t="str">
        <f>_xlfn.IFNA(IF('Interactive Selection Sheet'!F209= "", VLOOKUP('Interactive Selection Sheet'!$G209, 'Master List Import'!$A$1:$P$519, 3, FALSE), ""), "")</f>
        <v>Herr's Jalapeno Poppers, 1oz - 42/cs</v>
      </c>
      <c r="C455" s="76">
        <f>IF('Interactive Selection Sheet'!$T$2="", "", IF(B455="","",'Interactive Selection Sheet'!$T$2))</f>
        <v>3.5000000000000003E-2</v>
      </c>
      <c r="D455" s="70">
        <f>IF(B455 = "", "", 'Interactive Selection Sheet'!$P$2)</f>
        <v>4.4999999999999998E-2</v>
      </c>
      <c r="E455" s="70">
        <f>IF(B455="","", 'Interactive Selection Sheet'!$R$2)</f>
        <v>0.02</v>
      </c>
      <c r="F455" s="69" t="str">
        <f>_xlfn.IFNA(IF('Interactive Selection Sheet'!F209= "", VLOOKUP('Interactive Selection Sheet'!$G209, 'Master List Import'!$A$1:$P$519, 4, FALSE), ""), "")</f>
        <v>Snacks - Chips</v>
      </c>
      <c r="G455" s="69" t="str">
        <f>_xlfn.IFNA(IF('Interactive Selection Sheet'!F209= "", VLOOKUP('Interactive Selection Sheet'!$G209, 'Master List Import'!$A$1:$P$519, 5, FALSE), ""), "")</f>
        <v>Snacks - Chips</v>
      </c>
      <c r="H455" s="69" t="str">
        <f>_xlfn.IFNA(IF('Interactive Selection Sheet'!F209= "", VLOOKUP('Interactive Selection Sheet'!$G209, 'Master List Import'!$A$1:$P$519, 6, FALSE), ""), "")</f>
        <v>Both</v>
      </c>
      <c r="I455" s="72">
        <f>_xlfn.IFNA(IF('Interactive Selection Sheet'!F209= "", VLOOKUP('Interactive Selection Sheet'!$G209, 'Master List Import'!$A$1:$P$519, 7, FALSE), ""), "")</f>
        <v>0.34760000000000002</v>
      </c>
      <c r="J455" s="69" t="str">
        <f>_xlfn.IFNA(IF('Interactive Selection Sheet'!F209= "", VLOOKUP('Interactive Selection Sheet'!$G209, 'Master List Import'!$A$1:$P$519, 8, FALSE), ""), "")</f>
        <v>Reinhart Foodservice</v>
      </c>
      <c r="K455" s="69" t="str">
        <f>_xlfn.IFNA(IF('Interactive Selection Sheet'!F209= "", VLOOKUP('Interactive Selection Sheet'!$G209, 'Master List Import'!$A$1:$P$519, 9, FALSE), ""), "")</f>
        <v>NK238</v>
      </c>
      <c r="L455" s="69">
        <f>_xlfn.IFNA(IF('Interactive Selection Sheet'!F209= "", VLOOKUP('Interactive Selection Sheet'!$G209, 'Master List Import'!$A$1:$P$519, 10, FALSE), ""), "")</f>
        <v>0</v>
      </c>
      <c r="M455" s="69">
        <f>_xlfn.IFNA(IF('Interactive Selection Sheet'!F209= "", VLOOKUP('Interactive Selection Sheet'!$G209, 'Master List Import'!$A$1:$P$519, 11, FALSE), ""), "")</f>
        <v>0</v>
      </c>
      <c r="N455" s="69">
        <f>_xlfn.IFNA(IF('Interactive Selection Sheet'!F209= "", VLOOKUP('Interactive Selection Sheet'!$G209, 'Master List Import'!$A$1:$P$519, 12, FALSE), ""), "")</f>
        <v>42</v>
      </c>
      <c r="O455" s="69">
        <f>_xlfn.IFNA(IF('Interactive Selection Sheet'!F209= "", VLOOKUP('Interactive Selection Sheet'!$G209, 'Master List Import'!$A$1:$P$519, 13, FALSE), ""), "")</f>
        <v>7930</v>
      </c>
      <c r="P455" s="69" t="str">
        <f>_xlfn.IFNA(IF('Interactive Selection Sheet'!F209= "", VLOOKUP('Interactive Selection Sheet'!$G209, 'Master List Import'!$A$1:$P$519, 14, FALSE), ""), "")</f>
        <v>Jalapeno Popper Puffs</v>
      </c>
      <c r="Q455" s="69">
        <f>_xlfn.IFNA(IF('Interactive Selection Sheet'!F209= "", VLOOKUP('Interactive Selection Sheet'!$G209, 'Master List Import'!$A$1:$P$519, 15, FALSE), ""), "")</f>
        <v>1</v>
      </c>
      <c r="R455" s="74">
        <f>_xlfn.IFNA(IF('Interactive Selection Sheet'!F209= "", VLOOKUP('Interactive Selection Sheet'!$G209, 'Master List Import'!$A$1:$P$519, 16, FALSE), ""), "")</f>
        <v>1.05</v>
      </c>
    </row>
    <row r="456" spans="1:18" ht="21.75" customHeight="1" x14ac:dyDescent="0.25">
      <c r="A456" s="69">
        <f>_xlfn.IFNA(IF('Interactive Selection Sheet'!F210= "", VLOOKUP('Interactive Selection Sheet'!$G210, 'Master List Import'!$A$1:$P$519, 2, FALSE), ""), "")</f>
        <v>7931</v>
      </c>
      <c r="B456" s="69" t="str">
        <f>_xlfn.IFNA(IF('Interactive Selection Sheet'!F210= "", VLOOKUP('Interactive Selection Sheet'!$G210, 'Master List Import'!$A$1:$P$519, 3, FALSE), ""), "")</f>
        <v>Herr's Deep Dish Pizza Curls, 1oz - 42/cs</v>
      </c>
      <c r="C456" s="76">
        <f>IF('Interactive Selection Sheet'!$T$2="", "", IF(B456="","",'Interactive Selection Sheet'!$T$2))</f>
        <v>3.5000000000000003E-2</v>
      </c>
      <c r="D456" s="70">
        <f>IF(B456 = "", "", 'Interactive Selection Sheet'!$P$2)</f>
        <v>4.4999999999999998E-2</v>
      </c>
      <c r="E456" s="70">
        <f>IF(B456="","", 'Interactive Selection Sheet'!$R$2)</f>
        <v>0.02</v>
      </c>
      <c r="F456" s="69" t="str">
        <f>_xlfn.IFNA(IF('Interactive Selection Sheet'!F210= "", VLOOKUP('Interactive Selection Sheet'!$G210, 'Master List Import'!$A$1:$P$519, 4, FALSE), ""), "")</f>
        <v>Snacks - Chips</v>
      </c>
      <c r="G456" s="69" t="str">
        <f>_xlfn.IFNA(IF('Interactive Selection Sheet'!F210= "", VLOOKUP('Interactive Selection Sheet'!$G210, 'Master List Import'!$A$1:$P$519, 5, FALSE), ""), "")</f>
        <v>Snacks - Chips</v>
      </c>
      <c r="H456" s="69" t="str">
        <f>_xlfn.IFNA(IF('Interactive Selection Sheet'!F210= "", VLOOKUP('Interactive Selection Sheet'!$G210, 'Master List Import'!$A$1:$P$519, 6, FALSE), ""), "")</f>
        <v>Both</v>
      </c>
      <c r="I456" s="72">
        <f>_xlfn.IFNA(IF('Interactive Selection Sheet'!F210= "", VLOOKUP('Interactive Selection Sheet'!$G210, 'Master List Import'!$A$1:$P$519, 7, FALSE), ""), "")</f>
        <v>0.34760000000000002</v>
      </c>
      <c r="J456" s="69" t="str">
        <f>_xlfn.IFNA(IF('Interactive Selection Sheet'!F210= "", VLOOKUP('Interactive Selection Sheet'!$G210, 'Master List Import'!$A$1:$P$519, 8, FALSE), ""), "")</f>
        <v>Vistar</v>
      </c>
      <c r="K456" s="69" t="str">
        <f>_xlfn.IFNA(IF('Interactive Selection Sheet'!F210= "", VLOOKUP('Interactive Selection Sheet'!$G210, 'Master List Import'!$A$1:$P$519, 9, FALSE), ""), "")</f>
        <v>HRR08101</v>
      </c>
      <c r="L456" s="69">
        <f>_xlfn.IFNA(IF('Interactive Selection Sheet'!F210= "", VLOOKUP('Interactive Selection Sheet'!$G210, 'Master List Import'!$A$1:$P$519, 10, FALSE), ""), "")</f>
        <v>0</v>
      </c>
      <c r="M456" s="69">
        <f>_xlfn.IFNA(IF('Interactive Selection Sheet'!F210= "", VLOOKUP('Interactive Selection Sheet'!$G210, 'Master List Import'!$A$1:$P$519, 11, FALSE), ""), "")</f>
        <v>0</v>
      </c>
      <c r="N456" s="69">
        <f>_xlfn.IFNA(IF('Interactive Selection Sheet'!F210= "", VLOOKUP('Interactive Selection Sheet'!$G210, 'Master List Import'!$A$1:$P$519, 12, FALSE), ""), "")</f>
        <v>42</v>
      </c>
      <c r="O456" s="69">
        <f>_xlfn.IFNA(IF('Interactive Selection Sheet'!F210= "", VLOOKUP('Interactive Selection Sheet'!$G210, 'Master List Import'!$A$1:$P$519, 13, FALSE), ""), "")</f>
        <v>7931</v>
      </c>
      <c r="P456" s="69" t="str">
        <f>_xlfn.IFNA(IF('Interactive Selection Sheet'!F210= "", VLOOKUP('Interactive Selection Sheet'!$G210, 'Master List Import'!$A$1:$P$519, 14, FALSE), ""), "")</f>
        <v>Deep Dish Pizza Curls</v>
      </c>
      <c r="Q456" s="69">
        <f>_xlfn.IFNA(IF('Interactive Selection Sheet'!F210= "", VLOOKUP('Interactive Selection Sheet'!$G210, 'Master List Import'!$A$1:$P$519, 15, FALSE), ""), "")</f>
        <v>1</v>
      </c>
      <c r="R456" s="74">
        <f>_xlfn.IFNA(IF('Interactive Selection Sheet'!F210= "", VLOOKUP('Interactive Selection Sheet'!$G210, 'Master List Import'!$A$1:$P$519, 16, FALSE), ""), "")</f>
        <v>1.05</v>
      </c>
    </row>
    <row r="457" spans="1:18" ht="21.75" customHeight="1" x14ac:dyDescent="0.25">
      <c r="A457" s="69">
        <f>_xlfn.IFNA(IF('Interactive Selection Sheet'!F211= "", VLOOKUP('Interactive Selection Sheet'!$G211, 'Master List Import'!$A$1:$P$519, 2, FALSE), ""), "")</f>
        <v>7932</v>
      </c>
      <c r="B457" s="69" t="str">
        <f>_xlfn.IFNA(IF('Interactive Selection Sheet'!F211= "", VLOOKUP('Interactive Selection Sheet'!$G211, 'Master List Import'!$A$1:$P$519, 3, FALSE), ""), "")</f>
        <v>Crunchy Cheetos, 3.25oz - 28/cs</v>
      </c>
      <c r="C457" s="76">
        <f>IF('Interactive Selection Sheet'!$T$2="", "", IF(B457="","",'Interactive Selection Sheet'!$T$2))</f>
        <v>3.5000000000000003E-2</v>
      </c>
      <c r="D457" s="70">
        <f>IF(B457 = "", "", 'Interactive Selection Sheet'!$P$2)</f>
        <v>4.4999999999999998E-2</v>
      </c>
      <c r="E457" s="70">
        <f>IF(B457="","", 'Interactive Selection Sheet'!$R$2)</f>
        <v>0.02</v>
      </c>
      <c r="F457" s="69" t="str">
        <f>_xlfn.IFNA(IF('Interactive Selection Sheet'!F211= "", VLOOKUP('Interactive Selection Sheet'!$G211, 'Master List Import'!$A$1:$P$519, 4, FALSE), ""), "")</f>
        <v>Snacks - Chips</v>
      </c>
      <c r="G457" s="69" t="str">
        <f>_xlfn.IFNA(IF('Interactive Selection Sheet'!F211= "", VLOOKUP('Interactive Selection Sheet'!$G211, 'Master List Import'!$A$1:$P$519, 5, FALSE), ""), "")</f>
        <v>Snacks - Chips</v>
      </c>
      <c r="H457" s="69" t="str">
        <f>_xlfn.IFNA(IF('Interactive Selection Sheet'!F211= "", VLOOKUP('Interactive Selection Sheet'!$G211, 'Master List Import'!$A$1:$P$519, 6, FALSE), ""), "")</f>
        <v>Both</v>
      </c>
      <c r="I457" s="72">
        <f>_xlfn.IFNA(IF('Interactive Selection Sheet'!F211= "", VLOOKUP('Interactive Selection Sheet'!$G211, 'Master List Import'!$A$1:$P$519, 7, FALSE), ""), "")</f>
        <v>1.1189</v>
      </c>
      <c r="J457" s="69" t="str">
        <f>_xlfn.IFNA(IF('Interactive Selection Sheet'!F211= "", VLOOKUP('Interactive Selection Sheet'!$G211, 'Master List Import'!$A$1:$P$519, 8, FALSE), ""), "")</f>
        <v>Vistar</v>
      </c>
      <c r="K457" s="69" t="str">
        <f>_xlfn.IFNA(IF('Interactive Selection Sheet'!F211= "", VLOOKUP('Interactive Selection Sheet'!$G211, 'Master List Import'!$A$1:$P$519, 9, FALSE), ""), "")</f>
        <v>FRI36131</v>
      </c>
      <c r="L457" s="69">
        <f>_xlfn.IFNA(IF('Interactive Selection Sheet'!F211= "", VLOOKUP('Interactive Selection Sheet'!$G211, 'Master List Import'!$A$1:$P$519, 10, FALSE), ""), "")</f>
        <v>0</v>
      </c>
      <c r="M457" s="69">
        <f>_xlfn.IFNA(IF('Interactive Selection Sheet'!F211= "", VLOOKUP('Interactive Selection Sheet'!$G211, 'Master List Import'!$A$1:$P$519, 11, FALSE), ""), "")</f>
        <v>0</v>
      </c>
      <c r="N457" s="69">
        <f>_xlfn.IFNA(IF('Interactive Selection Sheet'!F211= "", VLOOKUP('Interactive Selection Sheet'!$G211, 'Master List Import'!$A$1:$P$519, 12, FALSE), ""), "")</f>
        <v>28</v>
      </c>
      <c r="O457" s="69">
        <f>_xlfn.IFNA(IF('Interactive Selection Sheet'!F211= "", VLOOKUP('Interactive Selection Sheet'!$G211, 'Master List Import'!$A$1:$P$519, 13, FALSE), ""), "")</f>
        <v>7932</v>
      </c>
      <c r="P457" s="69" t="str">
        <f>_xlfn.IFNA(IF('Interactive Selection Sheet'!F211= "", VLOOKUP('Interactive Selection Sheet'!$G211, 'Master List Import'!$A$1:$P$519, 14, FALSE), ""), "")</f>
        <v>Cheetos</v>
      </c>
      <c r="Q457" s="69">
        <f>_xlfn.IFNA(IF('Interactive Selection Sheet'!F211= "", VLOOKUP('Interactive Selection Sheet'!$G211, 'Master List Import'!$A$1:$P$519, 15, FALSE), ""), "")</f>
        <v>1</v>
      </c>
      <c r="R457" s="74">
        <f>_xlfn.IFNA(IF('Interactive Selection Sheet'!F211= "", VLOOKUP('Interactive Selection Sheet'!$G211, 'Master List Import'!$A$1:$P$519, 16, FALSE), ""), "")</f>
        <v>3</v>
      </c>
    </row>
    <row r="458" spans="1:18" ht="21.75" customHeight="1" x14ac:dyDescent="0.25">
      <c r="A458" s="69">
        <f>_xlfn.IFNA(IF('Interactive Selection Sheet'!F212= "", VLOOKUP('Interactive Selection Sheet'!$G212, 'Master List Import'!$A$1:$P$519, 2, FALSE), ""), "")</f>
        <v>7933</v>
      </c>
      <c r="B458" s="69" t="str">
        <f>_xlfn.IFNA(IF('Interactive Selection Sheet'!F212= "", VLOOKUP('Interactive Selection Sheet'!$G212, 'Master List Import'!$A$1:$P$519, 3, FALSE), ""), "")</f>
        <v>Crunchy Hot Cheetos, 3.25oz - 28/cs</v>
      </c>
      <c r="C458" s="76">
        <f>IF('Interactive Selection Sheet'!$T$2="", "", IF(B458="","",'Interactive Selection Sheet'!$T$2))</f>
        <v>3.5000000000000003E-2</v>
      </c>
      <c r="D458" s="70">
        <f>IF(B458 = "", "", 'Interactive Selection Sheet'!$P$2)</f>
        <v>4.4999999999999998E-2</v>
      </c>
      <c r="E458" s="70">
        <f>IF(B458="","", 'Interactive Selection Sheet'!$R$2)</f>
        <v>0.02</v>
      </c>
      <c r="F458" s="69" t="str">
        <f>_xlfn.IFNA(IF('Interactive Selection Sheet'!F212= "", VLOOKUP('Interactive Selection Sheet'!$G212, 'Master List Import'!$A$1:$P$519, 4, FALSE), ""), "")</f>
        <v>Snacks - Chips</v>
      </c>
      <c r="G458" s="69" t="str">
        <f>_xlfn.IFNA(IF('Interactive Selection Sheet'!F212= "", VLOOKUP('Interactive Selection Sheet'!$G212, 'Master List Import'!$A$1:$P$519, 5, FALSE), ""), "")</f>
        <v>Snacks - Chips</v>
      </c>
      <c r="H458" s="69" t="str">
        <f>_xlfn.IFNA(IF('Interactive Selection Sheet'!F212= "", VLOOKUP('Interactive Selection Sheet'!$G212, 'Master List Import'!$A$1:$P$519, 6, FALSE), ""), "")</f>
        <v>Both</v>
      </c>
      <c r="I458" s="72">
        <f>_xlfn.IFNA(IF('Interactive Selection Sheet'!F212= "", VLOOKUP('Interactive Selection Sheet'!$G212, 'Master List Import'!$A$1:$P$519, 7, FALSE), ""), "")</f>
        <v>1.1189</v>
      </c>
      <c r="J458" s="69" t="str">
        <f>_xlfn.IFNA(IF('Interactive Selection Sheet'!F212= "", VLOOKUP('Interactive Selection Sheet'!$G212, 'Master List Import'!$A$1:$P$519, 8, FALSE), ""), "")</f>
        <v>Vistar</v>
      </c>
      <c r="K458" s="69" t="str">
        <f>_xlfn.IFNA(IF('Interactive Selection Sheet'!F212= "", VLOOKUP('Interactive Selection Sheet'!$G212, 'Master List Import'!$A$1:$P$519, 9, FALSE), ""), "")</f>
        <v>FRI36134</v>
      </c>
      <c r="L458" s="69">
        <f>_xlfn.IFNA(IF('Interactive Selection Sheet'!F212= "", VLOOKUP('Interactive Selection Sheet'!$G212, 'Master List Import'!$A$1:$P$519, 10, FALSE), ""), "")</f>
        <v>0</v>
      </c>
      <c r="M458" s="69">
        <f>_xlfn.IFNA(IF('Interactive Selection Sheet'!F212= "", VLOOKUP('Interactive Selection Sheet'!$G212, 'Master List Import'!$A$1:$P$519, 11, FALSE), ""), "")</f>
        <v>0</v>
      </c>
      <c r="N458" s="69">
        <f>_xlfn.IFNA(IF('Interactive Selection Sheet'!F212= "", VLOOKUP('Interactive Selection Sheet'!$G212, 'Master List Import'!$A$1:$P$519, 12, FALSE), ""), "")</f>
        <v>28</v>
      </c>
      <c r="O458" s="69">
        <f>_xlfn.IFNA(IF('Interactive Selection Sheet'!F212= "", VLOOKUP('Interactive Selection Sheet'!$G212, 'Master List Import'!$A$1:$P$519, 13, FALSE), ""), "")</f>
        <v>7933</v>
      </c>
      <c r="P458" s="69" t="str">
        <f>_xlfn.IFNA(IF('Interactive Selection Sheet'!F212= "", VLOOKUP('Interactive Selection Sheet'!$G212, 'Master List Import'!$A$1:$P$519, 14, FALSE), ""), "")</f>
        <v>Hot Cheetos</v>
      </c>
      <c r="Q458" s="69">
        <f>_xlfn.IFNA(IF('Interactive Selection Sheet'!F212= "", VLOOKUP('Interactive Selection Sheet'!$G212, 'Master List Import'!$A$1:$P$519, 15, FALSE), ""), "")</f>
        <v>1</v>
      </c>
      <c r="R458" s="74">
        <f>_xlfn.IFNA(IF('Interactive Selection Sheet'!F212= "", VLOOKUP('Interactive Selection Sheet'!$G212, 'Master List Import'!$A$1:$P$519, 16, FALSE), ""), "")</f>
        <v>3</v>
      </c>
    </row>
    <row r="459" spans="1:18" ht="21.75" customHeight="1" x14ac:dyDescent="0.25">
      <c r="A459" s="69">
        <f>_xlfn.IFNA(IF('Interactive Selection Sheet'!F213= "", VLOOKUP('Interactive Selection Sheet'!$G213, 'Master List Import'!$A$1:$P$519, 2, FALSE), ""), "")</f>
        <v>7950</v>
      </c>
      <c r="B459" s="69" t="str">
        <f>_xlfn.IFNA(IF('Interactive Selection Sheet'!F213= "", VLOOKUP('Interactive Selection Sheet'!$G213, 'Master List Import'!$A$1:$P$519, 3, FALSE), ""), "")</f>
        <v>Takis Fuego Chips, 2oz - 42/cs</v>
      </c>
      <c r="C459" s="76">
        <f>IF('Interactive Selection Sheet'!$T$2="", "", IF(B459="","",'Interactive Selection Sheet'!$T$2))</f>
        <v>3.5000000000000003E-2</v>
      </c>
      <c r="D459" s="70">
        <f>IF(B459 = "", "", 'Interactive Selection Sheet'!$P$2)</f>
        <v>4.4999999999999998E-2</v>
      </c>
      <c r="E459" s="70">
        <f>IF(B459="","", 'Interactive Selection Sheet'!$R$2)</f>
        <v>0.02</v>
      </c>
      <c r="F459" s="69" t="str">
        <f>_xlfn.IFNA(IF('Interactive Selection Sheet'!F213= "", VLOOKUP('Interactive Selection Sheet'!$G213, 'Master List Import'!$A$1:$P$519, 4, FALSE), ""), "")</f>
        <v>Snacks - Chips</v>
      </c>
      <c r="G459" s="69" t="str">
        <f>_xlfn.IFNA(IF('Interactive Selection Sheet'!F213= "", VLOOKUP('Interactive Selection Sheet'!$G213, 'Master List Import'!$A$1:$P$519, 5, FALSE), ""), "")</f>
        <v>Snacks - Chips</v>
      </c>
      <c r="H459" s="69" t="str">
        <f>_xlfn.IFNA(IF('Interactive Selection Sheet'!F213= "", VLOOKUP('Interactive Selection Sheet'!$G213, 'Master List Import'!$A$1:$P$519, 6, FALSE), ""), "")</f>
        <v>Both</v>
      </c>
      <c r="I459" s="72">
        <f>_xlfn.IFNA(IF('Interactive Selection Sheet'!F213= "", VLOOKUP('Interactive Selection Sheet'!$G213, 'Master List Import'!$A$1:$P$519, 7, FALSE), ""), "")</f>
        <v>0.5071</v>
      </c>
      <c r="J459" s="69" t="str">
        <f>_xlfn.IFNA(IF('Interactive Selection Sheet'!F213= "", VLOOKUP('Interactive Selection Sheet'!$G213, 'Master List Import'!$A$1:$P$519, 8, FALSE), ""), "")</f>
        <v>Vistar</v>
      </c>
      <c r="K459" s="69" t="str">
        <f>_xlfn.IFNA(IF('Interactive Selection Sheet'!F213= "", VLOOKUP('Interactive Selection Sheet'!$G213, 'Master List Import'!$A$1:$P$519, 9, FALSE), ""), "")</f>
        <v>BAR00276</v>
      </c>
      <c r="L459" s="69">
        <f>_xlfn.IFNA(IF('Interactive Selection Sheet'!F213= "", VLOOKUP('Interactive Selection Sheet'!$G213, 'Master List Import'!$A$1:$P$519, 10, FALSE), ""), "")</f>
        <v>0</v>
      </c>
      <c r="M459" s="69">
        <f>_xlfn.IFNA(IF('Interactive Selection Sheet'!F213= "", VLOOKUP('Interactive Selection Sheet'!$G213, 'Master List Import'!$A$1:$P$519, 11, FALSE), ""), "")</f>
        <v>0</v>
      </c>
      <c r="N459" s="69">
        <f>_xlfn.IFNA(IF('Interactive Selection Sheet'!F213= "", VLOOKUP('Interactive Selection Sheet'!$G213, 'Master List Import'!$A$1:$P$519, 12, FALSE), ""), "")</f>
        <v>42</v>
      </c>
      <c r="O459" s="69">
        <f>_xlfn.IFNA(IF('Interactive Selection Sheet'!F213= "", VLOOKUP('Interactive Selection Sheet'!$G213, 'Master List Import'!$A$1:$P$519, 13, FALSE), ""), "")</f>
        <v>7950</v>
      </c>
      <c r="P459" s="69" t="str">
        <f>_xlfn.IFNA(IF('Interactive Selection Sheet'!F213= "", VLOOKUP('Interactive Selection Sheet'!$G213, 'Master List Import'!$A$1:$P$519, 14, FALSE), ""), "")</f>
        <v>Takis</v>
      </c>
      <c r="Q459" s="69">
        <f>_xlfn.IFNA(IF('Interactive Selection Sheet'!F213= "", VLOOKUP('Interactive Selection Sheet'!$G213, 'Master List Import'!$A$1:$P$519, 15, FALSE), ""), "")</f>
        <v>1</v>
      </c>
      <c r="R459" s="74">
        <f>_xlfn.IFNA(IF('Interactive Selection Sheet'!F213= "", VLOOKUP('Interactive Selection Sheet'!$G213, 'Master List Import'!$A$1:$P$519, 16, FALSE), ""), "")</f>
        <v>1.65</v>
      </c>
    </row>
    <row r="460" spans="1:18" ht="21.75" customHeight="1" x14ac:dyDescent="0.25">
      <c r="A460" s="69">
        <f>_xlfn.IFNA(IF('Interactive Selection Sheet'!F214= "", VLOOKUP('Interactive Selection Sheet'!$G214, 'Master List Import'!$A$1:$P$519, 2, FALSE), ""), "")</f>
        <v>7951</v>
      </c>
      <c r="B460" s="69" t="str">
        <f>_xlfn.IFNA(IF('Interactive Selection Sheet'!F214= "", VLOOKUP('Interactive Selection Sheet'!$G214, 'Master List Import'!$A$1:$P$519, 3, FALSE), ""), "")</f>
        <v>Golden Gourmet BBQ Corn Chips, 10oz - 12/cs</v>
      </c>
      <c r="C460" s="76">
        <f>IF('Interactive Selection Sheet'!$T$2="", "", IF(B460="","",'Interactive Selection Sheet'!$T$2))</f>
        <v>3.5000000000000003E-2</v>
      </c>
      <c r="D460" s="70">
        <f>IF(B460 = "", "", 'Interactive Selection Sheet'!$P$2)</f>
        <v>4.4999999999999998E-2</v>
      </c>
      <c r="E460" s="70">
        <f>IF(B460="","", 'Interactive Selection Sheet'!$R$2)</f>
        <v>0.02</v>
      </c>
      <c r="F460" s="69" t="str">
        <f>_xlfn.IFNA(IF('Interactive Selection Sheet'!F214= "", VLOOKUP('Interactive Selection Sheet'!$G214, 'Master List Import'!$A$1:$P$519, 4, FALSE), ""), "")</f>
        <v>Snacks - Chips</v>
      </c>
      <c r="G460" s="69" t="str">
        <f>_xlfn.IFNA(IF('Interactive Selection Sheet'!F214= "", VLOOKUP('Interactive Selection Sheet'!$G214, 'Master List Import'!$A$1:$P$519, 5, FALSE), ""), "")</f>
        <v>Snacks - Chips</v>
      </c>
      <c r="H460" s="69" t="str">
        <f>_xlfn.IFNA(IF('Interactive Selection Sheet'!F214= "", VLOOKUP('Interactive Selection Sheet'!$G214, 'Master List Import'!$A$1:$P$519, 6, FALSE), ""), "")</f>
        <v>Both</v>
      </c>
      <c r="I460" s="72">
        <f>_xlfn.IFNA(IF('Interactive Selection Sheet'!F214= "", VLOOKUP('Interactive Selection Sheet'!$G214, 'Master List Import'!$A$1:$P$519, 7, FALSE), ""), "")</f>
        <v>1.1499999999999999</v>
      </c>
      <c r="J460" s="69" t="str">
        <f>_xlfn.IFNA(IF('Interactive Selection Sheet'!F214= "", VLOOKUP('Interactive Selection Sheet'!$G214, 'Master List Import'!$A$1:$P$519, 8, FALSE), ""), "")</f>
        <v>REI</v>
      </c>
      <c r="K460" s="69" t="str">
        <f>_xlfn.IFNA(IF('Interactive Selection Sheet'!F214= "", VLOOKUP('Interactive Selection Sheet'!$G214, 'Master List Import'!$A$1:$P$519, 9, FALSE), ""), "")</f>
        <v>200644</v>
      </c>
      <c r="L460" s="69">
        <f>_xlfn.IFNA(IF('Interactive Selection Sheet'!F214= "", VLOOKUP('Interactive Selection Sheet'!$G214, 'Master List Import'!$A$1:$P$519, 10, FALSE), ""), "")</f>
        <v>0</v>
      </c>
      <c r="M460" s="69">
        <f>_xlfn.IFNA(IF('Interactive Selection Sheet'!F214= "", VLOOKUP('Interactive Selection Sheet'!$G214, 'Master List Import'!$A$1:$P$519, 11, FALSE), ""), "")</f>
        <v>0</v>
      </c>
      <c r="N460" s="69">
        <f>_xlfn.IFNA(IF('Interactive Selection Sheet'!F214= "", VLOOKUP('Interactive Selection Sheet'!$G214, 'Master List Import'!$A$1:$P$519, 12, FALSE), ""), "")</f>
        <v>12</v>
      </c>
      <c r="O460" s="69">
        <f>_xlfn.IFNA(IF('Interactive Selection Sheet'!F214= "", VLOOKUP('Interactive Selection Sheet'!$G214, 'Master List Import'!$A$1:$P$519, 13, FALSE), ""), "")</f>
        <v>7951</v>
      </c>
      <c r="P460" s="69" t="str">
        <f>_xlfn.IFNA(IF('Interactive Selection Sheet'!F214= "", VLOOKUP('Interactive Selection Sheet'!$G214, 'Master List Import'!$A$1:$P$519, 14, FALSE), ""), "")</f>
        <v>BBQ Corn Chips</v>
      </c>
      <c r="Q460" s="69">
        <f>_xlfn.IFNA(IF('Interactive Selection Sheet'!F214= "", VLOOKUP('Interactive Selection Sheet'!$G214, 'Master List Import'!$A$1:$P$519, 15, FALSE), ""), "")</f>
        <v>1</v>
      </c>
      <c r="R460" s="74">
        <f>_xlfn.IFNA(IF('Interactive Selection Sheet'!F214= "", VLOOKUP('Interactive Selection Sheet'!$G214, 'Master List Import'!$A$1:$P$519, 16, FALSE), ""), "")</f>
        <v>3.85</v>
      </c>
    </row>
    <row r="461" spans="1:18" ht="21.75" customHeight="1" x14ac:dyDescent="0.25">
      <c r="A461" s="69">
        <f>_xlfn.IFNA(IF('Interactive Selection Sheet'!F215= "", VLOOKUP('Interactive Selection Sheet'!$G215, 'Master List Import'!$A$1:$P$519, 2, FALSE), ""), "")</f>
        <v>7952</v>
      </c>
      <c r="B461" s="69" t="str">
        <f>_xlfn.IFNA(IF('Interactive Selection Sheet'!F215= "", VLOOKUP('Interactive Selection Sheet'!$G215, 'Master List Import'!$A$1:$P$519, 3, FALSE), ""), "")</f>
        <v>Golden Gourmet Hot &amp; Spicy Corn Chips, 10oz - 12/cs</v>
      </c>
      <c r="C461" s="76">
        <f>IF('Interactive Selection Sheet'!$T$2="", "", IF(B461="","",'Interactive Selection Sheet'!$T$2))</f>
        <v>3.5000000000000003E-2</v>
      </c>
      <c r="D461" s="70">
        <f>IF(B461 = "", "", 'Interactive Selection Sheet'!$P$2)</f>
        <v>4.4999999999999998E-2</v>
      </c>
      <c r="E461" s="70">
        <f>IF(B461="","", 'Interactive Selection Sheet'!$R$2)</f>
        <v>0.02</v>
      </c>
      <c r="F461" s="69" t="str">
        <f>_xlfn.IFNA(IF('Interactive Selection Sheet'!F215= "", VLOOKUP('Interactive Selection Sheet'!$G215, 'Master List Import'!$A$1:$P$519, 4, FALSE), ""), "")</f>
        <v>Snacks - Chips</v>
      </c>
      <c r="G461" s="69" t="str">
        <f>_xlfn.IFNA(IF('Interactive Selection Sheet'!F215= "", VLOOKUP('Interactive Selection Sheet'!$G215, 'Master List Import'!$A$1:$P$519, 5, FALSE), ""), "")</f>
        <v>Snacks - Chips</v>
      </c>
      <c r="H461" s="69" t="str">
        <f>_xlfn.IFNA(IF('Interactive Selection Sheet'!F215= "", VLOOKUP('Interactive Selection Sheet'!$G215, 'Master List Import'!$A$1:$P$519, 6, FALSE), ""), "")</f>
        <v>Both</v>
      </c>
      <c r="I461" s="72">
        <f>_xlfn.IFNA(IF('Interactive Selection Sheet'!F215= "", VLOOKUP('Interactive Selection Sheet'!$G215, 'Master List Import'!$A$1:$P$519, 7, FALSE), ""), "")</f>
        <v>1.1499999999999999</v>
      </c>
      <c r="J461" s="69" t="str">
        <f>_xlfn.IFNA(IF('Interactive Selection Sheet'!F215= "", VLOOKUP('Interactive Selection Sheet'!$G215, 'Master List Import'!$A$1:$P$519, 8, FALSE), ""), "")</f>
        <v>REI</v>
      </c>
      <c r="K461" s="69" t="str">
        <f>_xlfn.IFNA(IF('Interactive Selection Sheet'!F215= "", VLOOKUP('Interactive Selection Sheet'!$G215, 'Master List Import'!$A$1:$P$519, 9, FALSE), ""), "")</f>
        <v>200645</v>
      </c>
      <c r="L461" s="69">
        <f>_xlfn.IFNA(IF('Interactive Selection Sheet'!F215= "", VLOOKUP('Interactive Selection Sheet'!$G215, 'Master List Import'!$A$1:$P$519, 10, FALSE), ""), "")</f>
        <v>0</v>
      </c>
      <c r="M461" s="69">
        <f>_xlfn.IFNA(IF('Interactive Selection Sheet'!F215= "", VLOOKUP('Interactive Selection Sheet'!$G215, 'Master List Import'!$A$1:$P$519, 11, FALSE), ""), "")</f>
        <v>0</v>
      </c>
      <c r="N461" s="69">
        <f>_xlfn.IFNA(IF('Interactive Selection Sheet'!F215= "", VLOOKUP('Interactive Selection Sheet'!$G215, 'Master List Import'!$A$1:$P$519, 12, FALSE), ""), "")</f>
        <v>12</v>
      </c>
      <c r="O461" s="69">
        <f>_xlfn.IFNA(IF('Interactive Selection Sheet'!F215= "", VLOOKUP('Interactive Selection Sheet'!$G215, 'Master List Import'!$A$1:$P$519, 13, FALSE), ""), "")</f>
        <v>7952</v>
      </c>
      <c r="P461" s="69" t="str">
        <f>_xlfn.IFNA(IF('Interactive Selection Sheet'!F215= "", VLOOKUP('Interactive Selection Sheet'!$G215, 'Master List Import'!$A$1:$P$519, 14, FALSE), ""), "")</f>
        <v>Red Hot Corn Chips</v>
      </c>
      <c r="Q461" s="69">
        <f>_xlfn.IFNA(IF('Interactive Selection Sheet'!F215= "", VLOOKUP('Interactive Selection Sheet'!$G215, 'Master List Import'!$A$1:$P$519, 15, FALSE), ""), "")</f>
        <v>1</v>
      </c>
      <c r="R461" s="74">
        <f>_xlfn.IFNA(IF('Interactive Selection Sheet'!F215= "", VLOOKUP('Interactive Selection Sheet'!$G215, 'Master List Import'!$A$1:$P$519, 16, FALSE), ""), "")</f>
        <v>3.85</v>
      </c>
    </row>
    <row r="462" spans="1:18" ht="21.75" customHeight="1" x14ac:dyDescent="0.25">
      <c r="A462" s="69">
        <f>_xlfn.IFNA(IF('Interactive Selection Sheet'!F216= "", VLOOKUP('Interactive Selection Sheet'!$G216, 'Master List Import'!$A$1:$P$519, 2, FALSE), ""), "")</f>
        <v>7953</v>
      </c>
      <c r="B462" s="69" t="str">
        <f>_xlfn.IFNA(IF('Interactive Selection Sheet'!F216= "", VLOOKUP('Interactive Selection Sheet'!$G216, 'Master List Import'!$A$1:$P$519, 3, FALSE), ""), "")</f>
        <v>Doritos Nacho Cheese, 2.875oz - 24/cs</v>
      </c>
      <c r="C462" s="76">
        <f>IF('Interactive Selection Sheet'!$T$2="", "", IF(B462="","",'Interactive Selection Sheet'!$T$2))</f>
        <v>3.5000000000000003E-2</v>
      </c>
      <c r="D462" s="70">
        <f>IF(B462 = "", "", 'Interactive Selection Sheet'!$P$2)</f>
        <v>4.4999999999999998E-2</v>
      </c>
      <c r="E462" s="70">
        <f>IF(B462="","", 'Interactive Selection Sheet'!$R$2)</f>
        <v>0.02</v>
      </c>
      <c r="F462" s="69" t="str">
        <f>_xlfn.IFNA(IF('Interactive Selection Sheet'!F216= "", VLOOKUP('Interactive Selection Sheet'!$G216, 'Master List Import'!$A$1:$P$519, 4, FALSE), ""), "")</f>
        <v>Snacks - Chips</v>
      </c>
      <c r="G462" s="69" t="str">
        <f>_xlfn.IFNA(IF('Interactive Selection Sheet'!F216= "", VLOOKUP('Interactive Selection Sheet'!$G216, 'Master List Import'!$A$1:$P$519, 5, FALSE), ""), "")</f>
        <v>Snacks - Chips</v>
      </c>
      <c r="H462" s="69" t="str">
        <f>_xlfn.IFNA(IF('Interactive Selection Sheet'!F216= "", VLOOKUP('Interactive Selection Sheet'!$G216, 'Master List Import'!$A$1:$P$519, 6, FALSE), ""), "")</f>
        <v>Both</v>
      </c>
      <c r="I462" s="72">
        <f>_xlfn.IFNA(IF('Interactive Selection Sheet'!F216= "", VLOOKUP('Interactive Selection Sheet'!$G216, 'Master List Import'!$A$1:$P$519, 7, FALSE), ""), "")</f>
        <v>0.97909999999999997</v>
      </c>
      <c r="J462" s="69" t="str">
        <f>_xlfn.IFNA(IF('Interactive Selection Sheet'!F216= "", VLOOKUP('Interactive Selection Sheet'!$G216, 'Master List Import'!$A$1:$P$519, 8, FALSE), ""), "")</f>
        <v>Vistar</v>
      </c>
      <c r="K462" s="69" t="str">
        <f>_xlfn.IFNA(IF('Interactive Selection Sheet'!F216= "", VLOOKUP('Interactive Selection Sheet'!$G216, 'Master List Import'!$A$1:$P$519, 9, FALSE), ""), "")</f>
        <v>FRI36294</v>
      </c>
      <c r="L462" s="69">
        <f>_xlfn.IFNA(IF('Interactive Selection Sheet'!F216= "", VLOOKUP('Interactive Selection Sheet'!$G216, 'Master List Import'!$A$1:$P$519, 10, FALSE), ""), "")</f>
        <v>0</v>
      </c>
      <c r="M462" s="69">
        <f>_xlfn.IFNA(IF('Interactive Selection Sheet'!F216= "", VLOOKUP('Interactive Selection Sheet'!$G216, 'Master List Import'!$A$1:$P$519, 11, FALSE), ""), "")</f>
        <v>0</v>
      </c>
      <c r="N462" s="69">
        <f>_xlfn.IFNA(IF('Interactive Selection Sheet'!F216= "", VLOOKUP('Interactive Selection Sheet'!$G216, 'Master List Import'!$A$1:$P$519, 12, FALSE), ""), "")</f>
        <v>24</v>
      </c>
      <c r="O462" s="69">
        <f>_xlfn.IFNA(IF('Interactive Selection Sheet'!F216= "", VLOOKUP('Interactive Selection Sheet'!$G216, 'Master List Import'!$A$1:$P$519, 13, FALSE), ""), "")</f>
        <v>7953</v>
      </c>
      <c r="P462" s="69" t="str">
        <f>_xlfn.IFNA(IF('Interactive Selection Sheet'!F216= "", VLOOKUP('Interactive Selection Sheet'!$G216, 'Master List Import'!$A$1:$P$519, 14, FALSE), ""), "")</f>
        <v>Nacho Cheese Doritos</v>
      </c>
      <c r="Q462" s="69">
        <f>_xlfn.IFNA(IF('Interactive Selection Sheet'!F216= "", VLOOKUP('Interactive Selection Sheet'!$G216, 'Master List Import'!$A$1:$P$519, 15, FALSE), ""), "")</f>
        <v>1</v>
      </c>
      <c r="R462" s="74">
        <f>_xlfn.IFNA(IF('Interactive Selection Sheet'!F216= "", VLOOKUP('Interactive Selection Sheet'!$G216, 'Master List Import'!$A$1:$P$519, 16, FALSE), ""), "")</f>
        <v>2.8</v>
      </c>
    </row>
    <row r="463" spans="1:18" ht="21.75" customHeight="1" x14ac:dyDescent="0.25">
      <c r="A463" s="69">
        <f>_xlfn.IFNA(IF('Interactive Selection Sheet'!F217= "", VLOOKUP('Interactive Selection Sheet'!$G217, 'Master List Import'!$A$1:$P$519, 2, FALSE), ""), "")</f>
        <v>7954</v>
      </c>
      <c r="B463" s="69" t="str">
        <f>_xlfn.IFNA(IF('Interactive Selection Sheet'!F217= "", VLOOKUP('Interactive Selection Sheet'!$G217, 'Master List Import'!$A$1:$P$519, 3, FALSE), ""), "")</f>
        <v>Doritos Cool Ranch, 2.875oz - 24/cs</v>
      </c>
      <c r="C463" s="76">
        <f>IF('Interactive Selection Sheet'!$T$2="", "", IF(B463="","",'Interactive Selection Sheet'!$T$2))</f>
        <v>3.5000000000000003E-2</v>
      </c>
      <c r="D463" s="70">
        <f>IF(B463 = "", "", 'Interactive Selection Sheet'!$P$2)</f>
        <v>4.4999999999999998E-2</v>
      </c>
      <c r="E463" s="70">
        <f>IF(B463="","", 'Interactive Selection Sheet'!$R$2)</f>
        <v>0.02</v>
      </c>
      <c r="F463" s="69" t="str">
        <f>_xlfn.IFNA(IF('Interactive Selection Sheet'!F217= "", VLOOKUP('Interactive Selection Sheet'!$G217, 'Master List Import'!$A$1:$P$519, 4, FALSE), ""), "")</f>
        <v>Snacks - Chips</v>
      </c>
      <c r="G463" s="69" t="str">
        <f>_xlfn.IFNA(IF('Interactive Selection Sheet'!F217= "", VLOOKUP('Interactive Selection Sheet'!$G217, 'Master List Import'!$A$1:$P$519, 5, FALSE), ""), "")</f>
        <v>Snacks - Chips</v>
      </c>
      <c r="H463" s="69" t="str">
        <f>_xlfn.IFNA(IF('Interactive Selection Sheet'!F217= "", VLOOKUP('Interactive Selection Sheet'!$G217, 'Master List Import'!$A$1:$P$519, 6, FALSE), ""), "")</f>
        <v>Both</v>
      </c>
      <c r="I463" s="72">
        <f>_xlfn.IFNA(IF('Interactive Selection Sheet'!F217= "", VLOOKUP('Interactive Selection Sheet'!$G217, 'Master List Import'!$A$1:$P$519, 7, FALSE), ""), "")</f>
        <v>0.97909999999999997</v>
      </c>
      <c r="J463" s="69" t="str">
        <f>_xlfn.IFNA(IF('Interactive Selection Sheet'!F217= "", VLOOKUP('Interactive Selection Sheet'!$G217, 'Master List Import'!$A$1:$P$519, 8, FALSE), ""), "")</f>
        <v>Vistar</v>
      </c>
      <c r="K463" s="69" t="str">
        <f>_xlfn.IFNA(IF('Interactive Selection Sheet'!F217= "", VLOOKUP('Interactive Selection Sheet'!$G217, 'Master List Import'!$A$1:$P$519, 9, FALSE), ""), "")</f>
        <v>FRI36289</v>
      </c>
      <c r="L463" s="69">
        <f>_xlfn.IFNA(IF('Interactive Selection Sheet'!F217= "", VLOOKUP('Interactive Selection Sheet'!$G217, 'Master List Import'!$A$1:$P$519, 10, FALSE), ""), "")</f>
        <v>0</v>
      </c>
      <c r="M463" s="69">
        <f>_xlfn.IFNA(IF('Interactive Selection Sheet'!F217= "", VLOOKUP('Interactive Selection Sheet'!$G217, 'Master List Import'!$A$1:$P$519, 11, FALSE), ""), "")</f>
        <v>0</v>
      </c>
      <c r="N463" s="69">
        <f>_xlfn.IFNA(IF('Interactive Selection Sheet'!F217= "", VLOOKUP('Interactive Selection Sheet'!$G217, 'Master List Import'!$A$1:$P$519, 12, FALSE), ""), "")</f>
        <v>24</v>
      </c>
      <c r="O463" s="69">
        <f>_xlfn.IFNA(IF('Interactive Selection Sheet'!F217= "", VLOOKUP('Interactive Selection Sheet'!$G217, 'Master List Import'!$A$1:$P$519, 13, FALSE), ""), "")</f>
        <v>7954</v>
      </c>
      <c r="P463" s="69" t="str">
        <f>_xlfn.IFNA(IF('Interactive Selection Sheet'!F217= "", VLOOKUP('Interactive Selection Sheet'!$G217, 'Master List Import'!$A$1:$P$519, 14, FALSE), ""), "")</f>
        <v>Cool Ranch Doritos</v>
      </c>
      <c r="Q463" s="69">
        <f>_xlfn.IFNA(IF('Interactive Selection Sheet'!F217= "", VLOOKUP('Interactive Selection Sheet'!$G217, 'Master List Import'!$A$1:$P$519, 15, FALSE), ""), "")</f>
        <v>1</v>
      </c>
      <c r="R463" s="74">
        <f>_xlfn.IFNA(IF('Interactive Selection Sheet'!F217= "", VLOOKUP('Interactive Selection Sheet'!$G217, 'Master List Import'!$A$1:$P$519, 16, FALSE), ""), "")</f>
        <v>2.8</v>
      </c>
    </row>
    <row r="464" spans="1:18" ht="21.75" customHeight="1" x14ac:dyDescent="0.25">
      <c r="A464" s="69">
        <f>_xlfn.IFNA(IF('Interactive Selection Sheet'!F218= "", VLOOKUP('Interactive Selection Sheet'!$G218, 'Master List Import'!$A$1:$P$519, 2, FALSE), ""), "")</f>
        <v>7955</v>
      </c>
      <c r="B464" s="69" t="str">
        <f>_xlfn.IFNA(IF('Interactive Selection Sheet'!F218= "", VLOOKUP('Interactive Selection Sheet'!$G218, 'Master List Import'!$A$1:$P$519, 3, FALSE), ""), "")</f>
        <v>Tostitos Crispy Rounds, 3oz - 28/cs</v>
      </c>
      <c r="C464" s="76">
        <f>IF('Interactive Selection Sheet'!$T$2="", "", IF(B464="","",'Interactive Selection Sheet'!$T$2))</f>
        <v>3.5000000000000003E-2</v>
      </c>
      <c r="D464" s="70">
        <f>IF(B464 = "", "", 'Interactive Selection Sheet'!$P$2)</f>
        <v>4.4999999999999998E-2</v>
      </c>
      <c r="E464" s="70">
        <f>IF(B464="","", 'Interactive Selection Sheet'!$R$2)</f>
        <v>0.02</v>
      </c>
      <c r="F464" s="69" t="str">
        <f>_xlfn.IFNA(IF('Interactive Selection Sheet'!F218= "", VLOOKUP('Interactive Selection Sheet'!$G218, 'Master List Import'!$A$1:$P$519, 4, FALSE), ""), "")</f>
        <v>Snacks - Chips</v>
      </c>
      <c r="G464" s="69" t="str">
        <f>_xlfn.IFNA(IF('Interactive Selection Sheet'!F218= "", VLOOKUP('Interactive Selection Sheet'!$G218, 'Master List Import'!$A$1:$P$519, 5, FALSE), ""), "")</f>
        <v>Snacks - Chips</v>
      </c>
      <c r="H464" s="69" t="str">
        <f>_xlfn.IFNA(IF('Interactive Selection Sheet'!F218= "", VLOOKUP('Interactive Selection Sheet'!$G218, 'Master List Import'!$A$1:$P$519, 6, FALSE), ""), "")</f>
        <v>Both</v>
      </c>
      <c r="I464" s="72">
        <f>_xlfn.IFNA(IF('Interactive Selection Sheet'!F218= "", VLOOKUP('Interactive Selection Sheet'!$G218, 'Master List Import'!$A$1:$P$519, 7, FALSE), ""), "")</f>
        <v>0.52890000000000004</v>
      </c>
      <c r="J464" s="69" t="str">
        <f>_xlfn.IFNA(IF('Interactive Selection Sheet'!F218= "", VLOOKUP('Interactive Selection Sheet'!$G218, 'Master List Import'!$A$1:$P$519, 8, FALSE), ""), "")</f>
        <v>Vistar</v>
      </c>
      <c r="K464" s="69" t="str">
        <f>_xlfn.IFNA(IF('Interactive Selection Sheet'!F218= "", VLOOKUP('Interactive Selection Sheet'!$G218, 'Master List Import'!$A$1:$P$519, 9, FALSE), ""), "")</f>
        <v>FRI20871</v>
      </c>
      <c r="L464" s="69">
        <f>_xlfn.IFNA(IF('Interactive Selection Sheet'!F218= "", VLOOKUP('Interactive Selection Sheet'!$G218, 'Master List Import'!$A$1:$P$519, 10, FALSE), ""), "")</f>
        <v>0</v>
      </c>
      <c r="M464" s="69">
        <f>_xlfn.IFNA(IF('Interactive Selection Sheet'!F218= "", VLOOKUP('Interactive Selection Sheet'!$G218, 'Master List Import'!$A$1:$P$519, 11, FALSE), ""), "")</f>
        <v>0</v>
      </c>
      <c r="N464" s="69">
        <f>_xlfn.IFNA(IF('Interactive Selection Sheet'!F218= "", VLOOKUP('Interactive Selection Sheet'!$G218, 'Master List Import'!$A$1:$P$519, 12, FALSE), ""), "")</f>
        <v>28</v>
      </c>
      <c r="O464" s="69">
        <f>_xlfn.IFNA(IF('Interactive Selection Sheet'!F218= "", VLOOKUP('Interactive Selection Sheet'!$G218, 'Master List Import'!$A$1:$P$519, 13, FALSE), ""), "")</f>
        <v>7955</v>
      </c>
      <c r="P464" s="69" t="str">
        <f>_xlfn.IFNA(IF('Interactive Selection Sheet'!F218= "", VLOOKUP('Interactive Selection Sheet'!$G218, 'Master List Import'!$A$1:$P$519, 14, FALSE), ""), "")</f>
        <v>Tostitos Crispy Rounds</v>
      </c>
      <c r="Q464" s="69">
        <f>_xlfn.IFNA(IF('Interactive Selection Sheet'!F218= "", VLOOKUP('Interactive Selection Sheet'!$G218, 'Master List Import'!$A$1:$P$519, 15, FALSE), ""), "")</f>
        <v>1</v>
      </c>
      <c r="R464" s="74">
        <f>_xlfn.IFNA(IF('Interactive Selection Sheet'!F218= "", VLOOKUP('Interactive Selection Sheet'!$G218, 'Master List Import'!$A$1:$P$519, 16, FALSE), ""), "")</f>
        <v>1.75</v>
      </c>
    </row>
    <row r="465" spans="1:18" ht="21.75" customHeight="1" x14ac:dyDescent="0.25">
      <c r="A465" s="69">
        <f>_xlfn.IFNA(IF('Interactive Selection Sheet'!F219= "", VLOOKUP('Interactive Selection Sheet'!$G219, 'Master List Import'!$A$1:$P$519, 2, FALSE), ""), "")</f>
        <v>7956</v>
      </c>
      <c r="B465" s="69" t="str">
        <f>_xlfn.IFNA(IF('Interactive Selection Sheet'!F219= "", VLOOKUP('Interactive Selection Sheet'!$G219, 'Master List Import'!$A$1:$P$519, 3, FALSE), ""), "")</f>
        <v>Fritos Chili Cheese, 2oz - 64/cs</v>
      </c>
      <c r="C465" s="76">
        <f>IF('Interactive Selection Sheet'!$T$2="", "", IF(B465="","",'Interactive Selection Sheet'!$T$2))</f>
        <v>3.5000000000000003E-2</v>
      </c>
      <c r="D465" s="70">
        <f>IF(B465 = "", "", 'Interactive Selection Sheet'!$P$2)</f>
        <v>4.4999999999999998E-2</v>
      </c>
      <c r="E465" s="70">
        <f>IF(B465="","", 'Interactive Selection Sheet'!$R$2)</f>
        <v>0.02</v>
      </c>
      <c r="F465" s="69" t="str">
        <f>_xlfn.IFNA(IF('Interactive Selection Sheet'!F219= "", VLOOKUP('Interactive Selection Sheet'!$G219, 'Master List Import'!$A$1:$P$519, 4, FALSE), ""), "")</f>
        <v>Snacks - Chips</v>
      </c>
      <c r="G465" s="69" t="str">
        <f>_xlfn.IFNA(IF('Interactive Selection Sheet'!F219= "", VLOOKUP('Interactive Selection Sheet'!$G219, 'Master List Import'!$A$1:$P$519, 5, FALSE), ""), "")</f>
        <v>Snacks - Chips</v>
      </c>
      <c r="H465" s="69" t="str">
        <f>_xlfn.IFNA(IF('Interactive Selection Sheet'!F219= "", VLOOKUP('Interactive Selection Sheet'!$G219, 'Master List Import'!$A$1:$P$519, 6, FALSE), ""), "")</f>
        <v>Both</v>
      </c>
      <c r="I465" s="72">
        <f>_xlfn.IFNA(IF('Interactive Selection Sheet'!F219= "", VLOOKUP('Interactive Selection Sheet'!$G219, 'Master List Import'!$A$1:$P$519, 7, FALSE), ""), "")</f>
        <v>0.505</v>
      </c>
      <c r="J465" s="69" t="str">
        <f>_xlfn.IFNA(IF('Interactive Selection Sheet'!F219= "", VLOOKUP('Interactive Selection Sheet'!$G219, 'Master List Import'!$A$1:$P$519, 8, FALSE), ""), "")</f>
        <v>Vistar</v>
      </c>
      <c r="K465" s="69" t="str">
        <f>_xlfn.IFNA(IF('Interactive Selection Sheet'!F219= "", VLOOKUP('Interactive Selection Sheet'!$G219, 'Master List Import'!$A$1:$P$519, 9, FALSE), ""), "")</f>
        <v>FRI44354</v>
      </c>
      <c r="L465" s="69">
        <f>_xlfn.IFNA(IF('Interactive Selection Sheet'!F219= "", VLOOKUP('Interactive Selection Sheet'!$G219, 'Master List Import'!$A$1:$P$519, 10, FALSE), ""), "")</f>
        <v>0</v>
      </c>
      <c r="M465" s="69">
        <f>_xlfn.IFNA(IF('Interactive Selection Sheet'!F219= "", VLOOKUP('Interactive Selection Sheet'!$G219, 'Master List Import'!$A$1:$P$519, 11, FALSE), ""), "")</f>
        <v>0</v>
      </c>
      <c r="N465" s="69">
        <f>_xlfn.IFNA(IF('Interactive Selection Sheet'!F219= "", VLOOKUP('Interactive Selection Sheet'!$G219, 'Master List Import'!$A$1:$P$519, 12, FALSE), ""), "")</f>
        <v>64</v>
      </c>
      <c r="O465" s="69">
        <f>_xlfn.IFNA(IF('Interactive Selection Sheet'!F219= "", VLOOKUP('Interactive Selection Sheet'!$G219, 'Master List Import'!$A$1:$P$519, 13, FALSE), ""), "")</f>
        <v>7956</v>
      </c>
      <c r="P465" s="69" t="str">
        <f>_xlfn.IFNA(IF('Interactive Selection Sheet'!F219= "", VLOOKUP('Interactive Selection Sheet'!$G219, 'Master List Import'!$A$1:$P$519, 14, FALSE), ""), "")</f>
        <v>Chili Cheese Fritos</v>
      </c>
      <c r="Q465" s="69">
        <f>_xlfn.IFNA(IF('Interactive Selection Sheet'!F219= "", VLOOKUP('Interactive Selection Sheet'!$G219, 'Master List Import'!$A$1:$P$519, 15, FALSE), ""), "")</f>
        <v>1</v>
      </c>
      <c r="R465" s="74">
        <f>_xlfn.IFNA(IF('Interactive Selection Sheet'!F219= "", VLOOKUP('Interactive Selection Sheet'!$G219, 'Master List Import'!$A$1:$P$519, 16, FALSE), ""), "")</f>
        <v>1.65</v>
      </c>
    </row>
    <row r="466" spans="1:18" ht="21.75" customHeight="1" x14ac:dyDescent="0.25">
      <c r="A466" s="69">
        <f>_xlfn.IFNA(IF('Interactive Selection Sheet'!F220= "", VLOOKUP('Interactive Selection Sheet'!$G220, 'Master List Import'!$A$1:$P$519, 2, FALSE), ""), "")</f>
        <v>7958</v>
      </c>
      <c r="B466" s="69" t="str">
        <f>_xlfn.IFNA(IF('Interactive Selection Sheet'!F220= "", VLOOKUP('Interactive Selection Sheet'!$G220, 'Master List Import'!$A$1:$P$519, 3, FALSE), ""), "")</f>
        <v>Golden Gourmet Regular Corn Chips, 11oz</v>
      </c>
      <c r="C466" s="76">
        <f>IF('Interactive Selection Sheet'!$T$2="", "", IF(B466="","",'Interactive Selection Sheet'!$T$2))</f>
        <v>3.5000000000000003E-2</v>
      </c>
      <c r="D466" s="70">
        <f>IF(B466 = "", "", 'Interactive Selection Sheet'!$P$2)</f>
        <v>4.4999999999999998E-2</v>
      </c>
      <c r="E466" s="70">
        <f>IF(B466="","", 'Interactive Selection Sheet'!$R$2)</f>
        <v>0.02</v>
      </c>
      <c r="F466" s="69" t="str">
        <f>_xlfn.IFNA(IF('Interactive Selection Sheet'!F220= "", VLOOKUP('Interactive Selection Sheet'!$G220, 'Master List Import'!$A$1:$P$519, 4, FALSE), ""), "")</f>
        <v>Snacks - Chips</v>
      </c>
      <c r="G466" s="69" t="str">
        <f>_xlfn.IFNA(IF('Interactive Selection Sheet'!F220= "", VLOOKUP('Interactive Selection Sheet'!$G220, 'Master List Import'!$A$1:$P$519, 5, FALSE), ""), "")</f>
        <v>Snacks - Chips</v>
      </c>
      <c r="H466" s="69" t="str">
        <f>_xlfn.IFNA(IF('Interactive Selection Sheet'!F220= "", VLOOKUP('Interactive Selection Sheet'!$G220, 'Master List Import'!$A$1:$P$519, 6, FALSE), ""), "")</f>
        <v>Both</v>
      </c>
      <c r="I466" s="72">
        <f>_xlfn.IFNA(IF('Interactive Selection Sheet'!F220= "", VLOOKUP('Interactive Selection Sheet'!$G220, 'Master List Import'!$A$1:$P$519, 7, FALSE), ""), "")</f>
        <v>1.1499999999999999</v>
      </c>
      <c r="J466" s="69" t="str">
        <f>_xlfn.IFNA(IF('Interactive Selection Sheet'!F220= "", VLOOKUP('Interactive Selection Sheet'!$G220, 'Master List Import'!$A$1:$P$519, 8, FALSE), ""), "")</f>
        <v>REI</v>
      </c>
      <c r="K466" s="69" t="str">
        <f>_xlfn.IFNA(IF('Interactive Selection Sheet'!F220= "", VLOOKUP('Interactive Selection Sheet'!$G220, 'Master List Import'!$A$1:$P$519, 9, FALSE), ""), "")</f>
        <v>200643</v>
      </c>
      <c r="L466" s="69">
        <f>_xlfn.IFNA(IF('Interactive Selection Sheet'!F220= "", VLOOKUP('Interactive Selection Sheet'!$G220, 'Master List Import'!$A$1:$P$519, 10, FALSE), ""), "")</f>
        <v>0</v>
      </c>
      <c r="M466" s="69">
        <f>_xlfn.IFNA(IF('Interactive Selection Sheet'!F220= "", VLOOKUP('Interactive Selection Sheet'!$G220, 'Master List Import'!$A$1:$P$519, 11, FALSE), ""), "")</f>
        <v>0</v>
      </c>
      <c r="N466" s="69">
        <f>_xlfn.IFNA(IF('Interactive Selection Sheet'!F220= "", VLOOKUP('Interactive Selection Sheet'!$G220, 'Master List Import'!$A$1:$P$519, 12, FALSE), ""), "")</f>
        <v>12</v>
      </c>
      <c r="O466" s="69">
        <f>_xlfn.IFNA(IF('Interactive Selection Sheet'!F220= "", VLOOKUP('Interactive Selection Sheet'!$G220, 'Master List Import'!$A$1:$P$519, 13, FALSE), ""), "")</f>
        <v>7958</v>
      </c>
      <c r="P466" s="69" t="str">
        <f>_xlfn.IFNA(IF('Interactive Selection Sheet'!F220= "", VLOOKUP('Interactive Selection Sheet'!$G220, 'Master List Import'!$A$1:$P$519, 14, FALSE), ""), "")</f>
        <v>Regular Corn Chips</v>
      </c>
      <c r="Q466" s="69">
        <f>_xlfn.IFNA(IF('Interactive Selection Sheet'!F220= "", VLOOKUP('Interactive Selection Sheet'!$G220, 'Master List Import'!$A$1:$P$519, 15, FALSE), ""), "")</f>
        <v>1</v>
      </c>
      <c r="R466" s="74">
        <f>_xlfn.IFNA(IF('Interactive Selection Sheet'!F220= "", VLOOKUP('Interactive Selection Sheet'!$G220, 'Master List Import'!$A$1:$P$519, 16, FALSE), ""), "")</f>
        <v>3.5</v>
      </c>
    </row>
    <row r="467" spans="1:18" ht="21.75" customHeight="1" x14ac:dyDescent="0.25">
      <c r="A467" s="69">
        <f>_xlfn.IFNA(IF('Interactive Selection Sheet'!F221= "", VLOOKUP('Interactive Selection Sheet'!$G221, 'Master List Import'!$A$1:$P$519, 2, FALSE), ""), "")</f>
        <v>7970</v>
      </c>
      <c r="B467" s="69" t="str">
        <f>_xlfn.IFNA(IF('Interactive Selection Sheet'!F221= "", VLOOKUP('Interactive Selection Sheet'!$G221, 'Master List Import'!$A$1:$P$519, 3, FALSE), ""), "")</f>
        <v>Ruffles Regular Chips, 1.5oz - 64/cs</v>
      </c>
      <c r="C467" s="76">
        <f>IF('Interactive Selection Sheet'!$T$2="", "", IF(B467="","",'Interactive Selection Sheet'!$T$2))</f>
        <v>3.5000000000000003E-2</v>
      </c>
      <c r="D467" s="70">
        <f>IF(B467 = "", "", 'Interactive Selection Sheet'!$P$2)</f>
        <v>4.4999999999999998E-2</v>
      </c>
      <c r="E467" s="70">
        <f>IF(B467="","", 'Interactive Selection Sheet'!$R$2)</f>
        <v>0.02</v>
      </c>
      <c r="F467" s="69" t="str">
        <f>_xlfn.IFNA(IF('Interactive Selection Sheet'!F221= "", VLOOKUP('Interactive Selection Sheet'!$G221, 'Master List Import'!$A$1:$P$519, 4, FALSE), ""), "")</f>
        <v>Snacks - Chips</v>
      </c>
      <c r="G467" s="69" t="str">
        <f>_xlfn.IFNA(IF('Interactive Selection Sheet'!F221= "", VLOOKUP('Interactive Selection Sheet'!$G221, 'Master List Import'!$A$1:$P$519, 5, FALSE), ""), "")</f>
        <v>Snacks - Chips</v>
      </c>
      <c r="H467" s="69" t="str">
        <f>_xlfn.IFNA(IF('Interactive Selection Sheet'!F221= "", VLOOKUP('Interactive Selection Sheet'!$G221, 'Master List Import'!$A$1:$P$519, 6, FALSE), ""), "")</f>
        <v>Both</v>
      </c>
      <c r="I467" s="72">
        <f>_xlfn.IFNA(IF('Interactive Selection Sheet'!F221= "", VLOOKUP('Interactive Selection Sheet'!$G221, 'Master List Import'!$A$1:$P$519, 7, FALSE), ""), "")</f>
        <v>0.505</v>
      </c>
      <c r="J467" s="69" t="str">
        <f>_xlfn.IFNA(IF('Interactive Selection Sheet'!F221= "", VLOOKUP('Interactive Selection Sheet'!$G221, 'Master List Import'!$A$1:$P$519, 8, FALSE), ""), "")</f>
        <v>Vistar</v>
      </c>
      <c r="K467" s="69" t="str">
        <f>_xlfn.IFNA(IF('Interactive Selection Sheet'!F221= "", VLOOKUP('Interactive Selection Sheet'!$G221, 'Master List Import'!$A$1:$P$519, 9, FALSE), ""), "")</f>
        <v>FRI44363</v>
      </c>
      <c r="L467" s="69">
        <f>_xlfn.IFNA(IF('Interactive Selection Sheet'!F221= "", VLOOKUP('Interactive Selection Sheet'!$G221, 'Master List Import'!$A$1:$P$519, 10, FALSE), ""), "")</f>
        <v>0</v>
      </c>
      <c r="M467" s="69">
        <f>_xlfn.IFNA(IF('Interactive Selection Sheet'!F221= "", VLOOKUP('Interactive Selection Sheet'!$G221, 'Master List Import'!$A$1:$P$519, 11, FALSE), ""), "")</f>
        <v>0</v>
      </c>
      <c r="N467" s="69">
        <f>_xlfn.IFNA(IF('Interactive Selection Sheet'!F221= "", VLOOKUP('Interactive Selection Sheet'!$G221, 'Master List Import'!$A$1:$P$519, 12, FALSE), ""), "")</f>
        <v>64</v>
      </c>
      <c r="O467" s="69">
        <f>_xlfn.IFNA(IF('Interactive Selection Sheet'!F221= "", VLOOKUP('Interactive Selection Sheet'!$G221, 'Master List Import'!$A$1:$P$519, 13, FALSE), ""), "")</f>
        <v>7970</v>
      </c>
      <c r="P467" s="69" t="str">
        <f>_xlfn.IFNA(IF('Interactive Selection Sheet'!F221= "", VLOOKUP('Interactive Selection Sheet'!$G221, 'Master List Import'!$A$1:$P$519, 14, FALSE), ""), "")</f>
        <v>Ruffles</v>
      </c>
      <c r="Q467" s="69">
        <f>_xlfn.IFNA(IF('Interactive Selection Sheet'!F221= "", VLOOKUP('Interactive Selection Sheet'!$G221, 'Master List Import'!$A$1:$P$519, 15, FALSE), ""), "")</f>
        <v>1</v>
      </c>
      <c r="R467" s="74">
        <f>_xlfn.IFNA(IF('Interactive Selection Sheet'!F221= "", VLOOKUP('Interactive Selection Sheet'!$G221, 'Master List Import'!$A$1:$P$519, 16, FALSE), ""), "")</f>
        <v>1.45</v>
      </c>
    </row>
    <row r="468" spans="1:18" ht="21.75" customHeight="1" x14ac:dyDescent="0.25">
      <c r="A468" s="69">
        <f>_xlfn.IFNA(IF('Interactive Selection Sheet'!F222= "", VLOOKUP('Interactive Selection Sheet'!$G222, 'Master List Import'!$A$1:$P$519, 2, FALSE), ""), "")</f>
        <v>7971</v>
      </c>
      <c r="B468" s="69" t="str">
        <f>_xlfn.IFNA(IF('Interactive Selection Sheet'!F222= "", VLOOKUP('Interactive Selection Sheet'!$G222, 'Master List Import'!$A$1:$P$519, 3, FALSE), ""), "")</f>
        <v>Herr's Baby Back Rib Chips, 1.5oz - 30/cs</v>
      </c>
      <c r="C468" s="76">
        <f>IF('Interactive Selection Sheet'!$T$2="", "", IF(B468="","",'Interactive Selection Sheet'!$T$2))</f>
        <v>3.5000000000000003E-2</v>
      </c>
      <c r="D468" s="70">
        <f>IF(B468 = "", "", 'Interactive Selection Sheet'!$P$2)</f>
        <v>4.4999999999999998E-2</v>
      </c>
      <c r="E468" s="70">
        <f>IF(B468="","", 'Interactive Selection Sheet'!$R$2)</f>
        <v>0.02</v>
      </c>
      <c r="F468" s="69" t="str">
        <f>_xlfn.IFNA(IF('Interactive Selection Sheet'!F222= "", VLOOKUP('Interactive Selection Sheet'!$G222, 'Master List Import'!$A$1:$P$519, 4, FALSE), ""), "")</f>
        <v>Snacks - Chips</v>
      </c>
      <c r="G468" s="69" t="str">
        <f>_xlfn.IFNA(IF('Interactive Selection Sheet'!F222= "", VLOOKUP('Interactive Selection Sheet'!$G222, 'Master List Import'!$A$1:$P$519, 5, FALSE), ""), "")</f>
        <v>Snacks - Chips</v>
      </c>
      <c r="H468" s="69" t="str">
        <f>_xlfn.IFNA(IF('Interactive Selection Sheet'!F222= "", VLOOKUP('Interactive Selection Sheet'!$G222, 'Master List Import'!$A$1:$P$519, 6, FALSE), ""), "")</f>
        <v>Both</v>
      </c>
      <c r="I468" s="72">
        <f>_xlfn.IFNA(IF('Interactive Selection Sheet'!F222= "", VLOOKUP('Interactive Selection Sheet'!$G222, 'Master List Import'!$A$1:$P$519, 7, FALSE), ""), "")</f>
        <v>0.47799999999999998</v>
      </c>
      <c r="J468" s="69" t="str">
        <f>_xlfn.IFNA(IF('Interactive Selection Sheet'!F222= "", VLOOKUP('Interactive Selection Sheet'!$G222, 'Master List Import'!$A$1:$P$519, 8, FALSE), ""), "")</f>
        <v>Vistar</v>
      </c>
      <c r="K468" s="69" t="str">
        <f>_xlfn.IFNA(IF('Interactive Selection Sheet'!F222= "", VLOOKUP('Interactive Selection Sheet'!$G222, 'Master List Import'!$A$1:$P$519, 9, FALSE), ""), "")</f>
        <v>HRR057</v>
      </c>
      <c r="L468" s="69">
        <f>_xlfn.IFNA(IF('Interactive Selection Sheet'!F222= "", VLOOKUP('Interactive Selection Sheet'!$G222, 'Master List Import'!$A$1:$P$519, 10, FALSE), ""), "")</f>
        <v>0</v>
      </c>
      <c r="M468" s="69">
        <f>_xlfn.IFNA(IF('Interactive Selection Sheet'!F222= "", VLOOKUP('Interactive Selection Sheet'!$G222, 'Master List Import'!$A$1:$P$519, 11, FALSE), ""), "")</f>
        <v>0</v>
      </c>
      <c r="N468" s="69">
        <f>_xlfn.IFNA(IF('Interactive Selection Sheet'!F222= "", VLOOKUP('Interactive Selection Sheet'!$G222, 'Master List Import'!$A$1:$P$519, 12, FALSE), ""), "")</f>
        <v>30</v>
      </c>
      <c r="O468" s="69">
        <f>_xlfn.IFNA(IF('Interactive Selection Sheet'!F222= "", VLOOKUP('Interactive Selection Sheet'!$G222, 'Master List Import'!$A$1:$P$519, 13, FALSE), ""), "")</f>
        <v>7971</v>
      </c>
      <c r="P468" s="69" t="str">
        <f>_xlfn.IFNA(IF('Interactive Selection Sheet'!F222= "", VLOOKUP('Interactive Selection Sheet'!$G222, 'Master List Import'!$A$1:$P$519, 14, FALSE), ""), "")</f>
        <v>Baby Back Rib Chips</v>
      </c>
      <c r="Q468" s="69">
        <f>_xlfn.IFNA(IF('Interactive Selection Sheet'!F222= "", VLOOKUP('Interactive Selection Sheet'!$G222, 'Master List Import'!$A$1:$P$519, 15, FALSE), ""), "")</f>
        <v>1</v>
      </c>
      <c r="R468" s="74">
        <f>_xlfn.IFNA(IF('Interactive Selection Sheet'!F222= "", VLOOKUP('Interactive Selection Sheet'!$G222, 'Master List Import'!$A$1:$P$519, 16, FALSE), ""), "")</f>
        <v>1.55</v>
      </c>
    </row>
    <row r="469" spans="1:18" ht="21.75" customHeight="1" x14ac:dyDescent="0.25">
      <c r="A469" s="69">
        <f>_xlfn.IFNA(IF('Interactive Selection Sheet'!F223= "", VLOOKUP('Interactive Selection Sheet'!$G223, 'Master List Import'!$A$1:$P$519, 2, FALSE), ""), "")</f>
        <v>7973</v>
      </c>
      <c r="B469" s="69" t="str">
        <f>_xlfn.IFNA(IF('Interactive Selection Sheet'!F223= "", VLOOKUP('Interactive Selection Sheet'!$G223, 'Master List Import'!$A$1:$P$519, 3, FALSE), ""), "")</f>
        <v>Herr's Creamy Ranch &amp; Habanero Chips, 1.5oz - 30/cs</v>
      </c>
      <c r="C469" s="76">
        <f>IF('Interactive Selection Sheet'!$T$2="", "", IF(B469="","",'Interactive Selection Sheet'!$T$2))</f>
        <v>3.5000000000000003E-2</v>
      </c>
      <c r="D469" s="70">
        <f>IF(B469 = "", "", 'Interactive Selection Sheet'!$P$2)</f>
        <v>4.4999999999999998E-2</v>
      </c>
      <c r="E469" s="70">
        <f>IF(B469="","", 'Interactive Selection Sheet'!$R$2)</f>
        <v>0.02</v>
      </c>
      <c r="F469" s="69" t="str">
        <f>_xlfn.IFNA(IF('Interactive Selection Sheet'!F223= "", VLOOKUP('Interactive Selection Sheet'!$G223, 'Master List Import'!$A$1:$P$519, 4, FALSE), ""), "")</f>
        <v>Snacks - Chips</v>
      </c>
      <c r="G469" s="69" t="str">
        <f>_xlfn.IFNA(IF('Interactive Selection Sheet'!F223= "", VLOOKUP('Interactive Selection Sheet'!$G223, 'Master List Import'!$A$1:$P$519, 5, FALSE), ""), "")</f>
        <v>Snacks - Chips</v>
      </c>
      <c r="H469" s="69" t="str">
        <f>_xlfn.IFNA(IF('Interactive Selection Sheet'!F223= "", VLOOKUP('Interactive Selection Sheet'!$G223, 'Master List Import'!$A$1:$P$519, 6, FALSE), ""), "")</f>
        <v>Both</v>
      </c>
      <c r="I469" s="72">
        <f>_xlfn.IFNA(IF('Interactive Selection Sheet'!F223= "", VLOOKUP('Interactive Selection Sheet'!$G223, 'Master List Import'!$A$1:$P$519, 7, FALSE), ""), "")</f>
        <v>0.498</v>
      </c>
      <c r="J469" s="69" t="str">
        <f>_xlfn.IFNA(IF('Interactive Selection Sheet'!F223= "", VLOOKUP('Interactive Selection Sheet'!$G223, 'Master List Import'!$A$1:$P$519, 8, FALSE), ""), "")</f>
        <v>Vistar</v>
      </c>
      <c r="K469" s="69" t="str">
        <f>_xlfn.IFNA(IF('Interactive Selection Sheet'!F223= "", VLOOKUP('Interactive Selection Sheet'!$G223, 'Master List Import'!$A$1:$P$519, 9, FALSE), ""), "")</f>
        <v>HRR06133</v>
      </c>
      <c r="L469" s="69">
        <f>_xlfn.IFNA(IF('Interactive Selection Sheet'!F223= "", VLOOKUP('Interactive Selection Sheet'!$G223, 'Master List Import'!$A$1:$P$519, 10, FALSE), ""), "")</f>
        <v>0</v>
      </c>
      <c r="M469" s="69">
        <f>_xlfn.IFNA(IF('Interactive Selection Sheet'!F223= "", VLOOKUP('Interactive Selection Sheet'!$G223, 'Master List Import'!$A$1:$P$519, 11, FALSE), ""), "")</f>
        <v>0</v>
      </c>
      <c r="N469" s="69">
        <f>_xlfn.IFNA(IF('Interactive Selection Sheet'!F223= "", VLOOKUP('Interactive Selection Sheet'!$G223, 'Master List Import'!$A$1:$P$519, 12, FALSE), ""), "")</f>
        <v>30</v>
      </c>
      <c r="O469" s="69">
        <f>_xlfn.IFNA(IF('Interactive Selection Sheet'!F223= "", VLOOKUP('Interactive Selection Sheet'!$G223, 'Master List Import'!$A$1:$P$519, 13, FALSE), ""), "")</f>
        <v>7973</v>
      </c>
      <c r="P469" s="69" t="str">
        <f>_xlfn.IFNA(IF('Interactive Selection Sheet'!F223= "", VLOOKUP('Interactive Selection Sheet'!$G223, 'Master List Import'!$A$1:$P$519, 14, FALSE), ""), "")</f>
        <v>Creamy Ranch &amp; Habanero Chips</v>
      </c>
      <c r="Q469" s="69">
        <f>_xlfn.IFNA(IF('Interactive Selection Sheet'!F223= "", VLOOKUP('Interactive Selection Sheet'!$G223, 'Master List Import'!$A$1:$P$519, 15, FALSE), ""), "")</f>
        <v>1</v>
      </c>
      <c r="R469" s="74">
        <f>_xlfn.IFNA(IF('Interactive Selection Sheet'!F223= "", VLOOKUP('Interactive Selection Sheet'!$G223, 'Master List Import'!$A$1:$P$519, 16, FALSE), ""), "")</f>
        <v>1.5</v>
      </c>
    </row>
    <row r="470" spans="1:18" ht="21.75" customHeight="1" x14ac:dyDescent="0.25">
      <c r="A470" s="69">
        <f>_xlfn.IFNA(IF('Interactive Selection Sheet'!F224= "", VLOOKUP('Interactive Selection Sheet'!$G224, 'Master List Import'!$A$1:$P$519, 2, FALSE), ""), "")</f>
        <v>7974</v>
      </c>
      <c r="B470" s="69" t="str">
        <f>_xlfn.IFNA(IF('Interactive Selection Sheet'!F224= "", VLOOKUP('Interactive Selection Sheet'!$G224, 'Master List Import'!$A$1:$P$519, 3, FALSE), ""), "")</f>
        <v>Ruffles Cheddar &amp; Sour Cream, 1.5oz - 64/cs</v>
      </c>
      <c r="C470" s="76">
        <f>IF('Interactive Selection Sheet'!$T$2="", "", IF(B470="","",'Interactive Selection Sheet'!$T$2))</f>
        <v>3.5000000000000003E-2</v>
      </c>
      <c r="D470" s="70">
        <f>IF(B470 = "", "", 'Interactive Selection Sheet'!$P$2)</f>
        <v>4.4999999999999998E-2</v>
      </c>
      <c r="E470" s="70">
        <f>IF(B470="","", 'Interactive Selection Sheet'!$R$2)</f>
        <v>0.02</v>
      </c>
      <c r="F470" s="69" t="str">
        <f>_xlfn.IFNA(IF('Interactive Selection Sheet'!F224= "", VLOOKUP('Interactive Selection Sheet'!$G224, 'Master List Import'!$A$1:$P$519, 4, FALSE), ""), "")</f>
        <v>Snacks - Chips</v>
      </c>
      <c r="G470" s="69" t="str">
        <f>_xlfn.IFNA(IF('Interactive Selection Sheet'!F224= "", VLOOKUP('Interactive Selection Sheet'!$G224, 'Master List Import'!$A$1:$P$519, 5, FALSE), ""), "")</f>
        <v>Snacks - Chips</v>
      </c>
      <c r="H470" s="69" t="str">
        <f>_xlfn.IFNA(IF('Interactive Selection Sheet'!F224= "", VLOOKUP('Interactive Selection Sheet'!$G224, 'Master List Import'!$A$1:$P$519, 6, FALSE), ""), "")</f>
        <v>Both</v>
      </c>
      <c r="I470" s="72">
        <f>_xlfn.IFNA(IF('Interactive Selection Sheet'!F224= "", VLOOKUP('Interactive Selection Sheet'!$G224, 'Master List Import'!$A$1:$P$519, 7, FALSE), ""), "")</f>
        <v>0.505</v>
      </c>
      <c r="J470" s="69" t="str">
        <f>_xlfn.IFNA(IF('Interactive Selection Sheet'!F224= "", VLOOKUP('Interactive Selection Sheet'!$G224, 'Master List Import'!$A$1:$P$519, 8, FALSE), ""), "")</f>
        <v>Vistar</v>
      </c>
      <c r="K470" s="69" t="str">
        <f>_xlfn.IFNA(IF('Interactive Selection Sheet'!F224= "", VLOOKUP('Interactive Selection Sheet'!$G224, 'Master List Import'!$A$1:$P$519, 9, FALSE), ""), "")</f>
        <v>FRI44365</v>
      </c>
      <c r="L470" s="69">
        <f>_xlfn.IFNA(IF('Interactive Selection Sheet'!F224= "", VLOOKUP('Interactive Selection Sheet'!$G224, 'Master List Import'!$A$1:$P$519, 10, FALSE), ""), "")</f>
        <v>0</v>
      </c>
      <c r="M470" s="69">
        <f>_xlfn.IFNA(IF('Interactive Selection Sheet'!F224= "", VLOOKUP('Interactive Selection Sheet'!$G224, 'Master List Import'!$A$1:$P$519, 11, FALSE), ""), "")</f>
        <v>0</v>
      </c>
      <c r="N470" s="69">
        <f>_xlfn.IFNA(IF('Interactive Selection Sheet'!F224= "", VLOOKUP('Interactive Selection Sheet'!$G224, 'Master List Import'!$A$1:$P$519, 12, FALSE), ""), "")</f>
        <v>64</v>
      </c>
      <c r="O470" s="69">
        <f>_xlfn.IFNA(IF('Interactive Selection Sheet'!F224= "", VLOOKUP('Interactive Selection Sheet'!$G224, 'Master List Import'!$A$1:$P$519, 13, FALSE), ""), "")</f>
        <v>7974</v>
      </c>
      <c r="P470" s="69" t="str">
        <f>_xlfn.IFNA(IF('Interactive Selection Sheet'!F224= "", VLOOKUP('Interactive Selection Sheet'!$G224, 'Master List Import'!$A$1:$P$519, 14, FALSE), ""), "")</f>
        <v>Ruffles Cheddar &amp; Sour Cream</v>
      </c>
      <c r="Q470" s="69">
        <f>_xlfn.IFNA(IF('Interactive Selection Sheet'!F224= "", VLOOKUP('Interactive Selection Sheet'!$G224, 'Master List Import'!$A$1:$P$519, 15, FALSE), ""), "")</f>
        <v>1</v>
      </c>
      <c r="R470" s="74">
        <f>_xlfn.IFNA(IF('Interactive Selection Sheet'!F224= "", VLOOKUP('Interactive Selection Sheet'!$G224, 'Master List Import'!$A$1:$P$519, 16, FALSE), ""), "")</f>
        <v>1.45</v>
      </c>
    </row>
    <row r="471" spans="1:18" ht="21.75" customHeight="1" x14ac:dyDescent="0.25">
      <c r="A471" s="69">
        <f>_xlfn.IFNA(IF('Interactive Selection Sheet'!$K194= "", VLOOKUP('Interactive Selection Sheet'!$L194, 'Master List Import'!$A$1:$P$519, 2, FALSE), ""), "")</f>
        <v>8000</v>
      </c>
      <c r="B471" s="69" t="str">
        <f>_xlfn.IFNA(IF('Interactive Selection Sheet'!$K194= "", VLOOKUP('Interactive Selection Sheet'!$L194, 'Master List Import'!$A$1:$P$519, 3, FALSE), ""), "")</f>
        <v>Ramen Noodles, Beef, 3oz - 24/cs</v>
      </c>
      <c r="C471" s="76">
        <f>IF('Interactive Selection Sheet'!$T$2="", "", IF(B471="","",'Interactive Selection Sheet'!$T$2))</f>
        <v>3.5000000000000003E-2</v>
      </c>
      <c r="D471" s="70">
        <f>IF(B471 = "", "", 'Interactive Selection Sheet'!$P$2)</f>
        <v>4.4999999999999998E-2</v>
      </c>
      <c r="E471" s="70">
        <f>IF(B471="","", 'Interactive Selection Sheet'!$R$2)</f>
        <v>0.02</v>
      </c>
      <c r="F471" s="69" t="str">
        <f>_xlfn.IFNA(IF('Interactive Selection Sheet'!K194= "", VLOOKUP('Interactive Selection Sheet'!$L194, 'Master List Import'!$A$1:$P$519, 4, FALSE), ""), "")</f>
        <v>Noodles</v>
      </c>
      <c r="G471" s="69" t="str">
        <f>_xlfn.IFNA(IF('Interactive Selection Sheet'!K194= "", VLOOKUP('Interactive Selection Sheet'!$L194, 'Master List Import'!$A$1:$P$519, 5, FALSE), ""), "")</f>
        <v>Noodles</v>
      </c>
      <c r="H471" s="69" t="str">
        <f>_xlfn.IFNA(IF('Interactive Selection Sheet'!K194= "", VLOOKUP('Interactive Selection Sheet'!$L194, 'Master List Import'!$A$1:$P$519, 6, FALSE), ""), "")</f>
        <v>Both</v>
      </c>
      <c r="I471" s="72">
        <f>_xlfn.IFNA(IF('Interactive Selection Sheet'!K194= "", VLOOKUP('Interactive Selection Sheet'!$L194, 'Master List Import'!$A$1:$P$519, 7, FALSE), ""), "")</f>
        <v>0.22450000000000001</v>
      </c>
      <c r="J471" s="69" t="str">
        <f>_xlfn.IFNA(IF('Interactive Selection Sheet'!K194= "", VLOOKUP('Interactive Selection Sheet'!$L194, 'Master List Import'!$A$1:$P$519, 8, FALSE), ""), "")</f>
        <v>REI</v>
      </c>
      <c r="K471" s="69" t="str">
        <f>_xlfn.IFNA(IF('Interactive Selection Sheet'!K194= "", VLOOKUP('Interactive Selection Sheet'!$L194, 'Master List Import'!$A$1:$P$519, 9, FALSE), ""), "")</f>
        <v>143891</v>
      </c>
      <c r="L471" s="69">
        <f>_xlfn.IFNA(IF('Interactive Selection Sheet'!K194= "", VLOOKUP('Interactive Selection Sheet'!$L194, 'Master List Import'!$A$1:$P$519, 10, FALSE), ""), "")</f>
        <v>0</v>
      </c>
      <c r="M471" s="69">
        <f>_xlfn.IFNA(IF('Interactive Selection Sheet'!K194= "", VLOOKUP('Interactive Selection Sheet'!$L194, 'Master List Import'!$A$1:$P$519, 11, FALSE), ""), "")</f>
        <v>0</v>
      </c>
      <c r="N471" s="69">
        <f>_xlfn.IFNA(IF('Interactive Selection Sheet'!K194= "", VLOOKUP('Interactive Selection Sheet'!$L194, 'Master List Import'!$A$1:$P$519, 12, FALSE), ""), "")</f>
        <v>24</v>
      </c>
      <c r="O471" s="69">
        <f>_xlfn.IFNA(IF('Interactive Selection Sheet'!K194= "", VLOOKUP('Interactive Selection Sheet'!$L194, 'Master List Import'!$A$1:$P$519, 13, FALSE), ""), "")</f>
        <v>8000</v>
      </c>
      <c r="P471" s="69" t="str">
        <f>_xlfn.IFNA(IF('Interactive Selection Sheet'!K194= "", VLOOKUP('Interactive Selection Sheet'!$L194, 'Master List Import'!$A$1:$P$519, 14, FALSE), ""), "")</f>
        <v>Beef Ramen Noodles</v>
      </c>
      <c r="Q471" s="69">
        <f>_xlfn.IFNA(IF('Interactive Selection Sheet'!K194= "", VLOOKUP('Interactive Selection Sheet'!$L194, 'Master List Import'!$A$1:$P$519, 15, FALSE), ""), "")</f>
        <v>1</v>
      </c>
      <c r="R471" s="74">
        <f>_xlfn.IFNA(IF('Interactive Selection Sheet'!K194= "", VLOOKUP('Interactive Selection Sheet'!$L194, 'Master List Import'!$A$1:$P$519, 16, FALSE), ""), "")</f>
        <v>0.95</v>
      </c>
    </row>
    <row r="472" spans="1:18" ht="21.75" customHeight="1" x14ac:dyDescent="0.25">
      <c r="A472" s="69">
        <f>_xlfn.IFNA(IF('Interactive Selection Sheet'!$K195= "", VLOOKUP('Interactive Selection Sheet'!$L195, 'Master List Import'!$A$1:$P$519, 2, FALSE), ""), "")</f>
        <v>8001</v>
      </c>
      <c r="B472" s="69" t="str">
        <f>_xlfn.IFNA(IF('Interactive Selection Sheet'!$K195= "", VLOOKUP('Interactive Selection Sheet'!$L195, 'Master List Import'!$A$1:$P$519, 3, FALSE), ""), "")</f>
        <v>Ramen Noodles, Picante Beef, 3oz - 24/cs</v>
      </c>
      <c r="C472" s="76">
        <f>IF('Interactive Selection Sheet'!$T$2="", "", IF(B472="","",'Interactive Selection Sheet'!$T$2))</f>
        <v>3.5000000000000003E-2</v>
      </c>
      <c r="D472" s="70">
        <f>IF(B472 = "", "", 'Interactive Selection Sheet'!$P$2)</f>
        <v>4.4999999999999998E-2</v>
      </c>
      <c r="E472" s="70">
        <f>IF(B472="","", 'Interactive Selection Sheet'!$R$2)</f>
        <v>0.02</v>
      </c>
      <c r="F472" s="69" t="str">
        <f>_xlfn.IFNA(IF('Interactive Selection Sheet'!K195= "", VLOOKUP('Interactive Selection Sheet'!$L195, 'Master List Import'!$A$1:$P$519, 4, FALSE), ""), "")</f>
        <v>Noodles</v>
      </c>
      <c r="G472" s="69" t="str">
        <f>_xlfn.IFNA(IF('Interactive Selection Sheet'!K195= "", VLOOKUP('Interactive Selection Sheet'!$L195, 'Master List Import'!$A$1:$P$519, 5, FALSE), ""), "")</f>
        <v>Noodles</v>
      </c>
      <c r="H472" s="69" t="str">
        <f>_xlfn.IFNA(IF('Interactive Selection Sheet'!K195= "", VLOOKUP('Interactive Selection Sheet'!$L195, 'Master List Import'!$A$1:$P$519, 6, FALSE), ""), "")</f>
        <v>Both</v>
      </c>
      <c r="I472" s="72">
        <f>_xlfn.IFNA(IF('Interactive Selection Sheet'!K195= "", VLOOKUP('Interactive Selection Sheet'!$L195, 'Master List Import'!$A$1:$P$519, 7, FALSE), ""), "")</f>
        <v>0.2</v>
      </c>
      <c r="J472" s="69" t="str">
        <f>_xlfn.IFNA(IF('Interactive Selection Sheet'!K195= "", VLOOKUP('Interactive Selection Sheet'!$L195, 'Master List Import'!$A$1:$P$519, 8, FALSE), ""), "")</f>
        <v>REI</v>
      </c>
      <c r="K472" s="69" t="str">
        <f>_xlfn.IFNA(IF('Interactive Selection Sheet'!K195= "", VLOOKUP('Interactive Selection Sheet'!$L195, 'Master List Import'!$A$1:$P$519, 9, FALSE), ""), "")</f>
        <v>144706</v>
      </c>
      <c r="L472" s="69">
        <f>_xlfn.IFNA(IF('Interactive Selection Sheet'!K195= "", VLOOKUP('Interactive Selection Sheet'!$L195, 'Master List Import'!$A$1:$P$519, 10, FALSE), ""), "")</f>
        <v>0</v>
      </c>
      <c r="M472" s="69">
        <f>_xlfn.IFNA(IF('Interactive Selection Sheet'!K195= "", VLOOKUP('Interactive Selection Sheet'!$L195, 'Master List Import'!$A$1:$P$519, 11, FALSE), ""), "")</f>
        <v>0</v>
      </c>
      <c r="N472" s="69">
        <f>_xlfn.IFNA(IF('Interactive Selection Sheet'!K195= "", VLOOKUP('Interactive Selection Sheet'!$L195, 'Master List Import'!$A$1:$P$519, 12, FALSE), ""), "")</f>
        <v>24</v>
      </c>
      <c r="O472" s="69">
        <f>_xlfn.IFNA(IF('Interactive Selection Sheet'!K195= "", VLOOKUP('Interactive Selection Sheet'!$L195, 'Master List Import'!$A$1:$P$519, 13, FALSE), ""), "")</f>
        <v>8001</v>
      </c>
      <c r="P472" s="69" t="str">
        <f>_xlfn.IFNA(IF('Interactive Selection Sheet'!K195= "", VLOOKUP('Interactive Selection Sheet'!$L195, 'Master List Import'!$A$1:$P$519, 14, FALSE), ""), "")</f>
        <v>Picante Beef Ramen Noodles</v>
      </c>
      <c r="Q472" s="69">
        <f>_xlfn.IFNA(IF('Interactive Selection Sheet'!K195= "", VLOOKUP('Interactive Selection Sheet'!$L195, 'Master List Import'!$A$1:$P$519, 15, FALSE), ""), "")</f>
        <v>1</v>
      </c>
      <c r="R472" s="74">
        <f>_xlfn.IFNA(IF('Interactive Selection Sheet'!K195= "", VLOOKUP('Interactive Selection Sheet'!$L195, 'Master List Import'!$A$1:$P$519, 16, FALSE), ""), "")</f>
        <v>0.95</v>
      </c>
    </row>
    <row r="473" spans="1:18" ht="21.75" customHeight="1" x14ac:dyDescent="0.25">
      <c r="A473" s="69">
        <f>_xlfn.IFNA(IF('Interactive Selection Sheet'!$K196= "", VLOOKUP('Interactive Selection Sheet'!$L196, 'Master List Import'!$A$1:$P$519, 2, FALSE), ""), "")</f>
        <v>8002</v>
      </c>
      <c r="B473" s="69" t="str">
        <f>_xlfn.IFNA(IF('Interactive Selection Sheet'!$K196= "", VLOOKUP('Interactive Selection Sheet'!$L196, 'Master List Import'!$A$1:$P$519, 3, FALSE), ""), "")</f>
        <v>Ramen Noodles, Roasted Beef, 3oz - 24/cs</v>
      </c>
      <c r="C473" s="76">
        <f>IF('Interactive Selection Sheet'!$T$2="", "", IF(B473="","",'Interactive Selection Sheet'!$T$2))</f>
        <v>3.5000000000000003E-2</v>
      </c>
      <c r="D473" s="70">
        <f>IF(B473 = "", "", 'Interactive Selection Sheet'!$P$2)</f>
        <v>4.4999999999999998E-2</v>
      </c>
      <c r="E473" s="70">
        <f>IF(B473="","", 'Interactive Selection Sheet'!$R$2)</f>
        <v>0.02</v>
      </c>
      <c r="F473" s="69" t="str">
        <f>_xlfn.IFNA(IF('Interactive Selection Sheet'!K196= "", VLOOKUP('Interactive Selection Sheet'!$L196, 'Master List Import'!$A$1:$P$519, 4, FALSE), ""), "")</f>
        <v>Noodles</v>
      </c>
      <c r="G473" s="69" t="str">
        <f>_xlfn.IFNA(IF('Interactive Selection Sheet'!K196= "", VLOOKUP('Interactive Selection Sheet'!$L196, 'Master List Import'!$A$1:$P$519, 5, FALSE), ""), "")</f>
        <v>Noodles</v>
      </c>
      <c r="H473" s="69" t="str">
        <f>_xlfn.IFNA(IF('Interactive Selection Sheet'!K196= "", VLOOKUP('Interactive Selection Sheet'!$L196, 'Master List Import'!$A$1:$P$519, 6, FALSE), ""), "")</f>
        <v>Both</v>
      </c>
      <c r="I473" s="72">
        <f>_xlfn.IFNA(IF('Interactive Selection Sheet'!K196= "", VLOOKUP('Interactive Selection Sheet'!$L196, 'Master List Import'!$A$1:$P$519, 7, FALSE), ""), "")</f>
        <v>0.2</v>
      </c>
      <c r="J473" s="69" t="str">
        <f>_xlfn.IFNA(IF('Interactive Selection Sheet'!K196= "", VLOOKUP('Interactive Selection Sheet'!$L196, 'Master List Import'!$A$1:$P$519, 8, FALSE), ""), "")</f>
        <v>REI</v>
      </c>
      <c r="K473" s="69" t="str">
        <f>_xlfn.IFNA(IF('Interactive Selection Sheet'!K196= "", VLOOKUP('Interactive Selection Sheet'!$L196, 'Master List Import'!$A$1:$P$519, 9, FALSE), ""), "")</f>
        <v>143909</v>
      </c>
      <c r="L473" s="69">
        <f>_xlfn.IFNA(IF('Interactive Selection Sheet'!K196= "", VLOOKUP('Interactive Selection Sheet'!$L196, 'Master List Import'!$A$1:$P$519, 10, FALSE), ""), "")</f>
        <v>0</v>
      </c>
      <c r="M473" s="69">
        <f>_xlfn.IFNA(IF('Interactive Selection Sheet'!K196= "", VLOOKUP('Interactive Selection Sheet'!$L196, 'Master List Import'!$A$1:$P$519, 11, FALSE), ""), "")</f>
        <v>0</v>
      </c>
      <c r="N473" s="69">
        <f>_xlfn.IFNA(IF('Interactive Selection Sheet'!K196= "", VLOOKUP('Interactive Selection Sheet'!$L196, 'Master List Import'!$A$1:$P$519, 12, FALSE), ""), "")</f>
        <v>24</v>
      </c>
      <c r="O473" s="69">
        <f>_xlfn.IFNA(IF('Interactive Selection Sheet'!K196= "", VLOOKUP('Interactive Selection Sheet'!$L196, 'Master List Import'!$A$1:$P$519, 13, FALSE), ""), "")</f>
        <v>8002</v>
      </c>
      <c r="P473" s="69" t="str">
        <f>_xlfn.IFNA(IF('Interactive Selection Sheet'!K196= "", VLOOKUP('Interactive Selection Sheet'!$L196, 'Master List Import'!$A$1:$P$519, 14, FALSE), ""), "")</f>
        <v>Roasted Beef Ramen Noodles</v>
      </c>
      <c r="Q473" s="69">
        <f>_xlfn.IFNA(IF('Interactive Selection Sheet'!K196= "", VLOOKUP('Interactive Selection Sheet'!$L196, 'Master List Import'!$A$1:$P$519, 15, FALSE), ""), "")</f>
        <v>1</v>
      </c>
      <c r="R473" s="74">
        <f>_xlfn.IFNA(IF('Interactive Selection Sheet'!K196= "", VLOOKUP('Interactive Selection Sheet'!$L196, 'Master List Import'!$A$1:$P$519, 16, FALSE), ""), "")</f>
        <v>0.95</v>
      </c>
    </row>
    <row r="474" spans="1:18" ht="21.75" customHeight="1" x14ac:dyDescent="0.25">
      <c r="A474" s="69">
        <f>_xlfn.IFNA(IF('Interactive Selection Sheet'!$K197= "", VLOOKUP('Interactive Selection Sheet'!$L197, 'Master List Import'!$A$1:$P$519, 2, FALSE), ""), "")</f>
        <v>8010</v>
      </c>
      <c r="B474" s="69" t="str">
        <f>_xlfn.IFNA(IF('Interactive Selection Sheet'!$K197= "", VLOOKUP('Interactive Selection Sheet'!$L197, 'Master List Import'!$A$1:$P$519, 3, FALSE), ""), "")</f>
        <v>Maruchan Chicken Noodles, 3oz - 24/cs</v>
      </c>
      <c r="C474" s="76">
        <f>IF('Interactive Selection Sheet'!$T$2="", "", IF(B474="","",'Interactive Selection Sheet'!$T$2))</f>
        <v>3.5000000000000003E-2</v>
      </c>
      <c r="D474" s="70">
        <f>IF(B474 = "", "", 'Interactive Selection Sheet'!$P$2)</f>
        <v>4.4999999999999998E-2</v>
      </c>
      <c r="E474" s="70">
        <f>IF(B474="","", 'Interactive Selection Sheet'!$R$2)</f>
        <v>0.02</v>
      </c>
      <c r="F474" s="69" t="str">
        <f>_xlfn.IFNA(IF('Interactive Selection Sheet'!K197= "", VLOOKUP('Interactive Selection Sheet'!$L197, 'Master List Import'!$A$1:$P$519, 4, FALSE), ""), "")</f>
        <v>Noodles</v>
      </c>
      <c r="G474" s="69" t="str">
        <f>_xlfn.IFNA(IF('Interactive Selection Sheet'!K197= "", VLOOKUP('Interactive Selection Sheet'!$L197, 'Master List Import'!$A$1:$P$519, 5, FALSE), ""), "")</f>
        <v>Noodles</v>
      </c>
      <c r="H474" s="69" t="str">
        <f>_xlfn.IFNA(IF('Interactive Selection Sheet'!K197= "", VLOOKUP('Interactive Selection Sheet'!$L197, 'Master List Import'!$A$1:$P$519, 6, FALSE), ""), "")</f>
        <v>Both</v>
      </c>
      <c r="I474" s="72">
        <f>_xlfn.IFNA(IF('Interactive Selection Sheet'!K197= "", VLOOKUP('Interactive Selection Sheet'!$L197, 'Master List Import'!$A$1:$P$519, 7, FALSE), ""), "")</f>
        <v>0.2</v>
      </c>
      <c r="J474" s="69" t="str">
        <f>_xlfn.IFNA(IF('Interactive Selection Sheet'!K197= "", VLOOKUP('Interactive Selection Sheet'!$L197, 'Master List Import'!$A$1:$P$519, 8, FALSE), ""), "")</f>
        <v>REI</v>
      </c>
      <c r="K474" s="69" t="str">
        <f>_xlfn.IFNA(IF('Interactive Selection Sheet'!K197= "", VLOOKUP('Interactive Selection Sheet'!$L197, 'Master List Import'!$A$1:$P$519, 9, FALSE), ""), "")</f>
        <v>144022</v>
      </c>
      <c r="L474" s="69">
        <f>_xlfn.IFNA(IF('Interactive Selection Sheet'!K197= "", VLOOKUP('Interactive Selection Sheet'!$L197, 'Master List Import'!$A$1:$P$519, 10, FALSE), ""), "")</f>
        <v>0</v>
      </c>
      <c r="M474" s="69">
        <f>_xlfn.IFNA(IF('Interactive Selection Sheet'!K197= "", VLOOKUP('Interactive Selection Sheet'!$L197, 'Master List Import'!$A$1:$P$519, 11, FALSE), ""), "")</f>
        <v>0</v>
      </c>
      <c r="N474" s="69">
        <f>_xlfn.IFNA(IF('Interactive Selection Sheet'!K197= "", VLOOKUP('Interactive Selection Sheet'!$L197, 'Master List Import'!$A$1:$P$519, 12, FALSE), ""), "")</f>
        <v>24</v>
      </c>
      <c r="O474" s="69">
        <f>_xlfn.IFNA(IF('Interactive Selection Sheet'!K197= "", VLOOKUP('Interactive Selection Sheet'!$L197, 'Master List Import'!$A$1:$P$519, 13, FALSE), ""), "")</f>
        <v>8010</v>
      </c>
      <c r="P474" s="69" t="str">
        <f>_xlfn.IFNA(IF('Interactive Selection Sheet'!K197= "", VLOOKUP('Interactive Selection Sheet'!$L197, 'Master List Import'!$A$1:$P$519, 14, FALSE), ""), "")</f>
        <v>Chicken Ramen Noodles</v>
      </c>
      <c r="Q474" s="69">
        <f>_xlfn.IFNA(IF('Interactive Selection Sheet'!K197= "", VLOOKUP('Interactive Selection Sheet'!$L197, 'Master List Import'!$A$1:$P$519, 15, FALSE), ""), "")</f>
        <v>1</v>
      </c>
      <c r="R474" s="74">
        <f>_xlfn.IFNA(IF('Interactive Selection Sheet'!K197= "", VLOOKUP('Interactive Selection Sheet'!$L197, 'Master List Import'!$A$1:$P$519, 16, FALSE), ""), "")</f>
        <v>0.95</v>
      </c>
    </row>
    <row r="475" spans="1:18" ht="21.75" customHeight="1" x14ac:dyDescent="0.25">
      <c r="A475" s="69">
        <f>_xlfn.IFNA(IF('Interactive Selection Sheet'!$K198= "", VLOOKUP('Interactive Selection Sheet'!$L198, 'Master List Import'!$A$1:$P$519, 2, FALSE), ""), "")</f>
        <v>8011</v>
      </c>
      <c r="B475" s="69" t="str">
        <f>_xlfn.IFNA(IF('Interactive Selection Sheet'!$K198= "", VLOOKUP('Interactive Selection Sheet'!$L198, 'Master List Import'!$A$1:$P$519, 3, FALSE), ""), "")</f>
        <v>Ramen Noodles, Roasted Chicken, 3oz - 24/cs</v>
      </c>
      <c r="C475" s="76">
        <f>IF('Interactive Selection Sheet'!$T$2="", "", IF(B475="","",'Interactive Selection Sheet'!$T$2))</f>
        <v>3.5000000000000003E-2</v>
      </c>
      <c r="D475" s="70">
        <f>IF(B475 = "", "", 'Interactive Selection Sheet'!$P$2)</f>
        <v>4.4999999999999998E-2</v>
      </c>
      <c r="E475" s="70">
        <f>IF(B475="","", 'Interactive Selection Sheet'!$R$2)</f>
        <v>0.02</v>
      </c>
      <c r="F475" s="69" t="str">
        <f>_xlfn.IFNA(IF('Interactive Selection Sheet'!K198= "", VLOOKUP('Interactive Selection Sheet'!$L198, 'Master List Import'!$A$1:$P$519, 4, FALSE), ""), "")</f>
        <v>Noodles</v>
      </c>
      <c r="G475" s="69" t="str">
        <f>_xlfn.IFNA(IF('Interactive Selection Sheet'!K198= "", VLOOKUP('Interactive Selection Sheet'!$L198, 'Master List Import'!$A$1:$P$519, 5, FALSE), ""), "")</f>
        <v>Noodles</v>
      </c>
      <c r="H475" s="69" t="str">
        <f>_xlfn.IFNA(IF('Interactive Selection Sheet'!K198= "", VLOOKUP('Interactive Selection Sheet'!$L198, 'Master List Import'!$A$1:$P$519, 6, FALSE), ""), "")</f>
        <v>Both</v>
      </c>
      <c r="I475" s="72">
        <f>_xlfn.IFNA(IF('Interactive Selection Sheet'!K198= "", VLOOKUP('Interactive Selection Sheet'!$L198, 'Master List Import'!$A$1:$P$519, 7, FALSE), ""), "")</f>
        <v>0.2</v>
      </c>
      <c r="J475" s="69" t="str">
        <f>_xlfn.IFNA(IF('Interactive Selection Sheet'!K198= "", VLOOKUP('Interactive Selection Sheet'!$L198, 'Master List Import'!$A$1:$P$519, 8, FALSE), ""), "")</f>
        <v>REI</v>
      </c>
      <c r="K475" s="69" t="str">
        <f>_xlfn.IFNA(IF('Interactive Selection Sheet'!K198= "", VLOOKUP('Interactive Selection Sheet'!$L198, 'Master List Import'!$A$1:$P$519, 9, FALSE), ""), "")</f>
        <v>144030</v>
      </c>
      <c r="L475" s="69">
        <f>_xlfn.IFNA(IF('Interactive Selection Sheet'!K198= "", VLOOKUP('Interactive Selection Sheet'!$L198, 'Master List Import'!$A$1:$P$519, 10, FALSE), ""), "")</f>
        <v>0</v>
      </c>
      <c r="M475" s="69">
        <f>_xlfn.IFNA(IF('Interactive Selection Sheet'!K198= "", VLOOKUP('Interactive Selection Sheet'!$L198, 'Master List Import'!$A$1:$P$519, 11, FALSE), ""), "")</f>
        <v>0</v>
      </c>
      <c r="N475" s="69">
        <f>_xlfn.IFNA(IF('Interactive Selection Sheet'!K198= "", VLOOKUP('Interactive Selection Sheet'!$L198, 'Master List Import'!$A$1:$P$519, 12, FALSE), ""), "")</f>
        <v>24</v>
      </c>
      <c r="O475" s="69">
        <f>_xlfn.IFNA(IF('Interactive Selection Sheet'!K198= "", VLOOKUP('Interactive Selection Sheet'!$L198, 'Master List Import'!$A$1:$P$519, 13, FALSE), ""), "")</f>
        <v>8011</v>
      </c>
      <c r="P475" s="69" t="str">
        <f>_xlfn.IFNA(IF('Interactive Selection Sheet'!K198= "", VLOOKUP('Interactive Selection Sheet'!$L198, 'Master List Import'!$A$1:$P$519, 14, FALSE), ""), "")</f>
        <v>Roasted Chicken Ramen Noodles</v>
      </c>
      <c r="Q475" s="69">
        <f>_xlfn.IFNA(IF('Interactive Selection Sheet'!K198= "", VLOOKUP('Interactive Selection Sheet'!$L198, 'Master List Import'!$A$1:$P$519, 15, FALSE), ""), "")</f>
        <v>1</v>
      </c>
      <c r="R475" s="74">
        <f>_xlfn.IFNA(IF('Interactive Selection Sheet'!K198= "", VLOOKUP('Interactive Selection Sheet'!$L198, 'Master List Import'!$A$1:$P$519, 16, FALSE), ""), "")</f>
        <v>0.95</v>
      </c>
    </row>
    <row r="476" spans="1:18" ht="21.75" customHeight="1" x14ac:dyDescent="0.25">
      <c r="A476" s="69">
        <f>_xlfn.IFNA(IF('Interactive Selection Sheet'!$K199= "", VLOOKUP('Interactive Selection Sheet'!$L199, 'Master List Import'!$A$1:$P$519, 2, FALSE), ""), "")</f>
        <v>8012</v>
      </c>
      <c r="B476" s="69" t="str">
        <f>_xlfn.IFNA(IF('Interactive Selection Sheet'!$K199= "", VLOOKUP('Interactive Selection Sheet'!$L199, 'Master List Import'!$A$1:$P$519, 3, FALSE), ""), "")</f>
        <v>Ramen Noodles, Picante Chicken, 3oz - 24/cs</v>
      </c>
      <c r="C476" s="76">
        <f>IF('Interactive Selection Sheet'!$T$2="", "", IF(B476="","",'Interactive Selection Sheet'!$T$2))</f>
        <v>3.5000000000000003E-2</v>
      </c>
      <c r="D476" s="70">
        <f>IF(B476 = "", "", 'Interactive Selection Sheet'!$P$2)</f>
        <v>4.4999999999999998E-2</v>
      </c>
      <c r="E476" s="70">
        <f>IF(B476="","", 'Interactive Selection Sheet'!$R$2)</f>
        <v>0.02</v>
      </c>
      <c r="F476" s="69" t="str">
        <f>_xlfn.IFNA(IF('Interactive Selection Sheet'!K199= "", VLOOKUP('Interactive Selection Sheet'!$L199, 'Master List Import'!$A$1:$P$519, 4, FALSE), ""), "")</f>
        <v>Noodles</v>
      </c>
      <c r="G476" s="69" t="str">
        <f>_xlfn.IFNA(IF('Interactive Selection Sheet'!K199= "", VLOOKUP('Interactive Selection Sheet'!$L199, 'Master List Import'!$A$1:$P$519, 5, FALSE), ""), "")</f>
        <v>Noodles</v>
      </c>
      <c r="H476" s="69" t="str">
        <f>_xlfn.IFNA(IF('Interactive Selection Sheet'!K199= "", VLOOKUP('Interactive Selection Sheet'!$L199, 'Master List Import'!$A$1:$P$519, 6, FALSE), ""), "")</f>
        <v>Both</v>
      </c>
      <c r="I476" s="72">
        <f>_xlfn.IFNA(IF('Interactive Selection Sheet'!K199= "", VLOOKUP('Interactive Selection Sheet'!$L199, 'Master List Import'!$A$1:$P$519, 7, FALSE), ""), "")</f>
        <v>0.2</v>
      </c>
      <c r="J476" s="69" t="str">
        <f>_xlfn.IFNA(IF('Interactive Selection Sheet'!K199= "", VLOOKUP('Interactive Selection Sheet'!$L199, 'Master List Import'!$A$1:$P$519, 8, FALSE), ""), "")</f>
        <v>REI</v>
      </c>
      <c r="K476" s="69" t="str">
        <f>_xlfn.IFNA(IF('Interactive Selection Sheet'!K199= "", VLOOKUP('Interactive Selection Sheet'!$L199, 'Master List Import'!$A$1:$P$519, 9, FALSE), ""), "")</f>
        <v>144394</v>
      </c>
      <c r="L476" s="69">
        <f>_xlfn.IFNA(IF('Interactive Selection Sheet'!K199= "", VLOOKUP('Interactive Selection Sheet'!$L199, 'Master List Import'!$A$1:$P$519, 10, FALSE), ""), "")</f>
        <v>0</v>
      </c>
      <c r="M476" s="69">
        <f>_xlfn.IFNA(IF('Interactive Selection Sheet'!K199= "", VLOOKUP('Interactive Selection Sheet'!$L199, 'Master List Import'!$A$1:$P$519, 11, FALSE), ""), "")</f>
        <v>0</v>
      </c>
      <c r="N476" s="69">
        <f>_xlfn.IFNA(IF('Interactive Selection Sheet'!K199= "", VLOOKUP('Interactive Selection Sheet'!$L199, 'Master List Import'!$A$1:$P$519, 12, FALSE), ""), "")</f>
        <v>24</v>
      </c>
      <c r="O476" s="69">
        <f>_xlfn.IFNA(IF('Interactive Selection Sheet'!K199= "", VLOOKUP('Interactive Selection Sheet'!$L199, 'Master List Import'!$A$1:$P$519, 13, FALSE), ""), "")</f>
        <v>8012</v>
      </c>
      <c r="P476" s="69" t="str">
        <f>_xlfn.IFNA(IF('Interactive Selection Sheet'!K199= "", VLOOKUP('Interactive Selection Sheet'!$L199, 'Master List Import'!$A$1:$P$519, 14, FALSE), ""), "")</f>
        <v>Picante Chicken Ramen Noodles</v>
      </c>
      <c r="Q476" s="69">
        <f>_xlfn.IFNA(IF('Interactive Selection Sheet'!K199= "", VLOOKUP('Interactive Selection Sheet'!$L199, 'Master List Import'!$A$1:$P$519, 15, FALSE), ""), "")</f>
        <v>1</v>
      </c>
      <c r="R476" s="74">
        <f>_xlfn.IFNA(IF('Interactive Selection Sheet'!K199= "", VLOOKUP('Interactive Selection Sheet'!$L199, 'Master List Import'!$A$1:$P$519, 16, FALSE), ""), "")</f>
        <v>0.95</v>
      </c>
    </row>
    <row r="477" spans="1:18" ht="21.75" customHeight="1" x14ac:dyDescent="0.25">
      <c r="A477" s="69">
        <f>_xlfn.IFNA(IF('Interactive Selection Sheet'!$K200= "", VLOOKUP('Interactive Selection Sheet'!$L200, 'Master List Import'!$A$1:$P$519, 2, FALSE), ""), "")</f>
        <v>8013</v>
      </c>
      <c r="B477" s="69" t="str">
        <f>_xlfn.IFNA(IF('Interactive Selection Sheet'!$K200= "", VLOOKUP('Interactive Selection Sheet'!$L200, 'Master List Import'!$A$1:$P$519, 3, FALSE), ""), "")</f>
        <v>Nissin Cajun Chicken Noodles, 3oz - 24/cs</v>
      </c>
      <c r="C477" s="76">
        <f>IF('Interactive Selection Sheet'!$T$2="", "", IF(B477="","",'Interactive Selection Sheet'!$T$2))</f>
        <v>3.5000000000000003E-2</v>
      </c>
      <c r="D477" s="70">
        <f>IF(B477 = "", "", 'Interactive Selection Sheet'!$P$2)</f>
        <v>4.4999999999999998E-2</v>
      </c>
      <c r="E477" s="70">
        <f>IF(B477="","", 'Interactive Selection Sheet'!$R$2)</f>
        <v>0.02</v>
      </c>
      <c r="F477" s="69" t="str">
        <f>_xlfn.IFNA(IF('Interactive Selection Sheet'!K200= "", VLOOKUP('Interactive Selection Sheet'!$L200, 'Master List Import'!$A$1:$P$519, 4, FALSE), ""), "")</f>
        <v>Noodles</v>
      </c>
      <c r="G477" s="69" t="str">
        <f>_xlfn.IFNA(IF('Interactive Selection Sheet'!K200= "", VLOOKUP('Interactive Selection Sheet'!$L200, 'Master List Import'!$A$1:$P$519, 5, FALSE), ""), "")</f>
        <v>Noodles</v>
      </c>
      <c r="H477" s="69" t="str">
        <f>_xlfn.IFNA(IF('Interactive Selection Sheet'!K200= "", VLOOKUP('Interactive Selection Sheet'!$L200, 'Master List Import'!$A$1:$P$519, 6, FALSE), ""), "")</f>
        <v>Both</v>
      </c>
      <c r="I477" s="72">
        <f>_xlfn.IFNA(IF('Interactive Selection Sheet'!K200= "", VLOOKUP('Interactive Selection Sheet'!$L200, 'Master List Import'!$A$1:$P$519, 7, FALSE), ""), "")</f>
        <v>0.2</v>
      </c>
      <c r="J477" s="69" t="str">
        <f>_xlfn.IFNA(IF('Interactive Selection Sheet'!K200= "", VLOOKUP('Interactive Selection Sheet'!$L200, 'Master List Import'!$A$1:$P$519, 8, FALSE), ""), "")</f>
        <v>REI</v>
      </c>
      <c r="K477" s="69" t="str">
        <f>_xlfn.IFNA(IF('Interactive Selection Sheet'!K200= "", VLOOKUP('Interactive Selection Sheet'!$L200, 'Master List Import'!$A$1:$P$519, 9, FALSE), ""), "")</f>
        <v>144708</v>
      </c>
      <c r="L477" s="69">
        <f>_xlfn.IFNA(IF('Interactive Selection Sheet'!K200= "", VLOOKUP('Interactive Selection Sheet'!$L200, 'Master List Import'!$A$1:$P$519, 10, FALSE), ""), "")</f>
        <v>0</v>
      </c>
      <c r="M477" s="69">
        <f>_xlfn.IFNA(IF('Interactive Selection Sheet'!K200= "", VLOOKUP('Interactive Selection Sheet'!$L200, 'Master List Import'!$A$1:$P$519, 11, FALSE), ""), "")</f>
        <v>0</v>
      </c>
      <c r="N477" s="69">
        <f>_xlfn.IFNA(IF('Interactive Selection Sheet'!K200= "", VLOOKUP('Interactive Selection Sheet'!$L200, 'Master List Import'!$A$1:$P$519, 12, FALSE), ""), "")</f>
        <v>24</v>
      </c>
      <c r="O477" s="69">
        <f>_xlfn.IFNA(IF('Interactive Selection Sheet'!K200= "", VLOOKUP('Interactive Selection Sheet'!$L200, 'Master List Import'!$A$1:$P$519, 13, FALSE), ""), "")</f>
        <v>8013</v>
      </c>
      <c r="P477" s="69" t="str">
        <f>_xlfn.IFNA(IF('Interactive Selection Sheet'!K200= "", VLOOKUP('Interactive Selection Sheet'!$L200, 'Master List Import'!$A$1:$P$519, 14, FALSE), ""), "")</f>
        <v>Cajun Chicken Ramen Noodles</v>
      </c>
      <c r="Q477" s="69">
        <f>_xlfn.IFNA(IF('Interactive Selection Sheet'!K200= "", VLOOKUP('Interactive Selection Sheet'!$L200, 'Master List Import'!$A$1:$P$519, 15, FALSE), ""), "")</f>
        <v>1</v>
      </c>
      <c r="R477" s="74">
        <f>_xlfn.IFNA(IF('Interactive Selection Sheet'!K200= "", VLOOKUP('Interactive Selection Sheet'!$L200, 'Master List Import'!$A$1:$P$519, 16, FALSE), ""), "")</f>
        <v>0.95</v>
      </c>
    </row>
    <row r="478" spans="1:18" ht="21.75" customHeight="1" x14ac:dyDescent="0.25">
      <c r="A478" s="69">
        <f>_xlfn.IFNA(IF('Interactive Selection Sheet'!$K201= "", VLOOKUP('Interactive Selection Sheet'!$L201, 'Master List Import'!$A$1:$P$519, 2, FALSE), ""), "")</f>
        <v>8016</v>
      </c>
      <c r="B478" s="69" t="str">
        <f>_xlfn.IFNA(IF('Interactive Selection Sheet'!$K201= "", VLOOKUP('Interactive Selection Sheet'!$L201, 'Master List Import'!$A$1:$P$519, 3, FALSE), ""), "")</f>
        <v>Maruchan Low Sodium Chicken Noodles 24/3oz</v>
      </c>
      <c r="C478" s="76">
        <f>IF('Interactive Selection Sheet'!$T$2="", "", IF(B478="","",'Interactive Selection Sheet'!$T$2))</f>
        <v>3.5000000000000003E-2</v>
      </c>
      <c r="D478" s="70">
        <f>IF(B478 = "", "", 'Interactive Selection Sheet'!$P$2)</f>
        <v>4.4999999999999998E-2</v>
      </c>
      <c r="E478" s="70">
        <f>IF(B478="","", 'Interactive Selection Sheet'!$R$2)</f>
        <v>0.02</v>
      </c>
      <c r="F478" s="69" t="str">
        <f>_xlfn.IFNA(IF('Interactive Selection Sheet'!K201= "", VLOOKUP('Interactive Selection Sheet'!$L201, 'Master List Import'!$A$1:$P$519, 4, FALSE), ""), "")</f>
        <v>Noodles</v>
      </c>
      <c r="G478" s="69" t="str">
        <f>_xlfn.IFNA(IF('Interactive Selection Sheet'!K201= "", VLOOKUP('Interactive Selection Sheet'!$L201, 'Master List Import'!$A$1:$P$519, 5, FALSE), ""), "")</f>
        <v>Noodles</v>
      </c>
      <c r="H478" s="69" t="str">
        <f>_xlfn.IFNA(IF('Interactive Selection Sheet'!K201= "", VLOOKUP('Interactive Selection Sheet'!$L201, 'Master List Import'!$A$1:$P$519, 6, FALSE), ""), "")</f>
        <v>Both</v>
      </c>
      <c r="I478" s="72">
        <f>_xlfn.IFNA(IF('Interactive Selection Sheet'!K201= "", VLOOKUP('Interactive Selection Sheet'!$L201, 'Master List Import'!$A$1:$P$519, 7, FALSE), ""), "")</f>
        <v>0.2</v>
      </c>
      <c r="J478" s="69" t="str">
        <f>_xlfn.IFNA(IF('Interactive Selection Sheet'!K201= "", VLOOKUP('Interactive Selection Sheet'!$L201, 'Master List Import'!$A$1:$P$519, 8, FALSE), ""), "")</f>
        <v>REI</v>
      </c>
      <c r="K478" s="69" t="str">
        <f>_xlfn.IFNA(IF('Interactive Selection Sheet'!K201= "", VLOOKUP('Interactive Selection Sheet'!$L201, 'Master List Import'!$A$1:$P$519, 9, FALSE), ""), "")</f>
        <v>144421</v>
      </c>
      <c r="L478" s="69">
        <f>_xlfn.IFNA(IF('Interactive Selection Sheet'!K201= "", VLOOKUP('Interactive Selection Sheet'!$L201, 'Master List Import'!$A$1:$P$519, 10, FALSE), ""), "")</f>
        <v>0</v>
      </c>
      <c r="M478" s="69">
        <f>_xlfn.IFNA(IF('Interactive Selection Sheet'!K201= "", VLOOKUP('Interactive Selection Sheet'!$L201, 'Master List Import'!$A$1:$P$519, 11, FALSE), ""), "")</f>
        <v>0</v>
      </c>
      <c r="N478" s="69">
        <f>_xlfn.IFNA(IF('Interactive Selection Sheet'!K201= "", VLOOKUP('Interactive Selection Sheet'!$L201, 'Master List Import'!$A$1:$P$519, 12, FALSE), ""), "")</f>
        <v>24</v>
      </c>
      <c r="O478" s="69">
        <f>_xlfn.IFNA(IF('Interactive Selection Sheet'!K201= "", VLOOKUP('Interactive Selection Sheet'!$L201, 'Master List Import'!$A$1:$P$519, 13, FALSE), ""), "")</f>
        <v>8016</v>
      </c>
      <c r="P478" s="69" t="str">
        <f>_xlfn.IFNA(IF('Interactive Selection Sheet'!K201= "", VLOOKUP('Interactive Selection Sheet'!$L201, 'Master List Import'!$A$1:$P$519, 14, FALSE), ""), "")</f>
        <v>Low Sodium Chicken Ramen Noodles</v>
      </c>
      <c r="Q478" s="69">
        <f>_xlfn.IFNA(IF('Interactive Selection Sheet'!K201= "", VLOOKUP('Interactive Selection Sheet'!$L201, 'Master List Import'!$A$1:$P$519, 15, FALSE), ""), "")</f>
        <v>1</v>
      </c>
      <c r="R478" s="74">
        <f>_xlfn.IFNA(IF('Interactive Selection Sheet'!K201= "", VLOOKUP('Interactive Selection Sheet'!$L201, 'Master List Import'!$A$1:$P$519, 16, FALSE), ""), "")</f>
        <v>0.95</v>
      </c>
    </row>
    <row r="479" spans="1:18" ht="21.75" customHeight="1" x14ac:dyDescent="0.25">
      <c r="A479" s="69">
        <f>_xlfn.IFNA(IF('Interactive Selection Sheet'!$K202= "", VLOOKUP('Interactive Selection Sheet'!$L202, 'Master List Import'!$A$1:$P$519, 2, FALSE), ""), "")</f>
        <v>8020</v>
      </c>
      <c r="B479" s="69" t="str">
        <f>_xlfn.IFNA(IF('Interactive Selection Sheet'!$K202= "", VLOOKUP('Interactive Selection Sheet'!$L202, 'Master List Import'!$A$1:$P$519, 3, FALSE), ""), "")</f>
        <v>Ramen Noodles, Shrimp, 3oz - 24/cs</v>
      </c>
      <c r="C479" s="76">
        <f>IF('Interactive Selection Sheet'!$T$2="", "", IF(B479="","",'Interactive Selection Sheet'!$T$2))</f>
        <v>3.5000000000000003E-2</v>
      </c>
      <c r="D479" s="70">
        <f>IF(B479 = "", "", 'Interactive Selection Sheet'!$P$2)</f>
        <v>4.4999999999999998E-2</v>
      </c>
      <c r="E479" s="70">
        <f>IF(B479="","", 'Interactive Selection Sheet'!$R$2)</f>
        <v>0.02</v>
      </c>
      <c r="F479" s="69" t="str">
        <f>_xlfn.IFNA(IF('Interactive Selection Sheet'!K202= "", VLOOKUP('Interactive Selection Sheet'!$L202, 'Master List Import'!$A$1:$P$519, 4, FALSE), ""), "")</f>
        <v>Noodles</v>
      </c>
      <c r="G479" s="69" t="str">
        <f>_xlfn.IFNA(IF('Interactive Selection Sheet'!K202= "", VLOOKUP('Interactive Selection Sheet'!$L202, 'Master List Import'!$A$1:$P$519, 5, FALSE), ""), "")</f>
        <v>Noodles</v>
      </c>
      <c r="H479" s="69" t="str">
        <f>_xlfn.IFNA(IF('Interactive Selection Sheet'!K202= "", VLOOKUP('Interactive Selection Sheet'!$L202, 'Master List Import'!$A$1:$P$519, 6, FALSE), ""), "")</f>
        <v>Both</v>
      </c>
      <c r="I479" s="72">
        <f>_xlfn.IFNA(IF('Interactive Selection Sheet'!K202= "", VLOOKUP('Interactive Selection Sheet'!$L202, 'Master List Import'!$A$1:$P$519, 7, FALSE), ""), "")</f>
        <v>0.2</v>
      </c>
      <c r="J479" s="69" t="str">
        <f>_xlfn.IFNA(IF('Interactive Selection Sheet'!K202= "", VLOOKUP('Interactive Selection Sheet'!$L202, 'Master List Import'!$A$1:$P$519, 8, FALSE), ""), "")</f>
        <v>REI</v>
      </c>
      <c r="K479" s="69" t="str">
        <f>_xlfn.IFNA(IF('Interactive Selection Sheet'!K202= "", VLOOKUP('Interactive Selection Sheet'!$L202, 'Master List Import'!$A$1:$P$519, 9, FALSE), ""), "")</f>
        <v>144410</v>
      </c>
      <c r="L479" s="69">
        <f>_xlfn.IFNA(IF('Interactive Selection Sheet'!K202= "", VLOOKUP('Interactive Selection Sheet'!$L202, 'Master List Import'!$A$1:$P$519, 10, FALSE), ""), "")</f>
        <v>0</v>
      </c>
      <c r="M479" s="69">
        <f>_xlfn.IFNA(IF('Interactive Selection Sheet'!K202= "", VLOOKUP('Interactive Selection Sheet'!$L202, 'Master List Import'!$A$1:$P$519, 11, FALSE), ""), "")</f>
        <v>0</v>
      </c>
      <c r="N479" s="69">
        <f>_xlfn.IFNA(IF('Interactive Selection Sheet'!K202= "", VLOOKUP('Interactive Selection Sheet'!$L202, 'Master List Import'!$A$1:$P$519, 12, FALSE), ""), "")</f>
        <v>24</v>
      </c>
      <c r="O479" s="69">
        <f>_xlfn.IFNA(IF('Interactive Selection Sheet'!K202= "", VLOOKUP('Interactive Selection Sheet'!$L202, 'Master List Import'!$A$1:$P$519, 13, FALSE), ""), "")</f>
        <v>8020</v>
      </c>
      <c r="P479" s="69" t="str">
        <f>_xlfn.IFNA(IF('Interactive Selection Sheet'!K202= "", VLOOKUP('Interactive Selection Sheet'!$L202, 'Master List Import'!$A$1:$P$519, 14, FALSE), ""), "")</f>
        <v>Shrimp Ramen Noodles</v>
      </c>
      <c r="Q479" s="69">
        <f>_xlfn.IFNA(IF('Interactive Selection Sheet'!K202= "", VLOOKUP('Interactive Selection Sheet'!$L202, 'Master List Import'!$A$1:$P$519, 15, FALSE), ""), "")</f>
        <v>1</v>
      </c>
      <c r="R479" s="74">
        <f>_xlfn.IFNA(IF('Interactive Selection Sheet'!K202= "", VLOOKUP('Interactive Selection Sheet'!$L202, 'Master List Import'!$A$1:$P$519, 16, FALSE), ""), "")</f>
        <v>0.95</v>
      </c>
    </row>
    <row r="480" spans="1:18" ht="21.75" customHeight="1" x14ac:dyDescent="0.25">
      <c r="A480" s="69">
        <f>_xlfn.IFNA(IF('Interactive Selection Sheet'!$K203= "", VLOOKUP('Interactive Selection Sheet'!$L203, 'Master List Import'!$A$1:$P$519, 2, FALSE), ""), "")</f>
        <v>8021</v>
      </c>
      <c r="B480" s="69" t="str">
        <f>_xlfn.IFNA(IF('Interactive Selection Sheet'!$K203= "", VLOOKUP('Interactive Selection Sheet'!$L203, 'Master List Import'!$A$1:$P$519, 3, FALSE), ""), "")</f>
        <v>Maruchan Chili Lime Shrimp Noodles - 24/3oz</v>
      </c>
      <c r="C480" s="76">
        <f>IF('Interactive Selection Sheet'!$T$2="", "", IF(B480="","",'Interactive Selection Sheet'!$T$2))</f>
        <v>3.5000000000000003E-2</v>
      </c>
      <c r="D480" s="70">
        <f>IF(B480 = "", "", 'Interactive Selection Sheet'!$P$2)</f>
        <v>4.4999999999999998E-2</v>
      </c>
      <c r="E480" s="70">
        <f>IF(B480="","", 'Interactive Selection Sheet'!$R$2)</f>
        <v>0.02</v>
      </c>
      <c r="F480" s="69" t="str">
        <f>_xlfn.IFNA(IF('Interactive Selection Sheet'!K203= "", VLOOKUP('Interactive Selection Sheet'!$L203, 'Master List Import'!$A$1:$P$519, 4, FALSE), ""), "")</f>
        <v>Noodles</v>
      </c>
      <c r="G480" s="69" t="str">
        <f>_xlfn.IFNA(IF('Interactive Selection Sheet'!K203= "", VLOOKUP('Interactive Selection Sheet'!$L203, 'Master List Import'!$A$1:$P$519, 5, FALSE), ""), "")</f>
        <v>Noodles</v>
      </c>
      <c r="H480" s="69" t="str">
        <f>_xlfn.IFNA(IF('Interactive Selection Sheet'!K203= "", VLOOKUP('Interactive Selection Sheet'!$L203, 'Master List Import'!$A$1:$P$519, 6, FALSE), ""), "")</f>
        <v>Both</v>
      </c>
      <c r="I480" s="72">
        <f>_xlfn.IFNA(IF('Interactive Selection Sheet'!K203= "", VLOOKUP('Interactive Selection Sheet'!$L203, 'Master List Import'!$A$1:$P$519, 7, FALSE), ""), "")</f>
        <v>0.2</v>
      </c>
      <c r="J480" s="69" t="str">
        <f>_xlfn.IFNA(IF('Interactive Selection Sheet'!K203= "", VLOOKUP('Interactive Selection Sheet'!$L203, 'Master List Import'!$A$1:$P$519, 8, FALSE), ""), "")</f>
        <v>REI</v>
      </c>
      <c r="K480" s="69" t="str">
        <f>_xlfn.IFNA(IF('Interactive Selection Sheet'!K203= "", VLOOKUP('Interactive Selection Sheet'!$L203, 'Master List Import'!$A$1:$P$519, 9, FALSE), ""), "")</f>
        <v>144414</v>
      </c>
      <c r="L480" s="69">
        <f>_xlfn.IFNA(IF('Interactive Selection Sheet'!K203= "", VLOOKUP('Interactive Selection Sheet'!$L203, 'Master List Import'!$A$1:$P$519, 10, FALSE), ""), "")</f>
        <v>0</v>
      </c>
      <c r="M480" s="69">
        <f>_xlfn.IFNA(IF('Interactive Selection Sheet'!K203= "", VLOOKUP('Interactive Selection Sheet'!$L203, 'Master List Import'!$A$1:$P$519, 11, FALSE), ""), "")</f>
        <v>0</v>
      </c>
      <c r="N480" s="69">
        <f>_xlfn.IFNA(IF('Interactive Selection Sheet'!K203= "", VLOOKUP('Interactive Selection Sheet'!$L203, 'Master List Import'!$A$1:$P$519, 12, FALSE), ""), "")</f>
        <v>24</v>
      </c>
      <c r="O480" s="69">
        <f>_xlfn.IFNA(IF('Interactive Selection Sheet'!K203= "", VLOOKUP('Interactive Selection Sheet'!$L203, 'Master List Import'!$A$1:$P$519, 13, FALSE), ""), "")</f>
        <v>8021</v>
      </c>
      <c r="P480" s="69" t="str">
        <f>_xlfn.IFNA(IF('Interactive Selection Sheet'!K203= "", VLOOKUP('Interactive Selection Sheet'!$L203, 'Master List Import'!$A$1:$P$519, 14, FALSE), ""), "")</f>
        <v>Lime Chili Shrimp Ramen Noodles</v>
      </c>
      <c r="Q480" s="69">
        <f>_xlfn.IFNA(IF('Interactive Selection Sheet'!K203= "", VLOOKUP('Interactive Selection Sheet'!$L203, 'Master List Import'!$A$1:$P$519, 15, FALSE), ""), "")</f>
        <v>1</v>
      </c>
      <c r="R480" s="74">
        <f>_xlfn.IFNA(IF('Interactive Selection Sheet'!K203= "", VLOOKUP('Interactive Selection Sheet'!$L203, 'Master List Import'!$A$1:$P$519, 16, FALSE), ""), "")</f>
        <v>0.95</v>
      </c>
    </row>
    <row r="481" spans="1:18" ht="21.75" customHeight="1" x14ac:dyDescent="0.25">
      <c r="A481" s="69">
        <f>_xlfn.IFNA(IF('Interactive Selection Sheet'!$K204= "", VLOOKUP('Interactive Selection Sheet'!$L204, 'Master List Import'!$A$1:$P$519, 2, FALSE), ""), "")</f>
        <v>8030</v>
      </c>
      <c r="B481" s="69" t="str">
        <f>_xlfn.IFNA(IF('Interactive Selection Sheet'!$K204= "", VLOOKUP('Interactive Selection Sheet'!$L204, 'Master List Import'!$A$1:$P$519, 3, FALSE), ""), "")</f>
        <v>Ramen Noodles, Chili, 3oz - 24/cs</v>
      </c>
      <c r="C481" s="76">
        <f>IF('Interactive Selection Sheet'!$T$2="", "", IF(B481="","",'Interactive Selection Sheet'!$T$2))</f>
        <v>3.5000000000000003E-2</v>
      </c>
      <c r="D481" s="70">
        <f>IF(B481 = "", "", 'Interactive Selection Sheet'!$P$2)</f>
        <v>4.4999999999999998E-2</v>
      </c>
      <c r="E481" s="70">
        <f>IF(B481="","", 'Interactive Selection Sheet'!$R$2)</f>
        <v>0.02</v>
      </c>
      <c r="F481" s="69" t="str">
        <f>_xlfn.IFNA(IF('Interactive Selection Sheet'!K204= "", VLOOKUP('Interactive Selection Sheet'!$L204, 'Master List Import'!$A$1:$P$519, 4, FALSE), ""), "")</f>
        <v>Noodles</v>
      </c>
      <c r="G481" s="69" t="str">
        <f>_xlfn.IFNA(IF('Interactive Selection Sheet'!K204= "", VLOOKUP('Interactive Selection Sheet'!$L204, 'Master List Import'!$A$1:$P$519, 5, FALSE), ""), "")</f>
        <v>Noodles</v>
      </c>
      <c r="H481" s="69" t="str">
        <f>_xlfn.IFNA(IF('Interactive Selection Sheet'!K204= "", VLOOKUP('Interactive Selection Sheet'!$L204, 'Master List Import'!$A$1:$P$519, 6, FALSE), ""), "")</f>
        <v>Both</v>
      </c>
      <c r="I481" s="72">
        <f>_xlfn.IFNA(IF('Interactive Selection Sheet'!K204= "", VLOOKUP('Interactive Selection Sheet'!$L204, 'Master List Import'!$A$1:$P$519, 7, FALSE), ""), "")</f>
        <v>0.2</v>
      </c>
      <c r="J481" s="69" t="str">
        <f>_xlfn.IFNA(IF('Interactive Selection Sheet'!K204= "", VLOOKUP('Interactive Selection Sheet'!$L204, 'Master List Import'!$A$1:$P$519, 8, FALSE), ""), "")</f>
        <v>REI</v>
      </c>
      <c r="K481" s="69" t="str">
        <f>_xlfn.IFNA(IF('Interactive Selection Sheet'!K204= "", VLOOKUP('Interactive Selection Sheet'!$L204, 'Master List Import'!$A$1:$P$519, 9, FALSE), ""), "")</f>
        <v>143933</v>
      </c>
      <c r="L481" s="69">
        <f>_xlfn.IFNA(IF('Interactive Selection Sheet'!K204= "", VLOOKUP('Interactive Selection Sheet'!$L204, 'Master List Import'!$A$1:$P$519, 10, FALSE), ""), "")</f>
        <v>0</v>
      </c>
      <c r="M481" s="69">
        <f>_xlfn.IFNA(IF('Interactive Selection Sheet'!K204= "", VLOOKUP('Interactive Selection Sheet'!$L204, 'Master List Import'!$A$1:$P$519, 11, FALSE), ""), "")</f>
        <v>0</v>
      </c>
      <c r="N481" s="69">
        <f>_xlfn.IFNA(IF('Interactive Selection Sheet'!K204= "", VLOOKUP('Interactive Selection Sheet'!$L204, 'Master List Import'!$A$1:$P$519, 12, FALSE), ""), "")</f>
        <v>24</v>
      </c>
      <c r="O481" s="69">
        <f>_xlfn.IFNA(IF('Interactive Selection Sheet'!K204= "", VLOOKUP('Interactive Selection Sheet'!$L204, 'Master List Import'!$A$1:$P$519, 13, FALSE), ""), "")</f>
        <v>8030</v>
      </c>
      <c r="P481" s="69" t="str">
        <f>_xlfn.IFNA(IF('Interactive Selection Sheet'!K204= "", VLOOKUP('Interactive Selection Sheet'!$L204, 'Master List Import'!$A$1:$P$519, 14, FALSE), ""), "")</f>
        <v>Chili Ramen Noodles</v>
      </c>
      <c r="Q481" s="69">
        <f>_xlfn.IFNA(IF('Interactive Selection Sheet'!K204= "", VLOOKUP('Interactive Selection Sheet'!$L204, 'Master List Import'!$A$1:$P$519, 15, FALSE), ""), "")</f>
        <v>1</v>
      </c>
      <c r="R481" s="74">
        <f>_xlfn.IFNA(IF('Interactive Selection Sheet'!K204= "", VLOOKUP('Interactive Selection Sheet'!$L204, 'Master List Import'!$A$1:$P$519, 16, FALSE), ""), "")</f>
        <v>0.95</v>
      </c>
    </row>
    <row r="482" spans="1:18" ht="21.75" customHeight="1" x14ac:dyDescent="0.25">
      <c r="A482" s="69">
        <f>_xlfn.IFNA(IF('Interactive Selection Sheet'!$K205= "", VLOOKUP('Interactive Selection Sheet'!$L205, 'Master List Import'!$A$1:$P$519, 2, FALSE), ""), "")</f>
        <v>8040</v>
      </c>
      <c r="B482" s="69" t="str">
        <f>_xlfn.IFNA(IF('Interactive Selection Sheet'!$K205= "", VLOOKUP('Interactive Selection Sheet'!$L205, 'Master List Import'!$A$1:$P$519, 3, FALSE), ""), "")</f>
        <v>Maruchan Pork Noodles, 24/3oz</v>
      </c>
      <c r="C482" s="76">
        <f>IF('Interactive Selection Sheet'!$T$2="", "", IF(B482="","",'Interactive Selection Sheet'!$T$2))</f>
        <v>3.5000000000000003E-2</v>
      </c>
      <c r="D482" s="70">
        <f>IF(B482 = "", "", 'Interactive Selection Sheet'!$P$2)</f>
        <v>4.4999999999999998E-2</v>
      </c>
      <c r="E482" s="70">
        <f>IF(B482="","", 'Interactive Selection Sheet'!$R$2)</f>
        <v>0.02</v>
      </c>
      <c r="F482" s="69" t="str">
        <f>_xlfn.IFNA(IF('Interactive Selection Sheet'!K205= "", VLOOKUP('Interactive Selection Sheet'!$L205, 'Master List Import'!$A$1:$P$519, 4, FALSE), ""), "")</f>
        <v>Noodles</v>
      </c>
      <c r="G482" s="69" t="str">
        <f>_xlfn.IFNA(IF('Interactive Selection Sheet'!K205= "", VLOOKUP('Interactive Selection Sheet'!$L205, 'Master List Import'!$A$1:$P$519, 5, FALSE), ""), "")</f>
        <v>Noodles</v>
      </c>
      <c r="H482" s="69" t="str">
        <f>_xlfn.IFNA(IF('Interactive Selection Sheet'!K205= "", VLOOKUP('Interactive Selection Sheet'!$L205, 'Master List Import'!$A$1:$P$519, 6, FALSE), ""), "")</f>
        <v>Both</v>
      </c>
      <c r="I482" s="72">
        <f>_xlfn.IFNA(IF('Interactive Selection Sheet'!K205= "", VLOOKUP('Interactive Selection Sheet'!$L205, 'Master List Import'!$A$1:$P$519, 7, FALSE), ""), "")</f>
        <v>0.2</v>
      </c>
      <c r="J482" s="69" t="str">
        <f>_xlfn.IFNA(IF('Interactive Selection Sheet'!K205= "", VLOOKUP('Interactive Selection Sheet'!$L205, 'Master List Import'!$A$1:$P$519, 8, FALSE), ""), "")</f>
        <v>REI</v>
      </c>
      <c r="K482" s="69" t="str">
        <f>_xlfn.IFNA(IF('Interactive Selection Sheet'!K205= "", VLOOKUP('Interactive Selection Sheet'!$L205, 'Master List Import'!$A$1:$P$519, 9, FALSE), ""), "")</f>
        <v>144150</v>
      </c>
      <c r="L482" s="69">
        <f>_xlfn.IFNA(IF('Interactive Selection Sheet'!K205= "", VLOOKUP('Interactive Selection Sheet'!$L205, 'Master List Import'!$A$1:$P$519, 10, FALSE), ""), "")</f>
        <v>0</v>
      </c>
      <c r="M482" s="69">
        <f>_xlfn.IFNA(IF('Interactive Selection Sheet'!K205= "", VLOOKUP('Interactive Selection Sheet'!$L205, 'Master List Import'!$A$1:$P$519, 11, FALSE), ""), "")</f>
        <v>0</v>
      </c>
      <c r="N482" s="69">
        <f>_xlfn.IFNA(IF('Interactive Selection Sheet'!K205= "", VLOOKUP('Interactive Selection Sheet'!$L205, 'Master List Import'!$A$1:$P$519, 12, FALSE), ""), "")</f>
        <v>24</v>
      </c>
      <c r="O482" s="69">
        <f>_xlfn.IFNA(IF('Interactive Selection Sheet'!K205= "", VLOOKUP('Interactive Selection Sheet'!$L205, 'Master List Import'!$A$1:$P$519, 13, FALSE), ""), "")</f>
        <v>8040</v>
      </c>
      <c r="P482" s="69" t="str">
        <f>_xlfn.IFNA(IF('Interactive Selection Sheet'!K205= "", VLOOKUP('Interactive Selection Sheet'!$L205, 'Master List Import'!$A$1:$P$519, 14, FALSE), ""), "")</f>
        <v>Pork Ramen Noodles</v>
      </c>
      <c r="Q482" s="69">
        <f>_xlfn.IFNA(IF('Interactive Selection Sheet'!K205= "", VLOOKUP('Interactive Selection Sheet'!$L205, 'Master List Import'!$A$1:$P$519, 15, FALSE), ""), "")</f>
        <v>1</v>
      </c>
      <c r="R482" s="74">
        <f>_xlfn.IFNA(IF('Interactive Selection Sheet'!K205= "", VLOOKUP('Interactive Selection Sheet'!$L205, 'Master List Import'!$A$1:$P$519, 16, FALSE), ""), "")</f>
        <v>0.95</v>
      </c>
    </row>
    <row r="483" spans="1:18" ht="21.75" customHeight="1" x14ac:dyDescent="0.25">
      <c r="A483" s="69">
        <f>_xlfn.IFNA(IF('Interactive Selection Sheet'!P9= "", VLOOKUP('Interactive Selection Sheet'!Q9, 'Master List Import'!$A$1:$P$519, 2, FALSE), ""), "")</f>
        <v>8900</v>
      </c>
      <c r="B483" s="69" t="str">
        <f>_xlfn.IFNA(IF('Interactive Selection Sheet'!P9= "", VLOOKUP('Interactive Selection Sheet'!Q9, 'Master List Import'!$A$1:$P$519, 3, FALSE), ""), "")</f>
        <v>Pop's Snack Shack Sugar Free Assorted Fruit Hard Candy</v>
      </c>
      <c r="C483" s="76">
        <f>IF('Interactive Selection Sheet'!$T$2="", "", IF(B483="","",'Interactive Selection Sheet'!$T$2))</f>
        <v>3.5000000000000003E-2</v>
      </c>
      <c r="D483" s="70">
        <f>IF(B483 = "", "", 'Interactive Selection Sheet'!$P$2)</f>
        <v>4.4999999999999998E-2</v>
      </c>
      <c r="E483" s="70">
        <f>IF(B483="","", 'Interactive Selection Sheet'!$R$2)</f>
        <v>0.02</v>
      </c>
      <c r="F483" s="69" t="str">
        <f>_xlfn.IFNA(IF('Interactive Selection Sheet'!F260= "", VLOOKUP('Interactive Selection Sheet'!Q9, 'Master List Import'!$A$1:$P$519, 4, FALSE), ""), "")</f>
        <v>Diabetic</v>
      </c>
      <c r="G483" s="69" t="str">
        <f>_xlfn.IFNA(IF('Interactive Selection Sheet'!F260= "", VLOOKUP('Interactive Selection Sheet'!Q9, 'Master List Import'!$A$1:$P$519, 5, FALSE), ""), "")</f>
        <v>Diabetic</v>
      </c>
      <c r="H483" s="69" t="str">
        <f>_xlfn.IFNA(IF('Interactive Selection Sheet'!F260= "", VLOOKUP('Interactive Selection Sheet'!Q9, 'Master List Import'!$A$1:$P$519, 6, FALSE), ""), "")</f>
        <v>Both</v>
      </c>
      <c r="I483" s="72">
        <f>_xlfn.IFNA(IF('Interactive Selection Sheet'!F260= "", VLOOKUP('Interactive Selection Sheet'!Q9, 'Master List Import'!$A$1:$P$519, 7, FALSE), ""), "")</f>
        <v>0.63</v>
      </c>
      <c r="J483" s="69" t="str">
        <f>_xlfn.IFNA(IF('Interactive Selection Sheet'!F260= "", VLOOKUP('Interactive Selection Sheet'!Q9, 'Master List Import'!$A$1:$P$519, 8, FALSE), ""), "")</f>
        <v>REI</v>
      </c>
      <c r="K483" s="69" t="str">
        <f>_xlfn.IFNA(IF('Interactive Selection Sheet'!F260= "", VLOOKUP('Interactive Selection Sheet'!Q9, 'Master List Import'!$A$1:$P$519, 9, FALSE), ""), "")</f>
        <v>057626</v>
      </c>
      <c r="L483" s="69">
        <f>_xlfn.IFNA(IF('Interactive Selection Sheet'!F260= "", VLOOKUP('Interactive Selection Sheet'!Q9, 'Master List Import'!$A$1:$P$519, 10, FALSE), ""), "")</f>
        <v>0</v>
      </c>
      <c r="M483" s="69">
        <f>_xlfn.IFNA(IF('Interactive Selection Sheet'!F260= "", VLOOKUP('Interactive Selection Sheet'!Q9, 'Master List Import'!$A$1:$P$519, 11, FALSE), ""), "")</f>
        <v>0</v>
      </c>
      <c r="N483" s="69">
        <f>_xlfn.IFNA(IF('Interactive Selection Sheet'!F260= "", VLOOKUP('Interactive Selection Sheet'!Q9, 'Master List Import'!$A$1:$P$519, 12, FALSE), ""), "")</f>
        <v>1</v>
      </c>
      <c r="O483" s="69">
        <f>_xlfn.IFNA(IF('Interactive Selection Sheet'!F260= "", VLOOKUP('Interactive Selection Sheet'!Q9, 'Master List Import'!$A$1:$P$519, 13, FALSE), ""), "")</f>
        <v>8900</v>
      </c>
      <c r="P483" s="69" t="str">
        <f>_xlfn.IFNA(IF('Interactive Selection Sheet'!F260= "", VLOOKUP('Interactive Selection Sheet'!Q9, 'Master List Import'!$A$1:$P$519, 14, FALSE), ""), "")</f>
        <v>Sugar Free Assorted Candy</v>
      </c>
      <c r="Q483" s="69">
        <f>_xlfn.IFNA(IF('Interactive Selection Sheet'!F260= "", VLOOKUP('Interactive Selection Sheet'!Q9, 'Master List Import'!$A$1:$P$519, 15, FALSE), ""), "")</f>
        <v>1</v>
      </c>
      <c r="R483" s="74">
        <f>_xlfn.IFNA(IF('Interactive Selection Sheet'!F260= "", VLOOKUP('Interactive Selection Sheet'!Q9, 'Master List Import'!$A$1:$P$519, 16, FALSE), ""), "")</f>
        <v>2.25</v>
      </c>
    </row>
    <row r="484" spans="1:18" ht="21.75" customHeight="1" x14ac:dyDescent="0.25">
      <c r="A484" s="69" t="str">
        <f>_xlfn.IFNA(IF('Interactive Selection Sheet'!A29 = "", VLOOKUP('Interactive Selection Sheet'!$B29, 'Master List Import'!$A$1:$P$519, 2, FALSE), ""), "")</f>
        <v/>
      </c>
      <c r="B484" s="69" t="str">
        <f>_xlfn.IFNA(IF('Interactive Selection Sheet'!A29 = "", VLOOKUP('Interactive Selection Sheet'!$B29, 'Master List Import'!$A$1:$P$519, 3, FALSE), ""), "")</f>
        <v/>
      </c>
      <c r="C484" s="76" t="str">
        <f>IF('Interactive Selection Sheet'!$T$2="", "", IF(B484="","",'Interactive Selection Sheet'!$T$2))</f>
        <v/>
      </c>
      <c r="D484" s="70" t="str">
        <f>IF(B484 = "", "", 'Interactive Selection Sheet'!$Q$2)</f>
        <v/>
      </c>
      <c r="E484" s="70" t="str">
        <f>IF(B484="","", 'Interactive Selection Sheet'!$R$2)</f>
        <v/>
      </c>
      <c r="F484" s="69" t="str">
        <f>_xlfn.IFNA(IF('Interactive Selection Sheet'!A29 = "", VLOOKUP('Interactive Selection Sheet'!$B29, 'Master List Import'!$A$1:$P$519, 4, FALSE), ""), "")</f>
        <v/>
      </c>
      <c r="G484" s="69" t="str">
        <f>_xlfn.IFNA(IF('Interactive Selection Sheet'!A29 = "", VLOOKUP('Interactive Selection Sheet'!$B29, 'Master List Import'!$A$1:$P$519, 5, FALSE), ""), "")</f>
        <v/>
      </c>
      <c r="H484" s="69" t="str">
        <f>_xlfn.IFNA(IF('Interactive Selection Sheet'!A29 = "", VLOOKUP('Interactive Selection Sheet'!$B29, 'Master List Import'!$A$1:$P$519, 6, FALSE), ""), "")</f>
        <v/>
      </c>
      <c r="I484" s="72" t="str">
        <f>_xlfn.IFNA(IF('Interactive Selection Sheet'!A29 = "", VLOOKUP('Interactive Selection Sheet'!$B29, 'Master List Import'!$A$1:$P$519, 7, FALSE), ""), "")</f>
        <v/>
      </c>
      <c r="J484" s="69" t="str">
        <f>_xlfn.IFNA(IF('Interactive Selection Sheet'!A29 = "", VLOOKUP('Interactive Selection Sheet'!$B29, 'Master List Import'!$A$1:$P$519, 8, FALSE), ""), "")</f>
        <v/>
      </c>
      <c r="K484" s="69" t="str">
        <f>_xlfn.IFNA(IF('Interactive Selection Sheet'!A29 = "", VLOOKUP('Interactive Selection Sheet'!$B29, 'Master List Import'!$A$1:$P$519, 9, FALSE), ""), "")</f>
        <v/>
      </c>
      <c r="L484" s="69" t="str">
        <f>_xlfn.IFNA(IF('Interactive Selection Sheet'!A29 = "", VLOOKUP('Interactive Selection Sheet'!$B29, 'Master List Import'!$A$1:$P$519, 10, FALSE), ""), "")</f>
        <v/>
      </c>
      <c r="M484" s="69" t="str">
        <f>_xlfn.IFNA(IF('Interactive Selection Sheet'!A29 = "", VLOOKUP('Interactive Selection Sheet'!$B29, 'Master List Import'!$A$1:$P$519, 11, FALSE), ""), "")</f>
        <v/>
      </c>
      <c r="N484" s="69" t="str">
        <f>_xlfn.IFNA(IF('Interactive Selection Sheet'!A29 = "", VLOOKUP('Interactive Selection Sheet'!$B29, 'Master List Import'!$A$1:$P$519, 12, FALSE), ""), "")</f>
        <v/>
      </c>
      <c r="O484" s="69" t="str">
        <f>_xlfn.IFNA(IF('Interactive Selection Sheet'!A29 = "", VLOOKUP('Interactive Selection Sheet'!$B29, 'Master List Import'!$A$1:$P$519, 13, FALSE), ""), "")</f>
        <v/>
      </c>
      <c r="P484" s="69" t="str">
        <f>_xlfn.IFNA(IF('Interactive Selection Sheet'!A29 = "", VLOOKUP('Interactive Selection Sheet'!$B29, 'Master List Import'!$A$1:$P$519, 14, FALSE), ""), "")</f>
        <v/>
      </c>
      <c r="Q484" s="69" t="str">
        <f>_xlfn.IFNA(IF('Interactive Selection Sheet'!A29 = "", VLOOKUP('Interactive Selection Sheet'!$B29, 'Master List Import'!$A$1:$P$519, 15, FALSE), ""), "")</f>
        <v/>
      </c>
      <c r="R484" s="74" t="str">
        <f>_xlfn.IFNA(IF('Interactive Selection Sheet'!A29 = "", VLOOKUP('Interactive Selection Sheet'!$B29, 'Master List Import'!$A$1:$P$519, 16, FALSE), ""), "")</f>
        <v/>
      </c>
    </row>
    <row r="485" spans="1:18" ht="21.75" customHeight="1" x14ac:dyDescent="0.25">
      <c r="A485" s="69" t="str">
        <f>_xlfn.IFNA(IF('Interactive Selection Sheet'!A30 = "", VLOOKUP('Interactive Selection Sheet'!$B30, 'Master List Import'!$A$1:$P$519, 2, FALSE), ""), "")</f>
        <v/>
      </c>
      <c r="B485" s="69" t="str">
        <f>_xlfn.IFNA(IF('Interactive Selection Sheet'!A30 = "", VLOOKUP('Interactive Selection Sheet'!$B30, 'Master List Import'!$A$1:$P$519, 3, FALSE), ""), "")</f>
        <v/>
      </c>
      <c r="C485" s="76" t="str">
        <f>IF('Interactive Selection Sheet'!$T$2="", "", IF(B485="","",'Interactive Selection Sheet'!$T$2))</f>
        <v/>
      </c>
      <c r="D485" s="70" t="str">
        <f>IF(B485 = "", "", 'Interactive Selection Sheet'!$Q$2)</f>
        <v/>
      </c>
      <c r="E485" s="70" t="str">
        <f>IF(B485="","", 'Interactive Selection Sheet'!$R$2)</f>
        <v/>
      </c>
      <c r="F485" s="69" t="str">
        <f>_xlfn.IFNA(IF('Interactive Selection Sheet'!A30 = "", VLOOKUP('Interactive Selection Sheet'!$B30, 'Master List Import'!$A$1:$P$519, 4, FALSE), ""), "")</f>
        <v/>
      </c>
      <c r="G485" s="69" t="str">
        <f>_xlfn.IFNA(IF('Interactive Selection Sheet'!A30 = "", VLOOKUP('Interactive Selection Sheet'!$B30, 'Master List Import'!$A$1:$P$519, 5, FALSE), ""), "")</f>
        <v/>
      </c>
      <c r="H485" s="69" t="str">
        <f>_xlfn.IFNA(IF('Interactive Selection Sheet'!A30 = "", VLOOKUP('Interactive Selection Sheet'!$B30, 'Master List Import'!$A$1:$P$519, 6, FALSE), ""), "")</f>
        <v/>
      </c>
      <c r="I485" s="72" t="str">
        <f>_xlfn.IFNA(IF('Interactive Selection Sheet'!A30 = "", VLOOKUP('Interactive Selection Sheet'!$B30, 'Master List Import'!$A$1:$P$519, 7, FALSE), ""), "")</f>
        <v/>
      </c>
      <c r="J485" s="69" t="str">
        <f>_xlfn.IFNA(IF('Interactive Selection Sheet'!A30 = "", VLOOKUP('Interactive Selection Sheet'!$B30, 'Master List Import'!$A$1:$P$519, 8, FALSE), ""), "")</f>
        <v/>
      </c>
      <c r="K485" s="69" t="str">
        <f>_xlfn.IFNA(IF('Interactive Selection Sheet'!A30 = "", VLOOKUP('Interactive Selection Sheet'!$B30, 'Master List Import'!$A$1:$P$519, 9, FALSE), ""), "")</f>
        <v/>
      </c>
      <c r="L485" s="69" t="str">
        <f>_xlfn.IFNA(IF('Interactive Selection Sheet'!A30 = "", VLOOKUP('Interactive Selection Sheet'!$B30, 'Master List Import'!$A$1:$P$519, 10, FALSE), ""), "")</f>
        <v/>
      </c>
      <c r="M485" s="69" t="str">
        <f>_xlfn.IFNA(IF('Interactive Selection Sheet'!A30 = "", VLOOKUP('Interactive Selection Sheet'!$B30, 'Master List Import'!$A$1:$P$519, 11, FALSE), ""), "")</f>
        <v/>
      </c>
      <c r="N485" s="69" t="str">
        <f>_xlfn.IFNA(IF('Interactive Selection Sheet'!A30 = "", VLOOKUP('Interactive Selection Sheet'!$B30, 'Master List Import'!$A$1:$P$519, 12, FALSE), ""), "")</f>
        <v/>
      </c>
      <c r="O485" s="69" t="str">
        <f>_xlfn.IFNA(IF('Interactive Selection Sheet'!A30 = "", VLOOKUP('Interactive Selection Sheet'!$B30, 'Master List Import'!$A$1:$P$519, 13, FALSE), ""), "")</f>
        <v/>
      </c>
      <c r="P485" s="69" t="str">
        <f>_xlfn.IFNA(IF('Interactive Selection Sheet'!A30 = "", VLOOKUP('Interactive Selection Sheet'!$B30, 'Master List Import'!$A$1:$P$519, 14, FALSE), ""), "")</f>
        <v/>
      </c>
      <c r="Q485" s="69" t="str">
        <f>_xlfn.IFNA(IF('Interactive Selection Sheet'!A30 = "", VLOOKUP('Interactive Selection Sheet'!$B30, 'Master List Import'!$A$1:$P$519, 15, FALSE), ""), "")</f>
        <v/>
      </c>
      <c r="R485" s="74" t="str">
        <f>_xlfn.IFNA(IF('Interactive Selection Sheet'!A30 = "", VLOOKUP('Interactive Selection Sheet'!$B30, 'Master List Import'!$A$1:$P$519, 16, FALSE), ""), "")</f>
        <v/>
      </c>
    </row>
    <row r="486" spans="1:18" ht="21.75" customHeight="1" x14ac:dyDescent="0.25">
      <c r="A486" s="69" t="str">
        <f>_xlfn.IFNA(IF('Interactive Selection Sheet'!A31 = "", VLOOKUP('Interactive Selection Sheet'!$B31, 'Master List Import'!$A$1:$P$519, 2, FALSE), ""), "")</f>
        <v/>
      </c>
      <c r="B486" s="69" t="str">
        <f>_xlfn.IFNA(IF('Interactive Selection Sheet'!A31 = "", VLOOKUP('Interactive Selection Sheet'!$B31, 'Master List Import'!$A$1:$P$519, 3, FALSE), ""), "")</f>
        <v/>
      </c>
      <c r="C486" s="76" t="str">
        <f>IF('Interactive Selection Sheet'!$T$2="", "", IF(B486="","",'Interactive Selection Sheet'!$T$2))</f>
        <v/>
      </c>
      <c r="D486" s="70" t="str">
        <f>IF(B486 = "", "", 'Interactive Selection Sheet'!$Q$2)</f>
        <v/>
      </c>
      <c r="E486" s="70" t="str">
        <f>IF(B486="","", 'Interactive Selection Sheet'!$R$2)</f>
        <v/>
      </c>
      <c r="F486" s="69" t="str">
        <f>_xlfn.IFNA(IF('Interactive Selection Sheet'!A31 = "", VLOOKUP('Interactive Selection Sheet'!$B31, 'Master List Import'!$A$1:$P$519, 4, FALSE), ""), "")</f>
        <v/>
      </c>
      <c r="G486" s="69" t="str">
        <f>_xlfn.IFNA(IF('Interactive Selection Sheet'!A31 = "", VLOOKUP('Interactive Selection Sheet'!$B31, 'Master List Import'!$A$1:$P$519, 5, FALSE), ""), "")</f>
        <v/>
      </c>
      <c r="H486" s="69" t="str">
        <f>_xlfn.IFNA(IF('Interactive Selection Sheet'!A31 = "", VLOOKUP('Interactive Selection Sheet'!$B31, 'Master List Import'!$A$1:$P$519, 6, FALSE), ""), "")</f>
        <v/>
      </c>
      <c r="I486" s="72" t="str">
        <f>_xlfn.IFNA(IF('Interactive Selection Sheet'!A31 = "", VLOOKUP('Interactive Selection Sheet'!$B31, 'Master List Import'!$A$1:$P$519, 7, FALSE), ""), "")</f>
        <v/>
      </c>
      <c r="J486" s="69" t="str">
        <f>_xlfn.IFNA(IF('Interactive Selection Sheet'!A31 = "", VLOOKUP('Interactive Selection Sheet'!$B31, 'Master List Import'!$A$1:$P$519, 8, FALSE), ""), "")</f>
        <v/>
      </c>
      <c r="K486" s="69" t="str">
        <f>_xlfn.IFNA(IF('Interactive Selection Sheet'!A31 = "", VLOOKUP('Interactive Selection Sheet'!$B31, 'Master List Import'!$A$1:$P$519, 9, FALSE), ""), "")</f>
        <v/>
      </c>
      <c r="L486" s="69" t="str">
        <f>_xlfn.IFNA(IF('Interactive Selection Sheet'!A31 = "", VLOOKUP('Interactive Selection Sheet'!$B31, 'Master List Import'!$A$1:$P$519, 10, FALSE), ""), "")</f>
        <v/>
      </c>
      <c r="M486" s="69" t="str">
        <f>_xlfn.IFNA(IF('Interactive Selection Sheet'!A31 = "", VLOOKUP('Interactive Selection Sheet'!$B31, 'Master List Import'!$A$1:$P$519, 11, FALSE), ""), "")</f>
        <v/>
      </c>
      <c r="N486" s="69" t="str">
        <f>_xlfn.IFNA(IF('Interactive Selection Sheet'!A31 = "", VLOOKUP('Interactive Selection Sheet'!$B31, 'Master List Import'!$A$1:$P$519, 12, FALSE), ""), "")</f>
        <v/>
      </c>
      <c r="O486" s="69" t="str">
        <f>_xlfn.IFNA(IF('Interactive Selection Sheet'!A31 = "", VLOOKUP('Interactive Selection Sheet'!$B31, 'Master List Import'!$A$1:$P$519, 13, FALSE), ""), "")</f>
        <v/>
      </c>
      <c r="P486" s="69" t="str">
        <f>_xlfn.IFNA(IF('Interactive Selection Sheet'!A31 = "", VLOOKUP('Interactive Selection Sheet'!$B31, 'Master List Import'!$A$1:$P$519, 14, FALSE), ""), "")</f>
        <v/>
      </c>
      <c r="Q486" s="69" t="str">
        <f>_xlfn.IFNA(IF('Interactive Selection Sheet'!A31 = "", VLOOKUP('Interactive Selection Sheet'!$B31, 'Master List Import'!$A$1:$P$519, 15, FALSE), ""), "")</f>
        <v/>
      </c>
      <c r="R486" s="74" t="str">
        <f>_xlfn.IFNA(IF('Interactive Selection Sheet'!A31 = "", VLOOKUP('Interactive Selection Sheet'!$B31, 'Master List Import'!$A$1:$P$519, 16, FALSE), ""), "")</f>
        <v/>
      </c>
    </row>
    <row r="487" spans="1:18" ht="21.75" customHeight="1" x14ac:dyDescent="0.25">
      <c r="A487" s="69" t="str">
        <f>_xlfn.IFNA(IF('Interactive Selection Sheet'!A32 = "", VLOOKUP('Interactive Selection Sheet'!$B32, 'Master List Import'!$A$1:$P$519, 2, FALSE), ""), "")</f>
        <v/>
      </c>
      <c r="B487" s="69" t="str">
        <f>_xlfn.IFNA(IF('Interactive Selection Sheet'!A32 = "", VLOOKUP('Interactive Selection Sheet'!$B32, 'Master List Import'!$A$1:$P$519, 3, FALSE), ""), "")</f>
        <v/>
      </c>
      <c r="C487" s="76" t="str">
        <f>IF('Interactive Selection Sheet'!$T$2="", "", IF(B487="","",'Interactive Selection Sheet'!$T$2))</f>
        <v/>
      </c>
      <c r="D487" s="70" t="str">
        <f>IF(B487 = "", "", 'Interactive Selection Sheet'!$Q$2)</f>
        <v/>
      </c>
      <c r="E487" s="70" t="str">
        <f>IF(B487="","", 'Interactive Selection Sheet'!$R$2)</f>
        <v/>
      </c>
      <c r="F487" s="69" t="str">
        <f>_xlfn.IFNA(IF('Interactive Selection Sheet'!A32 = "", VLOOKUP('Interactive Selection Sheet'!$B32, 'Master List Import'!$A$1:$P$519, 4, FALSE), ""), "")</f>
        <v/>
      </c>
      <c r="G487" s="69" t="str">
        <f>_xlfn.IFNA(IF('Interactive Selection Sheet'!A32 = "", VLOOKUP('Interactive Selection Sheet'!$B32, 'Master List Import'!$A$1:$P$519, 5, FALSE), ""), "")</f>
        <v/>
      </c>
      <c r="H487" s="69" t="str">
        <f>_xlfn.IFNA(IF('Interactive Selection Sheet'!A32 = "", VLOOKUP('Interactive Selection Sheet'!$B32, 'Master List Import'!$A$1:$P$519, 6, FALSE), ""), "")</f>
        <v/>
      </c>
      <c r="I487" s="72" t="str">
        <f>_xlfn.IFNA(IF('Interactive Selection Sheet'!A32 = "", VLOOKUP('Interactive Selection Sheet'!$B32, 'Master List Import'!$A$1:$P$519, 7, FALSE), ""), "")</f>
        <v/>
      </c>
      <c r="J487" s="69" t="str">
        <f>_xlfn.IFNA(IF('Interactive Selection Sheet'!A32 = "", VLOOKUP('Interactive Selection Sheet'!$B32, 'Master List Import'!$A$1:$P$519, 8, FALSE), ""), "")</f>
        <v/>
      </c>
      <c r="K487" s="69" t="str">
        <f>_xlfn.IFNA(IF('Interactive Selection Sheet'!A32 = "", VLOOKUP('Interactive Selection Sheet'!$B32, 'Master List Import'!$A$1:$P$519, 9, FALSE), ""), "")</f>
        <v/>
      </c>
      <c r="L487" s="69" t="str">
        <f>_xlfn.IFNA(IF('Interactive Selection Sheet'!A32 = "", VLOOKUP('Interactive Selection Sheet'!$B32, 'Master List Import'!$A$1:$P$519, 10, FALSE), ""), "")</f>
        <v/>
      </c>
      <c r="M487" s="69" t="str">
        <f>_xlfn.IFNA(IF('Interactive Selection Sheet'!A32 = "", VLOOKUP('Interactive Selection Sheet'!$B32, 'Master List Import'!$A$1:$P$519, 11, FALSE), ""), "")</f>
        <v/>
      </c>
      <c r="N487" s="69" t="str">
        <f>_xlfn.IFNA(IF('Interactive Selection Sheet'!A32 = "", VLOOKUP('Interactive Selection Sheet'!$B32, 'Master List Import'!$A$1:$P$519, 12, FALSE), ""), "")</f>
        <v/>
      </c>
      <c r="O487" s="69" t="str">
        <f>_xlfn.IFNA(IF('Interactive Selection Sheet'!A32 = "", VLOOKUP('Interactive Selection Sheet'!$B32, 'Master List Import'!$A$1:$P$519, 13, FALSE), ""), "")</f>
        <v/>
      </c>
      <c r="P487" s="69" t="str">
        <f>_xlfn.IFNA(IF('Interactive Selection Sheet'!A32 = "", VLOOKUP('Interactive Selection Sheet'!$B32, 'Master List Import'!$A$1:$P$519, 14, FALSE), ""), "")</f>
        <v/>
      </c>
      <c r="Q487" s="69" t="str">
        <f>_xlfn.IFNA(IF('Interactive Selection Sheet'!A32 = "", VLOOKUP('Interactive Selection Sheet'!$B32, 'Master List Import'!$A$1:$P$519, 15, FALSE), ""), "")</f>
        <v/>
      </c>
      <c r="R487" s="74" t="str">
        <f>_xlfn.IFNA(IF('Interactive Selection Sheet'!A32 = "", VLOOKUP('Interactive Selection Sheet'!$B32, 'Master List Import'!$A$1:$P$519, 16, FALSE), ""), "")</f>
        <v/>
      </c>
    </row>
    <row r="488" spans="1:18" ht="21.75" customHeight="1" x14ac:dyDescent="0.25">
      <c r="A488" s="69" t="str">
        <f>_xlfn.IFNA(IF('Interactive Selection Sheet'!A33 = "", VLOOKUP('Interactive Selection Sheet'!$B33, 'Master List Import'!$A$1:$P$519, 2, FALSE), ""), "")</f>
        <v/>
      </c>
      <c r="B488" s="69" t="str">
        <f>_xlfn.IFNA(IF('Interactive Selection Sheet'!A33 = "", VLOOKUP('Interactive Selection Sheet'!$B33, 'Master List Import'!$A$1:$P$519, 3, FALSE), ""), "")</f>
        <v/>
      </c>
      <c r="C488" s="76" t="str">
        <f>IF('Interactive Selection Sheet'!$T$2="", "", IF(B488="","",'Interactive Selection Sheet'!$T$2))</f>
        <v/>
      </c>
      <c r="D488" s="70" t="str">
        <f>IF(B488 = "", "", 'Interactive Selection Sheet'!$Q$2)</f>
        <v/>
      </c>
      <c r="E488" s="70" t="str">
        <f>IF(B488="","", 'Interactive Selection Sheet'!$R$2)</f>
        <v/>
      </c>
      <c r="F488" s="69" t="str">
        <f>_xlfn.IFNA(IF('Interactive Selection Sheet'!A33 = "", VLOOKUP('Interactive Selection Sheet'!$B33, 'Master List Import'!$A$1:$P$519, 4, FALSE), ""), "")</f>
        <v/>
      </c>
      <c r="G488" s="69" t="str">
        <f>_xlfn.IFNA(IF('Interactive Selection Sheet'!A33 = "", VLOOKUP('Interactive Selection Sheet'!$B33, 'Master List Import'!$A$1:$P$519, 5, FALSE), ""), "")</f>
        <v/>
      </c>
      <c r="H488" s="69" t="str">
        <f>_xlfn.IFNA(IF('Interactive Selection Sheet'!A33 = "", VLOOKUP('Interactive Selection Sheet'!$B33, 'Master List Import'!$A$1:$P$519, 6, FALSE), ""), "")</f>
        <v/>
      </c>
      <c r="I488" s="72" t="str">
        <f>_xlfn.IFNA(IF('Interactive Selection Sheet'!A33 = "", VLOOKUP('Interactive Selection Sheet'!$B33, 'Master List Import'!$A$1:$P$519, 7, FALSE), ""), "")</f>
        <v/>
      </c>
      <c r="J488" s="69" t="str">
        <f>_xlfn.IFNA(IF('Interactive Selection Sheet'!A33 = "", VLOOKUP('Interactive Selection Sheet'!$B33, 'Master List Import'!$A$1:$P$519, 8, FALSE), ""), "")</f>
        <v/>
      </c>
      <c r="K488" s="69" t="str">
        <f>_xlfn.IFNA(IF('Interactive Selection Sheet'!A33 = "", VLOOKUP('Interactive Selection Sheet'!$B33, 'Master List Import'!$A$1:$P$519, 9, FALSE), ""), "")</f>
        <v/>
      </c>
      <c r="L488" s="69" t="str">
        <f>_xlfn.IFNA(IF('Interactive Selection Sheet'!A33 = "", VLOOKUP('Interactive Selection Sheet'!$B33, 'Master List Import'!$A$1:$P$519, 10, FALSE), ""), "")</f>
        <v/>
      </c>
      <c r="M488" s="69" t="str">
        <f>_xlfn.IFNA(IF('Interactive Selection Sheet'!A33 = "", VLOOKUP('Interactive Selection Sheet'!$B33, 'Master List Import'!$A$1:$P$519, 11, FALSE), ""), "")</f>
        <v/>
      </c>
      <c r="N488" s="69" t="str">
        <f>_xlfn.IFNA(IF('Interactive Selection Sheet'!A33 = "", VLOOKUP('Interactive Selection Sheet'!$B33, 'Master List Import'!$A$1:$P$519, 12, FALSE), ""), "")</f>
        <v/>
      </c>
      <c r="O488" s="69" t="str">
        <f>_xlfn.IFNA(IF('Interactive Selection Sheet'!A33 = "", VLOOKUP('Interactive Selection Sheet'!$B33, 'Master List Import'!$A$1:$P$519, 13, FALSE), ""), "")</f>
        <v/>
      </c>
      <c r="P488" s="69" t="str">
        <f>_xlfn.IFNA(IF('Interactive Selection Sheet'!A33 = "", VLOOKUP('Interactive Selection Sheet'!$B33, 'Master List Import'!$A$1:$P$519, 14, FALSE), ""), "")</f>
        <v/>
      </c>
      <c r="Q488" s="69" t="str">
        <f>_xlfn.IFNA(IF('Interactive Selection Sheet'!A33 = "", VLOOKUP('Interactive Selection Sheet'!$B33, 'Master List Import'!$A$1:$P$519, 15, FALSE), ""), "")</f>
        <v/>
      </c>
      <c r="R488" s="74" t="str">
        <f>_xlfn.IFNA(IF('Interactive Selection Sheet'!A33 = "", VLOOKUP('Interactive Selection Sheet'!$B33, 'Master List Import'!$A$1:$P$519, 16, FALSE), ""), "")</f>
        <v/>
      </c>
    </row>
    <row r="489" spans="1:18" ht="21.75" customHeight="1" x14ac:dyDescent="0.25">
      <c r="A489" s="69" t="str">
        <f>_xlfn.IFNA(IF('Interactive Selection Sheet'!A34 = "", VLOOKUP('Interactive Selection Sheet'!$B34, 'Master List Import'!$A$1:$P$519, 2, FALSE), ""), "")</f>
        <v/>
      </c>
      <c r="B489" s="69" t="str">
        <f>_xlfn.IFNA(IF('Interactive Selection Sheet'!A34 = "", VLOOKUP('Interactive Selection Sheet'!$B34, 'Master List Import'!$A$1:$P$519, 3, FALSE), ""), "")</f>
        <v/>
      </c>
      <c r="C489" s="76" t="str">
        <f>IF('Interactive Selection Sheet'!$T$2="", "", IF(B489="","",'Interactive Selection Sheet'!$T$2))</f>
        <v/>
      </c>
      <c r="D489" s="70" t="str">
        <f>IF(B489 = "", "", 'Interactive Selection Sheet'!$Q$2)</f>
        <v/>
      </c>
      <c r="E489" s="70" t="str">
        <f>IF(B489="","", 'Interactive Selection Sheet'!$R$2)</f>
        <v/>
      </c>
      <c r="F489" s="69" t="str">
        <f>_xlfn.IFNA(IF('Interactive Selection Sheet'!A34 = "", VLOOKUP('Interactive Selection Sheet'!$B34, 'Master List Import'!$A$1:$P$519, 4, FALSE), ""), "")</f>
        <v/>
      </c>
      <c r="G489" s="69" t="str">
        <f>_xlfn.IFNA(IF('Interactive Selection Sheet'!A34 = "", VLOOKUP('Interactive Selection Sheet'!$B34, 'Master List Import'!$A$1:$P$519, 5, FALSE), ""), "")</f>
        <v/>
      </c>
      <c r="H489" s="69" t="str">
        <f>_xlfn.IFNA(IF('Interactive Selection Sheet'!A34 = "", VLOOKUP('Interactive Selection Sheet'!$B34, 'Master List Import'!$A$1:$P$519, 6, FALSE), ""), "")</f>
        <v/>
      </c>
      <c r="I489" s="72" t="str">
        <f>_xlfn.IFNA(IF('Interactive Selection Sheet'!A34 = "", VLOOKUP('Interactive Selection Sheet'!$B34, 'Master List Import'!$A$1:$P$519, 7, FALSE), ""), "")</f>
        <v/>
      </c>
      <c r="J489" s="69" t="str">
        <f>_xlfn.IFNA(IF('Interactive Selection Sheet'!A34 = "", VLOOKUP('Interactive Selection Sheet'!$B34, 'Master List Import'!$A$1:$P$519, 8, FALSE), ""), "")</f>
        <v/>
      </c>
      <c r="K489" s="69" t="str">
        <f>_xlfn.IFNA(IF('Interactive Selection Sheet'!A34 = "", VLOOKUP('Interactive Selection Sheet'!$B34, 'Master List Import'!$A$1:$P$519, 9, FALSE), ""), "")</f>
        <v/>
      </c>
      <c r="L489" s="69" t="str">
        <f>_xlfn.IFNA(IF('Interactive Selection Sheet'!A34 = "", VLOOKUP('Interactive Selection Sheet'!$B34, 'Master List Import'!$A$1:$P$519, 10, FALSE), ""), "")</f>
        <v/>
      </c>
      <c r="M489" s="69" t="str">
        <f>_xlfn.IFNA(IF('Interactive Selection Sheet'!A34 = "", VLOOKUP('Interactive Selection Sheet'!$B34, 'Master List Import'!$A$1:$P$519, 11, FALSE), ""), "")</f>
        <v/>
      </c>
      <c r="N489" s="69" t="str">
        <f>_xlfn.IFNA(IF('Interactive Selection Sheet'!A34 = "", VLOOKUP('Interactive Selection Sheet'!$B34, 'Master List Import'!$A$1:$P$519, 12, FALSE), ""), "")</f>
        <v/>
      </c>
      <c r="O489" s="69" t="str">
        <f>_xlfn.IFNA(IF('Interactive Selection Sheet'!A34 = "", VLOOKUP('Interactive Selection Sheet'!$B34, 'Master List Import'!$A$1:$P$519, 13, FALSE), ""), "")</f>
        <v/>
      </c>
      <c r="P489" s="69" t="str">
        <f>_xlfn.IFNA(IF('Interactive Selection Sheet'!A34 = "", VLOOKUP('Interactive Selection Sheet'!$B34, 'Master List Import'!$A$1:$P$519, 14, FALSE), ""), "")</f>
        <v/>
      </c>
      <c r="Q489" s="69" t="str">
        <f>_xlfn.IFNA(IF('Interactive Selection Sheet'!A34 = "", VLOOKUP('Interactive Selection Sheet'!$B34, 'Master List Import'!$A$1:$P$519, 15, FALSE), ""), "")</f>
        <v/>
      </c>
      <c r="R489" s="74" t="str">
        <f>_xlfn.IFNA(IF('Interactive Selection Sheet'!A34 = "", VLOOKUP('Interactive Selection Sheet'!$B34, 'Master List Import'!$A$1:$P$519, 16, FALSE), ""), "")</f>
        <v/>
      </c>
    </row>
    <row r="490" spans="1:18" ht="21.75" customHeight="1" x14ac:dyDescent="0.25">
      <c r="A490" s="69" t="str">
        <f>_xlfn.IFNA(IF('Interactive Selection Sheet'!A35 = "", VLOOKUP('Interactive Selection Sheet'!$B35, 'Master List Import'!$A$1:$P$519, 2, FALSE), ""), "")</f>
        <v/>
      </c>
      <c r="B490" s="69" t="str">
        <f>_xlfn.IFNA(IF('Interactive Selection Sheet'!A35 = "", VLOOKUP('Interactive Selection Sheet'!$B35, 'Master List Import'!$A$1:$P$519, 3, FALSE), ""), "")</f>
        <v/>
      </c>
      <c r="C490" s="76" t="str">
        <f>IF('Interactive Selection Sheet'!$T$2="", "", IF(B490="","",'Interactive Selection Sheet'!$T$2))</f>
        <v/>
      </c>
      <c r="D490" s="70" t="str">
        <f>IF(B490 = "", "", 'Interactive Selection Sheet'!$Q$2)</f>
        <v/>
      </c>
      <c r="E490" s="70" t="str">
        <f>IF(B490="","", 'Interactive Selection Sheet'!$R$2)</f>
        <v/>
      </c>
      <c r="F490" s="69" t="str">
        <f>_xlfn.IFNA(IF('Interactive Selection Sheet'!A35 = "", VLOOKUP('Interactive Selection Sheet'!$B35, 'Master List Import'!$A$1:$P$519, 4, FALSE), ""), "")</f>
        <v/>
      </c>
      <c r="G490" s="69" t="str">
        <f>_xlfn.IFNA(IF('Interactive Selection Sheet'!A35 = "", VLOOKUP('Interactive Selection Sheet'!$B35, 'Master List Import'!$A$1:$P$519, 5, FALSE), ""), "")</f>
        <v/>
      </c>
      <c r="H490" s="69" t="str">
        <f>_xlfn.IFNA(IF('Interactive Selection Sheet'!A35 = "", VLOOKUP('Interactive Selection Sheet'!$B35, 'Master List Import'!$A$1:$P$519, 6, FALSE), ""), "")</f>
        <v/>
      </c>
      <c r="I490" s="72" t="str">
        <f>_xlfn.IFNA(IF('Interactive Selection Sheet'!A35 = "", VLOOKUP('Interactive Selection Sheet'!$B35, 'Master List Import'!$A$1:$P$519, 7, FALSE), ""), "")</f>
        <v/>
      </c>
      <c r="J490" s="69" t="str">
        <f>_xlfn.IFNA(IF('Interactive Selection Sheet'!A35 = "", VLOOKUP('Interactive Selection Sheet'!$B35, 'Master List Import'!$A$1:$P$519, 8, FALSE), ""), "")</f>
        <v/>
      </c>
      <c r="K490" s="69" t="str">
        <f>_xlfn.IFNA(IF('Interactive Selection Sheet'!A35 = "", VLOOKUP('Interactive Selection Sheet'!$B35, 'Master List Import'!$A$1:$P$519, 9, FALSE), ""), "")</f>
        <v/>
      </c>
      <c r="L490" s="69" t="str">
        <f>_xlfn.IFNA(IF('Interactive Selection Sheet'!A35 = "", VLOOKUP('Interactive Selection Sheet'!$B35, 'Master List Import'!$A$1:$P$519, 10, FALSE), ""), "")</f>
        <v/>
      </c>
      <c r="M490" s="69" t="str">
        <f>_xlfn.IFNA(IF('Interactive Selection Sheet'!A35 = "", VLOOKUP('Interactive Selection Sheet'!$B35, 'Master List Import'!$A$1:$P$519, 11, FALSE), ""), "")</f>
        <v/>
      </c>
      <c r="N490" s="69" t="str">
        <f>_xlfn.IFNA(IF('Interactive Selection Sheet'!A35 = "", VLOOKUP('Interactive Selection Sheet'!$B35, 'Master List Import'!$A$1:$P$519, 12, FALSE), ""), "")</f>
        <v/>
      </c>
      <c r="O490" s="69" t="str">
        <f>_xlfn.IFNA(IF('Interactive Selection Sheet'!A35 = "", VLOOKUP('Interactive Selection Sheet'!$B35, 'Master List Import'!$A$1:$P$519, 13, FALSE), ""), "")</f>
        <v/>
      </c>
      <c r="P490" s="69" t="str">
        <f>_xlfn.IFNA(IF('Interactive Selection Sheet'!A35 = "", VLOOKUP('Interactive Selection Sheet'!$B35, 'Master List Import'!$A$1:$P$519, 14, FALSE), ""), "")</f>
        <v/>
      </c>
      <c r="Q490" s="69" t="str">
        <f>_xlfn.IFNA(IF('Interactive Selection Sheet'!A35 = "", VLOOKUP('Interactive Selection Sheet'!$B35, 'Master List Import'!$A$1:$P$519, 15, FALSE), ""), "")</f>
        <v/>
      </c>
      <c r="R490" s="74" t="str">
        <f>_xlfn.IFNA(IF('Interactive Selection Sheet'!A35 = "", VLOOKUP('Interactive Selection Sheet'!$B35, 'Master List Import'!$A$1:$P$519, 16, FALSE), ""), "")</f>
        <v/>
      </c>
    </row>
    <row r="491" spans="1:18" ht="21.75" customHeight="1" x14ac:dyDescent="0.25">
      <c r="A491" s="69" t="str">
        <f>_xlfn.IFNA(IF('Interactive Selection Sheet'!A36 = "", VLOOKUP('Interactive Selection Sheet'!$B36, 'Master List Import'!$A$1:$P$519, 2, FALSE), ""), "")</f>
        <v/>
      </c>
      <c r="B491" s="69" t="str">
        <f>_xlfn.IFNA(IF('Interactive Selection Sheet'!A36 = "", VLOOKUP('Interactive Selection Sheet'!$B36, 'Master List Import'!$A$1:$P$519, 3, FALSE), ""), "")</f>
        <v/>
      </c>
      <c r="C491" s="76" t="str">
        <f>IF('Interactive Selection Sheet'!$T$2="", "", IF(B491="","",'Interactive Selection Sheet'!$T$2))</f>
        <v/>
      </c>
      <c r="D491" s="70" t="str">
        <f>IF(B491 = "", "", 'Interactive Selection Sheet'!$Q$2)</f>
        <v/>
      </c>
      <c r="E491" s="70" t="str">
        <f>IF(B491="","", 'Interactive Selection Sheet'!$R$2)</f>
        <v/>
      </c>
      <c r="F491" s="69" t="str">
        <f>_xlfn.IFNA(IF('Interactive Selection Sheet'!A36 = "", VLOOKUP('Interactive Selection Sheet'!$B36, 'Master List Import'!$A$1:$P$519, 4, FALSE), ""), "")</f>
        <v/>
      </c>
      <c r="G491" s="69" t="str">
        <f>_xlfn.IFNA(IF('Interactive Selection Sheet'!A36 = "", VLOOKUP('Interactive Selection Sheet'!$B36, 'Master List Import'!$A$1:$P$519, 5, FALSE), ""), "")</f>
        <v/>
      </c>
      <c r="H491" s="69" t="str">
        <f>_xlfn.IFNA(IF('Interactive Selection Sheet'!A36 = "", VLOOKUP('Interactive Selection Sheet'!$B36, 'Master List Import'!$A$1:$P$519, 6, FALSE), ""), "")</f>
        <v/>
      </c>
      <c r="I491" s="72" t="str">
        <f>_xlfn.IFNA(IF('Interactive Selection Sheet'!A36 = "", VLOOKUP('Interactive Selection Sheet'!$B36, 'Master List Import'!$A$1:$P$519, 7, FALSE), ""), "")</f>
        <v/>
      </c>
      <c r="J491" s="69" t="str">
        <f>_xlfn.IFNA(IF('Interactive Selection Sheet'!A36 = "", VLOOKUP('Interactive Selection Sheet'!$B36, 'Master List Import'!$A$1:$P$519, 8, FALSE), ""), "")</f>
        <v/>
      </c>
      <c r="K491" s="69" t="str">
        <f>_xlfn.IFNA(IF('Interactive Selection Sheet'!A36 = "", VLOOKUP('Interactive Selection Sheet'!$B36, 'Master List Import'!$A$1:$P$519, 9, FALSE), ""), "")</f>
        <v/>
      </c>
      <c r="L491" s="69" t="str">
        <f>_xlfn.IFNA(IF('Interactive Selection Sheet'!A36 = "", VLOOKUP('Interactive Selection Sheet'!$B36, 'Master List Import'!$A$1:$P$519, 10, FALSE), ""), "")</f>
        <v/>
      </c>
      <c r="M491" s="69" t="str">
        <f>_xlfn.IFNA(IF('Interactive Selection Sheet'!A36 = "", VLOOKUP('Interactive Selection Sheet'!$B36, 'Master List Import'!$A$1:$P$519, 11, FALSE), ""), "")</f>
        <v/>
      </c>
      <c r="N491" s="69" t="str">
        <f>_xlfn.IFNA(IF('Interactive Selection Sheet'!A36 = "", VLOOKUP('Interactive Selection Sheet'!$B36, 'Master List Import'!$A$1:$P$519, 12, FALSE), ""), "")</f>
        <v/>
      </c>
      <c r="O491" s="69" t="str">
        <f>_xlfn.IFNA(IF('Interactive Selection Sheet'!A36 = "", VLOOKUP('Interactive Selection Sheet'!$B36, 'Master List Import'!$A$1:$P$519, 13, FALSE), ""), "")</f>
        <v/>
      </c>
      <c r="P491" s="69" t="str">
        <f>_xlfn.IFNA(IF('Interactive Selection Sheet'!A36 = "", VLOOKUP('Interactive Selection Sheet'!$B36, 'Master List Import'!$A$1:$P$519, 14, FALSE), ""), "")</f>
        <v/>
      </c>
      <c r="Q491" s="69" t="str">
        <f>_xlfn.IFNA(IF('Interactive Selection Sheet'!A36 = "", VLOOKUP('Interactive Selection Sheet'!$B36, 'Master List Import'!$A$1:$P$519, 15, FALSE), ""), "")</f>
        <v/>
      </c>
      <c r="R491" s="74" t="str">
        <f>_xlfn.IFNA(IF('Interactive Selection Sheet'!A36 = "", VLOOKUP('Interactive Selection Sheet'!$B36, 'Master List Import'!$A$1:$P$519, 16, FALSE), ""), "")</f>
        <v/>
      </c>
    </row>
    <row r="492" spans="1:18" ht="21.75" customHeight="1" x14ac:dyDescent="0.25">
      <c r="A492" s="69" t="str">
        <f>_xlfn.IFNA(IF('Interactive Selection Sheet'!A37 = "", VLOOKUP('Interactive Selection Sheet'!$B37, 'Master List Import'!$A$1:$P$519, 2, FALSE), ""), "")</f>
        <v/>
      </c>
      <c r="B492" s="69" t="str">
        <f>_xlfn.IFNA(IF('Interactive Selection Sheet'!A37 = "", VLOOKUP('Interactive Selection Sheet'!$B37, 'Master List Import'!$A$1:$P$519, 3, FALSE), ""), "")</f>
        <v/>
      </c>
      <c r="C492" s="76" t="str">
        <f>IF('Interactive Selection Sheet'!$T$2="", "", IF(B492="","",'Interactive Selection Sheet'!$T$2))</f>
        <v/>
      </c>
      <c r="D492" s="70" t="str">
        <f>IF(B492 = "", "", 'Interactive Selection Sheet'!$Q$2)</f>
        <v/>
      </c>
      <c r="E492" s="70" t="str">
        <f>IF(B492="","", 'Interactive Selection Sheet'!$R$2)</f>
        <v/>
      </c>
      <c r="F492" s="69" t="str">
        <f>_xlfn.IFNA(IF('Interactive Selection Sheet'!A37 = "", VLOOKUP('Interactive Selection Sheet'!$B37, 'Master List Import'!$A$1:$P$519, 4, FALSE), ""), "")</f>
        <v/>
      </c>
      <c r="G492" s="69" t="str">
        <f>_xlfn.IFNA(IF('Interactive Selection Sheet'!A37 = "", VLOOKUP('Interactive Selection Sheet'!$B37, 'Master List Import'!$A$1:$P$519, 5, FALSE), ""), "")</f>
        <v/>
      </c>
      <c r="H492" s="69" t="str">
        <f>_xlfn.IFNA(IF('Interactive Selection Sheet'!A37 = "", VLOOKUP('Interactive Selection Sheet'!$B37, 'Master List Import'!$A$1:$P$519, 6, FALSE), ""), "")</f>
        <v/>
      </c>
      <c r="I492" s="72" t="str">
        <f>_xlfn.IFNA(IF('Interactive Selection Sheet'!A37 = "", VLOOKUP('Interactive Selection Sheet'!$B37, 'Master List Import'!$A$1:$P$519, 7, FALSE), ""), "")</f>
        <v/>
      </c>
      <c r="J492" s="69" t="str">
        <f>_xlfn.IFNA(IF('Interactive Selection Sheet'!A37 = "", VLOOKUP('Interactive Selection Sheet'!$B37, 'Master List Import'!$A$1:$P$519, 8, FALSE), ""), "")</f>
        <v/>
      </c>
      <c r="K492" s="69" t="str">
        <f>_xlfn.IFNA(IF('Interactive Selection Sheet'!A37 = "", VLOOKUP('Interactive Selection Sheet'!$B37, 'Master List Import'!$A$1:$P$519, 9, FALSE), ""), "")</f>
        <v/>
      </c>
      <c r="L492" s="69" t="str">
        <f>_xlfn.IFNA(IF('Interactive Selection Sheet'!A37 = "", VLOOKUP('Interactive Selection Sheet'!$B37, 'Master List Import'!$A$1:$P$519, 10, FALSE), ""), "")</f>
        <v/>
      </c>
      <c r="M492" s="69" t="str">
        <f>_xlfn.IFNA(IF('Interactive Selection Sheet'!A37 = "", VLOOKUP('Interactive Selection Sheet'!$B37, 'Master List Import'!$A$1:$P$519, 11, FALSE), ""), "")</f>
        <v/>
      </c>
      <c r="N492" s="69" t="str">
        <f>_xlfn.IFNA(IF('Interactive Selection Sheet'!A37 = "", VLOOKUP('Interactive Selection Sheet'!$B37, 'Master List Import'!$A$1:$P$519, 12, FALSE), ""), "")</f>
        <v/>
      </c>
      <c r="O492" s="69" t="str">
        <f>_xlfn.IFNA(IF('Interactive Selection Sheet'!A37 = "", VLOOKUP('Interactive Selection Sheet'!$B37, 'Master List Import'!$A$1:$P$519, 13, FALSE), ""), "")</f>
        <v/>
      </c>
      <c r="P492" s="69" t="str">
        <f>_xlfn.IFNA(IF('Interactive Selection Sheet'!A37 = "", VLOOKUP('Interactive Selection Sheet'!$B37, 'Master List Import'!$A$1:$P$519, 14, FALSE), ""), "")</f>
        <v/>
      </c>
      <c r="Q492" s="69" t="str">
        <f>_xlfn.IFNA(IF('Interactive Selection Sheet'!A37 = "", VLOOKUP('Interactive Selection Sheet'!$B37, 'Master List Import'!$A$1:$P$519, 15, FALSE), ""), "")</f>
        <v/>
      </c>
      <c r="R492" s="74" t="str">
        <f>_xlfn.IFNA(IF('Interactive Selection Sheet'!A37 = "", VLOOKUP('Interactive Selection Sheet'!$B37, 'Master List Import'!$A$1:$P$519, 16, FALSE), ""), "")</f>
        <v/>
      </c>
    </row>
    <row r="493" spans="1:18" ht="21.75" customHeight="1" x14ac:dyDescent="0.25">
      <c r="A493" s="69" t="str">
        <f>_xlfn.IFNA(IF('Interactive Selection Sheet'!A50 = "", VLOOKUP('Interactive Selection Sheet'!$B50, 'Master List Import'!$A$1:$P$519, 2, FALSE), ""), "")</f>
        <v/>
      </c>
      <c r="B493" s="69" t="str">
        <f>_xlfn.IFNA(IF('Interactive Selection Sheet'!A50 = "", VLOOKUP('Interactive Selection Sheet'!$B50, 'Master List Import'!$A$1:$P$519, 3, FALSE), ""), "")</f>
        <v/>
      </c>
      <c r="C493" s="76" t="str">
        <f>IF('Interactive Selection Sheet'!$T$2="", "", IF(B493="","",'Interactive Selection Sheet'!$T$2))</f>
        <v/>
      </c>
      <c r="D493" s="70" t="str">
        <f>IF(B493 = "", "", 'Interactive Selection Sheet'!$Q$2)</f>
        <v/>
      </c>
      <c r="E493" s="70" t="str">
        <f>IF(B493="","", 'Interactive Selection Sheet'!$R$2)</f>
        <v/>
      </c>
      <c r="F493" s="69" t="str">
        <f>_xlfn.IFNA(IF('Interactive Selection Sheet'!A50 = "", VLOOKUP('Interactive Selection Sheet'!$B50, 'Master List Import'!$A$1:$P$519, 4, FALSE), ""), "")</f>
        <v/>
      </c>
      <c r="G493" s="69" t="str">
        <f>_xlfn.IFNA(IF('Interactive Selection Sheet'!A50 = "", VLOOKUP('Interactive Selection Sheet'!$B50, 'Master List Import'!$A$1:$P$519, 5, FALSE), ""), "")</f>
        <v/>
      </c>
      <c r="H493" s="69" t="str">
        <f>_xlfn.IFNA(IF('Interactive Selection Sheet'!A50 = "", VLOOKUP('Interactive Selection Sheet'!$B50, 'Master List Import'!$A$1:$P$519, 6, FALSE), ""), "")</f>
        <v/>
      </c>
      <c r="I493" s="72" t="str">
        <f>_xlfn.IFNA(IF('Interactive Selection Sheet'!A50 = "", VLOOKUP('Interactive Selection Sheet'!$B50, 'Master List Import'!$A$1:$P$519, 7, FALSE), ""), "")</f>
        <v/>
      </c>
      <c r="J493" s="69" t="str">
        <f>_xlfn.IFNA(IF('Interactive Selection Sheet'!A50 = "", VLOOKUP('Interactive Selection Sheet'!$B50, 'Master List Import'!$A$1:$P$519, 8, FALSE), ""), "")</f>
        <v/>
      </c>
      <c r="K493" s="69" t="str">
        <f>_xlfn.IFNA(IF('Interactive Selection Sheet'!A50 = "", VLOOKUP('Interactive Selection Sheet'!$B50, 'Master List Import'!$A$1:$P$519, 9, FALSE), ""), "")</f>
        <v/>
      </c>
      <c r="L493" s="69" t="str">
        <f>_xlfn.IFNA(IF('Interactive Selection Sheet'!A50 = "", VLOOKUP('Interactive Selection Sheet'!$B50, 'Master List Import'!$A$1:$P$519, 10, FALSE), ""), "")</f>
        <v/>
      </c>
      <c r="M493" s="69" t="str">
        <f>_xlfn.IFNA(IF('Interactive Selection Sheet'!A50 = "", VLOOKUP('Interactive Selection Sheet'!$B50, 'Master List Import'!$A$1:$P$519, 11, FALSE), ""), "")</f>
        <v/>
      </c>
      <c r="N493" s="69" t="str">
        <f>_xlfn.IFNA(IF('Interactive Selection Sheet'!A50 = "", VLOOKUP('Interactive Selection Sheet'!$B50, 'Master List Import'!$A$1:$P$519, 12, FALSE), ""), "")</f>
        <v/>
      </c>
      <c r="O493" s="69" t="str">
        <f>_xlfn.IFNA(IF('Interactive Selection Sheet'!A50 = "", VLOOKUP('Interactive Selection Sheet'!$B50, 'Master List Import'!$A$1:$P$519, 13, FALSE), ""), "")</f>
        <v/>
      </c>
      <c r="P493" s="69" t="str">
        <f>_xlfn.IFNA(IF('Interactive Selection Sheet'!A50 = "", VLOOKUP('Interactive Selection Sheet'!$B50, 'Master List Import'!$A$1:$P$519, 14, FALSE), ""), "")</f>
        <v/>
      </c>
      <c r="Q493" s="69" t="str">
        <f>_xlfn.IFNA(IF('Interactive Selection Sheet'!A50 = "", VLOOKUP('Interactive Selection Sheet'!$B50, 'Master List Import'!$A$1:$P$519, 15, FALSE), ""), "")</f>
        <v/>
      </c>
      <c r="R493" s="74" t="str">
        <f>_xlfn.IFNA(IF('Interactive Selection Sheet'!A50 = "", VLOOKUP('Interactive Selection Sheet'!$B50, 'Master List Import'!$A$1:$P$519, 16, FALSE), ""), "")</f>
        <v/>
      </c>
    </row>
    <row r="494" spans="1:18" ht="21.75" customHeight="1" x14ac:dyDescent="0.25">
      <c r="A494" s="69" t="str">
        <f>_xlfn.IFNA(IF('Interactive Selection Sheet'!A51 = "", VLOOKUP('Interactive Selection Sheet'!$B51, 'Master List Import'!$A$1:$P$519, 2, FALSE), ""), "")</f>
        <v/>
      </c>
      <c r="B494" s="69" t="str">
        <f>_xlfn.IFNA(IF('Interactive Selection Sheet'!A51 = "", VLOOKUP('Interactive Selection Sheet'!$B51, 'Master List Import'!$A$1:$P$519, 3, FALSE), ""), "")</f>
        <v/>
      </c>
      <c r="C494" s="76" t="str">
        <f>IF('Interactive Selection Sheet'!$T$2="", "", IF(B494="","",'Interactive Selection Sheet'!$T$2))</f>
        <v/>
      </c>
      <c r="D494" s="70" t="str">
        <f>IF(B494 = "", "", 'Interactive Selection Sheet'!$Q$2)</f>
        <v/>
      </c>
      <c r="E494" s="70" t="str">
        <f>IF(B494="","", 'Interactive Selection Sheet'!$R$2)</f>
        <v/>
      </c>
      <c r="F494" s="69" t="str">
        <f>_xlfn.IFNA(IF('Interactive Selection Sheet'!A51 = "", VLOOKUP('Interactive Selection Sheet'!$B51, 'Master List Import'!$A$1:$P$519, 4, FALSE), ""), "")</f>
        <v/>
      </c>
      <c r="G494" s="69" t="str">
        <f>_xlfn.IFNA(IF('Interactive Selection Sheet'!A51 = "", VLOOKUP('Interactive Selection Sheet'!$B51, 'Master List Import'!$A$1:$P$519, 5, FALSE), ""), "")</f>
        <v/>
      </c>
      <c r="H494" s="69" t="str">
        <f>_xlfn.IFNA(IF('Interactive Selection Sheet'!A51 = "", VLOOKUP('Interactive Selection Sheet'!$B51, 'Master List Import'!$A$1:$P$519, 6, FALSE), ""), "")</f>
        <v/>
      </c>
      <c r="I494" s="72" t="str">
        <f>_xlfn.IFNA(IF('Interactive Selection Sheet'!A51 = "", VLOOKUP('Interactive Selection Sheet'!$B51, 'Master List Import'!$A$1:$P$519, 7, FALSE), ""), "")</f>
        <v/>
      </c>
      <c r="J494" s="69" t="str">
        <f>_xlfn.IFNA(IF('Interactive Selection Sheet'!A51 = "", VLOOKUP('Interactive Selection Sheet'!$B51, 'Master List Import'!$A$1:$P$519, 8, FALSE), ""), "")</f>
        <v/>
      </c>
      <c r="K494" s="69" t="str">
        <f>_xlfn.IFNA(IF('Interactive Selection Sheet'!A51 = "", VLOOKUP('Interactive Selection Sheet'!$B51, 'Master List Import'!$A$1:$P$519, 9, FALSE), ""), "")</f>
        <v/>
      </c>
      <c r="L494" s="69" t="str">
        <f>_xlfn.IFNA(IF('Interactive Selection Sheet'!A51 = "", VLOOKUP('Interactive Selection Sheet'!$B51, 'Master List Import'!$A$1:$P$519, 10, FALSE), ""), "")</f>
        <v/>
      </c>
      <c r="M494" s="69" t="str">
        <f>_xlfn.IFNA(IF('Interactive Selection Sheet'!A51 = "", VLOOKUP('Interactive Selection Sheet'!$B51, 'Master List Import'!$A$1:$P$519, 11, FALSE), ""), "")</f>
        <v/>
      </c>
      <c r="N494" s="69" t="str">
        <f>_xlfn.IFNA(IF('Interactive Selection Sheet'!A51 = "", VLOOKUP('Interactive Selection Sheet'!$B51, 'Master List Import'!$A$1:$P$519, 12, FALSE), ""), "")</f>
        <v/>
      </c>
      <c r="O494" s="69" t="str">
        <f>_xlfn.IFNA(IF('Interactive Selection Sheet'!A51 = "", VLOOKUP('Interactive Selection Sheet'!$B51, 'Master List Import'!$A$1:$P$519, 13, FALSE), ""), "")</f>
        <v/>
      </c>
      <c r="P494" s="69" t="str">
        <f>_xlfn.IFNA(IF('Interactive Selection Sheet'!A51 = "", VLOOKUP('Interactive Selection Sheet'!$B51, 'Master List Import'!$A$1:$P$519, 14, FALSE), ""), "")</f>
        <v/>
      </c>
      <c r="Q494" s="69" t="str">
        <f>_xlfn.IFNA(IF('Interactive Selection Sheet'!A51 = "", VLOOKUP('Interactive Selection Sheet'!$B51, 'Master List Import'!$A$1:$P$519, 15, FALSE), ""), "")</f>
        <v/>
      </c>
      <c r="R494" s="74" t="str">
        <f>_xlfn.IFNA(IF('Interactive Selection Sheet'!A51 = "", VLOOKUP('Interactive Selection Sheet'!$B51, 'Master List Import'!$A$1:$P$519, 16, FALSE), ""), "")</f>
        <v/>
      </c>
    </row>
    <row r="495" spans="1:18" ht="21.75" customHeight="1" x14ac:dyDescent="0.25">
      <c r="A495" s="69" t="str">
        <f>_xlfn.IFNA(IF('Interactive Selection Sheet'!A52 = "", VLOOKUP('Interactive Selection Sheet'!$B52, 'Master List Import'!$A$1:$P$519, 2, FALSE), ""), "")</f>
        <v/>
      </c>
      <c r="B495" s="69" t="str">
        <f>_xlfn.IFNA(IF('Interactive Selection Sheet'!A52 = "", VLOOKUP('Interactive Selection Sheet'!$B52, 'Master List Import'!$A$1:$P$519, 3, FALSE), ""), "")</f>
        <v/>
      </c>
      <c r="C495" s="76" t="str">
        <f>IF('Interactive Selection Sheet'!$T$2="", "", IF(B495="","",'Interactive Selection Sheet'!$T$2))</f>
        <v/>
      </c>
      <c r="D495" s="70" t="str">
        <f>IF(B495 = "", "", 'Interactive Selection Sheet'!$Q$2)</f>
        <v/>
      </c>
      <c r="E495" s="70" t="str">
        <f>IF(B495="","", 'Interactive Selection Sheet'!$R$2)</f>
        <v/>
      </c>
      <c r="F495" s="69" t="str">
        <f>_xlfn.IFNA(IF('Interactive Selection Sheet'!A52 = "", VLOOKUP('Interactive Selection Sheet'!$B52, 'Master List Import'!$A$1:$P$519, 4, FALSE), ""), "")</f>
        <v/>
      </c>
      <c r="G495" s="69" t="str">
        <f>_xlfn.IFNA(IF('Interactive Selection Sheet'!A52 = "", VLOOKUP('Interactive Selection Sheet'!$B52, 'Master List Import'!$A$1:$P$519, 5, FALSE), ""), "")</f>
        <v/>
      </c>
      <c r="H495" s="69" t="str">
        <f>_xlfn.IFNA(IF('Interactive Selection Sheet'!A52 = "", VLOOKUP('Interactive Selection Sheet'!$B52, 'Master List Import'!$A$1:$P$519, 6, FALSE), ""), "")</f>
        <v/>
      </c>
      <c r="I495" s="72" t="str">
        <f>_xlfn.IFNA(IF('Interactive Selection Sheet'!A52 = "", VLOOKUP('Interactive Selection Sheet'!$B52, 'Master List Import'!$A$1:$P$519, 7, FALSE), ""), "")</f>
        <v/>
      </c>
      <c r="J495" s="69" t="str">
        <f>_xlfn.IFNA(IF('Interactive Selection Sheet'!A52 = "", VLOOKUP('Interactive Selection Sheet'!$B52, 'Master List Import'!$A$1:$P$519, 8, FALSE), ""), "")</f>
        <v/>
      </c>
      <c r="K495" s="69" t="str">
        <f>_xlfn.IFNA(IF('Interactive Selection Sheet'!A52 = "", VLOOKUP('Interactive Selection Sheet'!$B52, 'Master List Import'!$A$1:$P$519, 9, FALSE), ""), "")</f>
        <v/>
      </c>
      <c r="L495" s="69" t="str">
        <f>_xlfn.IFNA(IF('Interactive Selection Sheet'!A52 = "", VLOOKUP('Interactive Selection Sheet'!$B52, 'Master List Import'!$A$1:$P$519, 10, FALSE), ""), "")</f>
        <v/>
      </c>
      <c r="M495" s="69" t="str">
        <f>_xlfn.IFNA(IF('Interactive Selection Sheet'!A52 = "", VLOOKUP('Interactive Selection Sheet'!$B52, 'Master List Import'!$A$1:$P$519, 11, FALSE), ""), "")</f>
        <v/>
      </c>
      <c r="N495" s="69" t="str">
        <f>_xlfn.IFNA(IF('Interactive Selection Sheet'!A52 = "", VLOOKUP('Interactive Selection Sheet'!$B52, 'Master List Import'!$A$1:$P$519, 12, FALSE), ""), "")</f>
        <v/>
      </c>
      <c r="O495" s="69" t="str">
        <f>_xlfn.IFNA(IF('Interactive Selection Sheet'!A52 = "", VLOOKUP('Interactive Selection Sheet'!$B52, 'Master List Import'!$A$1:$P$519, 13, FALSE), ""), "")</f>
        <v/>
      </c>
      <c r="P495" s="69" t="str">
        <f>_xlfn.IFNA(IF('Interactive Selection Sheet'!A52 = "", VLOOKUP('Interactive Selection Sheet'!$B52, 'Master List Import'!$A$1:$P$519, 14, FALSE), ""), "")</f>
        <v/>
      </c>
      <c r="Q495" s="69" t="str">
        <f>_xlfn.IFNA(IF('Interactive Selection Sheet'!A52 = "", VLOOKUP('Interactive Selection Sheet'!$B52, 'Master List Import'!$A$1:$P$519, 15, FALSE), ""), "")</f>
        <v/>
      </c>
      <c r="R495" s="74" t="str">
        <f>_xlfn.IFNA(IF('Interactive Selection Sheet'!A52 = "", VLOOKUP('Interactive Selection Sheet'!$B52, 'Master List Import'!$A$1:$P$519, 16, FALSE), ""), "")</f>
        <v/>
      </c>
    </row>
    <row r="496" spans="1:18" ht="21.75" customHeight="1" x14ac:dyDescent="0.25">
      <c r="A496" s="69" t="str">
        <f>_xlfn.IFNA(IF('Interactive Selection Sheet'!A53 = "", VLOOKUP('Interactive Selection Sheet'!$B53, 'Master List Import'!$A$1:$P$519, 2, FALSE), ""), "")</f>
        <v/>
      </c>
      <c r="B496" s="69" t="str">
        <f>_xlfn.IFNA(IF('Interactive Selection Sheet'!A53 = "", VLOOKUP('Interactive Selection Sheet'!$B53, 'Master List Import'!$A$1:$P$519, 3, FALSE), ""), "")</f>
        <v/>
      </c>
      <c r="C496" s="76" t="str">
        <f>IF('Interactive Selection Sheet'!$T$2="", "", IF(B496="","",'Interactive Selection Sheet'!$T$2))</f>
        <v/>
      </c>
      <c r="D496" s="70" t="str">
        <f>IF(B496 = "", "", 'Interactive Selection Sheet'!$Q$2)</f>
        <v/>
      </c>
      <c r="E496" s="70" t="str">
        <f>IF(B496="","", 'Interactive Selection Sheet'!$R$2)</f>
        <v/>
      </c>
      <c r="F496" s="69" t="str">
        <f>_xlfn.IFNA(IF('Interactive Selection Sheet'!A53 = "", VLOOKUP('Interactive Selection Sheet'!$B53, 'Master List Import'!$A$1:$P$519, 4, FALSE), ""), "")</f>
        <v/>
      </c>
      <c r="G496" s="69" t="str">
        <f>_xlfn.IFNA(IF('Interactive Selection Sheet'!A53 = "", VLOOKUP('Interactive Selection Sheet'!$B53, 'Master List Import'!$A$1:$P$519, 5, FALSE), ""), "")</f>
        <v/>
      </c>
      <c r="H496" s="69" t="str">
        <f>_xlfn.IFNA(IF('Interactive Selection Sheet'!A53 = "", VLOOKUP('Interactive Selection Sheet'!$B53, 'Master List Import'!$A$1:$P$519, 6, FALSE), ""), "")</f>
        <v/>
      </c>
      <c r="I496" s="72" t="str">
        <f>_xlfn.IFNA(IF('Interactive Selection Sheet'!A53 = "", VLOOKUP('Interactive Selection Sheet'!$B53, 'Master List Import'!$A$1:$P$519, 7, FALSE), ""), "")</f>
        <v/>
      </c>
      <c r="J496" s="69" t="str">
        <f>_xlfn.IFNA(IF('Interactive Selection Sheet'!A53 = "", VLOOKUP('Interactive Selection Sheet'!$B53, 'Master List Import'!$A$1:$P$519, 8, FALSE), ""), "")</f>
        <v/>
      </c>
      <c r="K496" s="69" t="str">
        <f>_xlfn.IFNA(IF('Interactive Selection Sheet'!A53 = "", VLOOKUP('Interactive Selection Sheet'!$B53, 'Master List Import'!$A$1:$P$519, 9, FALSE), ""), "")</f>
        <v/>
      </c>
      <c r="L496" s="69" t="str">
        <f>_xlfn.IFNA(IF('Interactive Selection Sheet'!A53 = "", VLOOKUP('Interactive Selection Sheet'!$B53, 'Master List Import'!$A$1:$P$519, 10, FALSE), ""), "")</f>
        <v/>
      </c>
      <c r="M496" s="69" t="str">
        <f>_xlfn.IFNA(IF('Interactive Selection Sheet'!A53 = "", VLOOKUP('Interactive Selection Sheet'!$B53, 'Master List Import'!$A$1:$P$519, 11, FALSE), ""), "")</f>
        <v/>
      </c>
      <c r="N496" s="69" t="str">
        <f>_xlfn.IFNA(IF('Interactive Selection Sheet'!A53 = "", VLOOKUP('Interactive Selection Sheet'!$B53, 'Master List Import'!$A$1:$P$519, 12, FALSE), ""), "")</f>
        <v/>
      </c>
      <c r="O496" s="69" t="str">
        <f>_xlfn.IFNA(IF('Interactive Selection Sheet'!A53 = "", VLOOKUP('Interactive Selection Sheet'!$B53, 'Master List Import'!$A$1:$P$519, 13, FALSE), ""), "")</f>
        <v/>
      </c>
      <c r="P496" s="69" t="str">
        <f>_xlfn.IFNA(IF('Interactive Selection Sheet'!A53 = "", VLOOKUP('Interactive Selection Sheet'!$B53, 'Master List Import'!$A$1:$P$519, 14, FALSE), ""), "")</f>
        <v/>
      </c>
      <c r="Q496" s="69" t="str">
        <f>_xlfn.IFNA(IF('Interactive Selection Sheet'!A53 = "", VLOOKUP('Interactive Selection Sheet'!$B53, 'Master List Import'!$A$1:$P$519, 15, FALSE), ""), "")</f>
        <v/>
      </c>
      <c r="R496" s="74" t="str">
        <f>_xlfn.IFNA(IF('Interactive Selection Sheet'!A53 = "", VLOOKUP('Interactive Selection Sheet'!$B53, 'Master List Import'!$A$1:$P$519, 16, FALSE), ""), "")</f>
        <v/>
      </c>
    </row>
    <row r="497" spans="1:18" ht="21.75" customHeight="1" x14ac:dyDescent="0.25">
      <c r="A497" s="69" t="str">
        <f>_xlfn.IFNA(IF('Interactive Selection Sheet'!A54 = "", VLOOKUP('Interactive Selection Sheet'!$B54, 'Master List Import'!$A$1:$P$519, 2, FALSE), ""), "")</f>
        <v/>
      </c>
      <c r="B497" s="69" t="str">
        <f>_xlfn.IFNA(IF('Interactive Selection Sheet'!A54 = "", VLOOKUP('Interactive Selection Sheet'!$B54, 'Master List Import'!$A$1:$P$519, 3, FALSE), ""), "")</f>
        <v/>
      </c>
      <c r="C497" s="76" t="str">
        <f>IF('Interactive Selection Sheet'!$T$2="", "", IF(B497="","",'Interactive Selection Sheet'!$T$2))</f>
        <v/>
      </c>
      <c r="D497" s="70" t="str">
        <f>IF(B497 = "", "", 'Interactive Selection Sheet'!$Q$2)</f>
        <v/>
      </c>
      <c r="E497" s="70" t="str">
        <f>IF(B497="","", 'Interactive Selection Sheet'!$R$2)</f>
        <v/>
      </c>
      <c r="F497" s="69" t="str">
        <f>_xlfn.IFNA(IF('Interactive Selection Sheet'!A54 = "", VLOOKUP('Interactive Selection Sheet'!$B54, 'Master List Import'!$A$1:$P$519, 4, FALSE), ""), "")</f>
        <v/>
      </c>
      <c r="G497" s="69" t="str">
        <f>_xlfn.IFNA(IF('Interactive Selection Sheet'!A54 = "", VLOOKUP('Interactive Selection Sheet'!$B54, 'Master List Import'!$A$1:$P$519, 5, FALSE), ""), "")</f>
        <v/>
      </c>
      <c r="H497" s="69" t="str">
        <f>_xlfn.IFNA(IF('Interactive Selection Sheet'!A54 = "", VLOOKUP('Interactive Selection Sheet'!$B54, 'Master List Import'!$A$1:$P$519, 6, FALSE), ""), "")</f>
        <v/>
      </c>
      <c r="I497" s="72" t="str">
        <f>_xlfn.IFNA(IF('Interactive Selection Sheet'!A54 = "", VLOOKUP('Interactive Selection Sheet'!$B54, 'Master List Import'!$A$1:$P$519, 7, FALSE), ""), "")</f>
        <v/>
      </c>
      <c r="J497" s="69" t="str">
        <f>_xlfn.IFNA(IF('Interactive Selection Sheet'!A54 = "", VLOOKUP('Interactive Selection Sheet'!$B54, 'Master List Import'!$A$1:$P$519, 8, FALSE), ""), "")</f>
        <v/>
      </c>
      <c r="K497" s="69" t="str">
        <f>_xlfn.IFNA(IF('Interactive Selection Sheet'!A54 = "", VLOOKUP('Interactive Selection Sheet'!$B54, 'Master List Import'!$A$1:$P$519, 9, FALSE), ""), "")</f>
        <v/>
      </c>
      <c r="L497" s="69" t="str">
        <f>_xlfn.IFNA(IF('Interactive Selection Sheet'!A54 = "", VLOOKUP('Interactive Selection Sheet'!$B54, 'Master List Import'!$A$1:$P$519, 10, FALSE), ""), "")</f>
        <v/>
      </c>
      <c r="M497" s="69" t="str">
        <f>_xlfn.IFNA(IF('Interactive Selection Sheet'!A54 = "", VLOOKUP('Interactive Selection Sheet'!$B54, 'Master List Import'!$A$1:$P$519, 11, FALSE), ""), "")</f>
        <v/>
      </c>
      <c r="N497" s="69" t="str">
        <f>_xlfn.IFNA(IF('Interactive Selection Sheet'!A54 = "", VLOOKUP('Interactive Selection Sheet'!$B54, 'Master List Import'!$A$1:$P$519, 12, FALSE), ""), "")</f>
        <v/>
      </c>
      <c r="O497" s="69" t="str">
        <f>_xlfn.IFNA(IF('Interactive Selection Sheet'!A54 = "", VLOOKUP('Interactive Selection Sheet'!$B54, 'Master List Import'!$A$1:$P$519, 13, FALSE), ""), "")</f>
        <v/>
      </c>
      <c r="P497" s="69" t="str">
        <f>_xlfn.IFNA(IF('Interactive Selection Sheet'!A54 = "", VLOOKUP('Interactive Selection Sheet'!$B54, 'Master List Import'!$A$1:$P$519, 14, FALSE), ""), "")</f>
        <v/>
      </c>
      <c r="Q497" s="69" t="str">
        <f>_xlfn.IFNA(IF('Interactive Selection Sheet'!A54 = "", VLOOKUP('Interactive Selection Sheet'!$B54, 'Master List Import'!$A$1:$P$519, 15, FALSE), ""), "")</f>
        <v/>
      </c>
      <c r="R497" s="74" t="str">
        <f>_xlfn.IFNA(IF('Interactive Selection Sheet'!A54 = "", VLOOKUP('Interactive Selection Sheet'!$B54, 'Master List Import'!$A$1:$P$519, 16, FALSE), ""), "")</f>
        <v/>
      </c>
    </row>
    <row r="498" spans="1:18" ht="21.75" customHeight="1" x14ac:dyDescent="0.25">
      <c r="A498" s="69" t="str">
        <f>_xlfn.IFNA(IF('Interactive Selection Sheet'!A144 = "", VLOOKUP('Interactive Selection Sheet'!$B144, 'Master List Import'!$A$1:$P$519, 2, FALSE), ""), "")</f>
        <v/>
      </c>
      <c r="B498" s="69" t="str">
        <f>_xlfn.IFNA(IF('Interactive Selection Sheet'!A144 = "", VLOOKUP('Interactive Selection Sheet'!$B144, 'Master List Import'!$A$1:$P$519, 3, FALSE), ""), "")</f>
        <v/>
      </c>
      <c r="C498" s="76" t="str">
        <f>IF('Interactive Selection Sheet'!$T$2="", "", IF(B498="","",'Interactive Selection Sheet'!$T$2))</f>
        <v/>
      </c>
      <c r="D498" s="70" t="str">
        <f>IF(B498 = "", "", 'Interactive Selection Sheet'!$Q$2)</f>
        <v/>
      </c>
      <c r="E498" s="70" t="str">
        <f>IF(B498="","", 'Interactive Selection Sheet'!$R$2)</f>
        <v/>
      </c>
      <c r="F498" s="69" t="str">
        <f>_xlfn.IFNA(IF('Interactive Selection Sheet'!A144 = "", VLOOKUP('Interactive Selection Sheet'!$B144, 'Master List Import'!$A$1:$P$519, 4, FALSE), ""), "")</f>
        <v/>
      </c>
      <c r="G498" s="69" t="str">
        <f>_xlfn.IFNA(IF('Interactive Selection Sheet'!A144 = "", VLOOKUP('Interactive Selection Sheet'!$B144, 'Master List Import'!$A$1:$P$519, 5, FALSE), ""), "")</f>
        <v/>
      </c>
      <c r="H498" s="69" t="str">
        <f>_xlfn.IFNA(IF('Interactive Selection Sheet'!A144 = "", VLOOKUP('Interactive Selection Sheet'!$B144, 'Master List Import'!$A$1:$P$519, 6, FALSE), ""), "")</f>
        <v/>
      </c>
      <c r="I498" s="72" t="str">
        <f>_xlfn.IFNA(IF('Interactive Selection Sheet'!A144 = "", VLOOKUP('Interactive Selection Sheet'!$B144, 'Master List Import'!$A$1:$P$519, 7, FALSE), ""), "")</f>
        <v/>
      </c>
      <c r="J498" s="69" t="str">
        <f>_xlfn.IFNA(IF('Interactive Selection Sheet'!A144 = "", VLOOKUP('Interactive Selection Sheet'!$B144, 'Master List Import'!$A$1:$P$519, 8, FALSE), ""), "")</f>
        <v/>
      </c>
      <c r="K498" s="69" t="str">
        <f>_xlfn.IFNA(IF('Interactive Selection Sheet'!A144 = "", VLOOKUP('Interactive Selection Sheet'!$B144, 'Master List Import'!$A$1:$P$519, 9, FALSE), ""), "")</f>
        <v/>
      </c>
      <c r="L498" s="69" t="str">
        <f>_xlfn.IFNA(IF('Interactive Selection Sheet'!A144 = "", VLOOKUP('Interactive Selection Sheet'!$B144, 'Master List Import'!$A$1:$P$519, 10, FALSE), ""), "")</f>
        <v/>
      </c>
      <c r="M498" s="69" t="str">
        <f>_xlfn.IFNA(IF('Interactive Selection Sheet'!A144 = "", VLOOKUP('Interactive Selection Sheet'!$B144, 'Master List Import'!$A$1:$P$519, 11, FALSE), ""), "")</f>
        <v/>
      </c>
      <c r="N498" s="69" t="str">
        <f>_xlfn.IFNA(IF('Interactive Selection Sheet'!A144 = "", VLOOKUP('Interactive Selection Sheet'!$B144, 'Master List Import'!$A$1:$P$519, 12, FALSE), ""), "")</f>
        <v/>
      </c>
      <c r="O498" s="69" t="str">
        <f>_xlfn.IFNA(IF('Interactive Selection Sheet'!A144 = "", VLOOKUP('Interactive Selection Sheet'!$B144, 'Master List Import'!$A$1:$P$519, 13, FALSE), ""), "")</f>
        <v/>
      </c>
      <c r="P498" s="69" t="str">
        <f>_xlfn.IFNA(IF('Interactive Selection Sheet'!A144 = "", VLOOKUP('Interactive Selection Sheet'!$B144, 'Master List Import'!$A$1:$P$519, 14, FALSE), ""), "")</f>
        <v/>
      </c>
      <c r="Q498" s="69" t="str">
        <f>_xlfn.IFNA(IF('Interactive Selection Sheet'!A144 = "", VLOOKUP('Interactive Selection Sheet'!$B144, 'Master List Import'!$A$1:$P$519, 15, FALSE), ""), "")</f>
        <v/>
      </c>
      <c r="R498" s="74" t="str">
        <f>_xlfn.IFNA(IF('Interactive Selection Sheet'!A144 = "", VLOOKUP('Interactive Selection Sheet'!$B144, 'Master List Import'!$A$1:$P$519, 16, FALSE), ""), "")</f>
        <v/>
      </c>
    </row>
    <row r="499" spans="1:18" ht="21.75" customHeight="1" x14ac:dyDescent="0.25">
      <c r="A499" s="69" t="str">
        <f>_xlfn.IFNA(IF('Interactive Selection Sheet'!A127 = "", VLOOKUP('Interactive Selection Sheet'!$B127, 'Master List Import'!$A$1:$P$519, 2, FALSE), ""), "")</f>
        <v/>
      </c>
      <c r="B499" s="69" t="str">
        <f>_xlfn.IFNA(IF('Interactive Selection Sheet'!A127 = "", VLOOKUP('Interactive Selection Sheet'!$B127, 'Master List Import'!$A$1:$P$519, 3, FALSE), ""), "")</f>
        <v/>
      </c>
      <c r="C499" s="76" t="str">
        <f>IF('Interactive Selection Sheet'!$T$2="", "", IF(B499="","",'Interactive Selection Sheet'!$T$2))</f>
        <v/>
      </c>
      <c r="D499" s="70" t="str">
        <f>IF(B499 = "", "", 'Interactive Selection Sheet'!$Q$2)</f>
        <v/>
      </c>
      <c r="E499" s="70" t="str">
        <f>IF(B499="","", 'Interactive Selection Sheet'!$R$2)</f>
        <v/>
      </c>
      <c r="F499" s="69" t="str">
        <f>_xlfn.IFNA(IF('Interactive Selection Sheet'!A127 = "", VLOOKUP('Interactive Selection Sheet'!$B127, 'Master List Import'!$A$1:$P$519, 4, FALSE), ""), "")</f>
        <v/>
      </c>
      <c r="G499" s="69" t="str">
        <f>_xlfn.IFNA(IF('Interactive Selection Sheet'!A127 = "", VLOOKUP('Interactive Selection Sheet'!$B127, 'Master List Import'!$A$1:$P$519, 5, FALSE), ""), "")</f>
        <v/>
      </c>
      <c r="H499" s="69" t="str">
        <f>_xlfn.IFNA(IF('Interactive Selection Sheet'!A127 = "", VLOOKUP('Interactive Selection Sheet'!$B127, 'Master List Import'!$A$1:$P$519, 6, FALSE), ""), "")</f>
        <v/>
      </c>
      <c r="I499" s="72" t="str">
        <f>_xlfn.IFNA(IF('Interactive Selection Sheet'!A127 = "", VLOOKUP('Interactive Selection Sheet'!$B127, 'Master List Import'!$A$1:$P$519, 7, FALSE), ""), "")</f>
        <v/>
      </c>
      <c r="J499" s="69" t="str">
        <f>_xlfn.IFNA(IF('Interactive Selection Sheet'!A127 = "", VLOOKUP('Interactive Selection Sheet'!$B127, 'Master List Import'!$A$1:$P$519, 8, FALSE), ""), "")</f>
        <v/>
      </c>
      <c r="K499" s="69" t="str">
        <f>_xlfn.IFNA(IF('Interactive Selection Sheet'!A127 = "", VLOOKUP('Interactive Selection Sheet'!$B127, 'Master List Import'!$A$1:$P$519, 9, FALSE), ""), "")</f>
        <v/>
      </c>
      <c r="L499" s="69" t="str">
        <f>_xlfn.IFNA(IF('Interactive Selection Sheet'!A127 = "", VLOOKUP('Interactive Selection Sheet'!$B127, 'Master List Import'!$A$1:$P$519, 10, FALSE), ""), "")</f>
        <v/>
      </c>
      <c r="M499" s="69" t="str">
        <f>_xlfn.IFNA(IF('Interactive Selection Sheet'!A127 = "", VLOOKUP('Interactive Selection Sheet'!$B127, 'Master List Import'!$A$1:$P$519, 11, FALSE), ""), "")</f>
        <v/>
      </c>
      <c r="N499" s="69" t="str">
        <f>_xlfn.IFNA(IF('Interactive Selection Sheet'!A127 = "", VLOOKUP('Interactive Selection Sheet'!$B127, 'Master List Import'!$A$1:$P$519, 12, FALSE), ""), "")</f>
        <v/>
      </c>
      <c r="O499" s="69" t="str">
        <f>_xlfn.IFNA(IF('Interactive Selection Sheet'!A127 = "", VLOOKUP('Interactive Selection Sheet'!$B127, 'Master List Import'!$A$1:$P$519, 13, FALSE), ""), "")</f>
        <v/>
      </c>
      <c r="P499" s="69" t="str">
        <f>_xlfn.IFNA(IF('Interactive Selection Sheet'!A127 = "", VLOOKUP('Interactive Selection Sheet'!$B127, 'Master List Import'!$A$1:$P$519, 14, FALSE), ""), "")</f>
        <v/>
      </c>
      <c r="Q499" s="69" t="str">
        <f>_xlfn.IFNA(IF('Interactive Selection Sheet'!A127 = "", VLOOKUP('Interactive Selection Sheet'!$B127, 'Master List Import'!$A$1:$P$519, 15, FALSE), ""), "")</f>
        <v/>
      </c>
      <c r="R499" s="74" t="str">
        <f>_xlfn.IFNA(IF('Interactive Selection Sheet'!A127 = "", VLOOKUP('Interactive Selection Sheet'!$B127, 'Master List Import'!$A$1:$P$519, 16, FALSE), ""), "")</f>
        <v/>
      </c>
    </row>
    <row r="500" spans="1:18" ht="21.75" customHeight="1" x14ac:dyDescent="0.25">
      <c r="A500" s="69" t="str">
        <f>_xlfn.IFNA(IF('Interactive Selection Sheet'!$K122= "", VLOOKUP('Interactive Selection Sheet'!$L122, 'Master List Import'!$A$1:$P$519, 2, FALSE), ""), "")</f>
        <v/>
      </c>
      <c r="B500" s="69" t="str">
        <f>_xlfn.IFNA(IF('Interactive Selection Sheet'!$K122= "", VLOOKUP('Interactive Selection Sheet'!$L122, 'Master List Import'!$A$1:$P$519, 3, FALSE), ""), "")</f>
        <v/>
      </c>
      <c r="C500" s="76" t="str">
        <f>IF('Interactive Selection Sheet'!$T$2="", "", IF(B500="","",'Interactive Selection Sheet'!$T$2))</f>
        <v/>
      </c>
      <c r="D500" s="70" t="str">
        <f>IF(B500 = "", "", 'Interactive Selection Sheet'!$Q$2)</f>
        <v/>
      </c>
      <c r="E500" s="70" t="str">
        <f>IF(B500="","", 'Interactive Selection Sheet'!$R$2)</f>
        <v/>
      </c>
      <c r="F500" s="69" t="str">
        <f>_xlfn.IFNA(IF('Interactive Selection Sheet'!K122= "", VLOOKUP('Interactive Selection Sheet'!$L122, 'Master List Import'!$A$1:$P$519, 4, FALSE), ""), "")</f>
        <v/>
      </c>
      <c r="G500" s="69" t="str">
        <f>_xlfn.IFNA(IF('Interactive Selection Sheet'!K122= "", VLOOKUP('Interactive Selection Sheet'!$L122, 'Master List Import'!$A$1:$P$519, 5, FALSE), ""), "")</f>
        <v/>
      </c>
      <c r="H500" s="69" t="str">
        <f>_xlfn.IFNA(IF('Interactive Selection Sheet'!K122= "", VLOOKUP('Interactive Selection Sheet'!$L122, 'Master List Import'!$A$1:$P$519, 6, FALSE), ""), "")</f>
        <v/>
      </c>
      <c r="I500" s="72" t="str">
        <f>_xlfn.IFNA(IF('Interactive Selection Sheet'!K122= "", VLOOKUP('Interactive Selection Sheet'!$L122, 'Master List Import'!$A$1:$P$519, 7, FALSE), ""), "")</f>
        <v/>
      </c>
      <c r="J500" s="69" t="str">
        <f>_xlfn.IFNA(IF('Interactive Selection Sheet'!K122= "", VLOOKUP('Interactive Selection Sheet'!$L122, 'Master List Import'!$A$1:$P$519, 8, FALSE), ""), "")</f>
        <v/>
      </c>
      <c r="K500" s="69" t="str">
        <f>_xlfn.IFNA(IF('Interactive Selection Sheet'!K122= "", VLOOKUP('Interactive Selection Sheet'!$L122, 'Master List Import'!$A$1:$P$519, 9, FALSE), ""), "")</f>
        <v/>
      </c>
      <c r="L500" s="69" t="str">
        <f>_xlfn.IFNA(IF('Interactive Selection Sheet'!K122= "", VLOOKUP('Interactive Selection Sheet'!$L122, 'Master List Import'!$A$1:$P$519, 10, FALSE), ""), "")</f>
        <v/>
      </c>
      <c r="M500" s="69" t="str">
        <f>_xlfn.IFNA(IF('Interactive Selection Sheet'!K122= "", VLOOKUP('Interactive Selection Sheet'!$L122, 'Master List Import'!$A$1:$P$519, 11, FALSE), ""), "")</f>
        <v/>
      </c>
      <c r="N500" s="69" t="str">
        <f>_xlfn.IFNA(IF('Interactive Selection Sheet'!K122= "", VLOOKUP('Interactive Selection Sheet'!$L122, 'Master List Import'!$A$1:$P$519, 12, FALSE), ""), "")</f>
        <v/>
      </c>
      <c r="O500" s="69" t="str">
        <f>_xlfn.IFNA(IF('Interactive Selection Sheet'!K122= "", VLOOKUP('Interactive Selection Sheet'!$L122, 'Master List Import'!$A$1:$P$519, 13, FALSE), ""), "")</f>
        <v/>
      </c>
      <c r="P500" s="69" t="str">
        <f>_xlfn.IFNA(IF('Interactive Selection Sheet'!K122= "", VLOOKUP('Interactive Selection Sheet'!$L122, 'Master List Import'!$A$1:$P$519, 14, FALSE), ""), "")</f>
        <v/>
      </c>
      <c r="Q500" s="69" t="str">
        <f>_xlfn.IFNA(IF('Interactive Selection Sheet'!K122= "", VLOOKUP('Interactive Selection Sheet'!$L122, 'Master List Import'!$A$1:$P$519, 15, FALSE), ""), "")</f>
        <v/>
      </c>
      <c r="R500" s="74" t="str">
        <f>_xlfn.IFNA(IF('Interactive Selection Sheet'!K122= "", VLOOKUP('Interactive Selection Sheet'!$L122, 'Master List Import'!$A$1:$P$519, 16, FALSE), ""), "")</f>
        <v/>
      </c>
    </row>
    <row r="501" spans="1:18" ht="21.75" customHeight="1" x14ac:dyDescent="0.25">
      <c r="A501" s="69" t="str">
        <f>_xlfn.IFNA(IF('Interactive Selection Sheet'!$K123= "", VLOOKUP('Interactive Selection Sheet'!$L123, 'Master List Import'!$A$1:$P$519, 2, FALSE), ""), "")</f>
        <v/>
      </c>
      <c r="B501" s="69" t="str">
        <f>_xlfn.IFNA(IF('Interactive Selection Sheet'!$K123= "", VLOOKUP('Interactive Selection Sheet'!$L123, 'Master List Import'!$A$1:$P$519, 3, FALSE), ""), "")</f>
        <v/>
      </c>
      <c r="C501" s="76" t="str">
        <f>IF('Interactive Selection Sheet'!$T$2="", "", IF(B501="","",'Interactive Selection Sheet'!$T$2))</f>
        <v/>
      </c>
      <c r="D501" s="70" t="str">
        <f>IF(B501 = "", "", 'Interactive Selection Sheet'!$Q$2)</f>
        <v/>
      </c>
      <c r="E501" s="70" t="str">
        <f>IF(B501="","", 'Interactive Selection Sheet'!$R$2)</f>
        <v/>
      </c>
      <c r="F501" s="69" t="str">
        <f>_xlfn.IFNA(IF('Interactive Selection Sheet'!K123= "", VLOOKUP('Interactive Selection Sheet'!$L123, 'Master List Import'!$A$1:$P$519, 4, FALSE), ""), "")</f>
        <v/>
      </c>
      <c r="G501" s="69" t="str">
        <f>_xlfn.IFNA(IF('Interactive Selection Sheet'!K123= "", VLOOKUP('Interactive Selection Sheet'!$L123, 'Master List Import'!$A$1:$P$519, 5, FALSE), ""), "")</f>
        <v/>
      </c>
      <c r="H501" s="69" t="str">
        <f>_xlfn.IFNA(IF('Interactive Selection Sheet'!K123= "", VLOOKUP('Interactive Selection Sheet'!$L123, 'Master List Import'!$A$1:$P$519, 6, FALSE), ""), "")</f>
        <v/>
      </c>
      <c r="I501" s="72" t="str">
        <f>_xlfn.IFNA(IF('Interactive Selection Sheet'!K123= "", VLOOKUP('Interactive Selection Sheet'!$L123, 'Master List Import'!$A$1:$P$519, 7, FALSE), ""), "")</f>
        <v/>
      </c>
      <c r="J501" s="69" t="str">
        <f>_xlfn.IFNA(IF('Interactive Selection Sheet'!K123= "", VLOOKUP('Interactive Selection Sheet'!$L123, 'Master List Import'!$A$1:$P$519, 8, FALSE), ""), "")</f>
        <v/>
      </c>
      <c r="K501" s="69" t="str">
        <f>_xlfn.IFNA(IF('Interactive Selection Sheet'!K123= "", VLOOKUP('Interactive Selection Sheet'!$L123, 'Master List Import'!$A$1:$P$519, 9, FALSE), ""), "")</f>
        <v/>
      </c>
      <c r="L501" s="69" t="str">
        <f>_xlfn.IFNA(IF('Interactive Selection Sheet'!K123= "", VLOOKUP('Interactive Selection Sheet'!$L123, 'Master List Import'!$A$1:$P$519, 10, FALSE), ""), "")</f>
        <v/>
      </c>
      <c r="M501" s="69" t="str">
        <f>_xlfn.IFNA(IF('Interactive Selection Sheet'!K123= "", VLOOKUP('Interactive Selection Sheet'!$L123, 'Master List Import'!$A$1:$P$519, 11, FALSE), ""), "")</f>
        <v/>
      </c>
      <c r="N501" s="69" t="str">
        <f>_xlfn.IFNA(IF('Interactive Selection Sheet'!K123= "", VLOOKUP('Interactive Selection Sheet'!$L123, 'Master List Import'!$A$1:$P$519, 12, FALSE), ""), "")</f>
        <v/>
      </c>
      <c r="O501" s="69" t="str">
        <f>_xlfn.IFNA(IF('Interactive Selection Sheet'!K123= "", VLOOKUP('Interactive Selection Sheet'!$L123, 'Master List Import'!$A$1:$P$519, 13, FALSE), ""), "")</f>
        <v/>
      </c>
      <c r="P501" s="69" t="str">
        <f>_xlfn.IFNA(IF('Interactive Selection Sheet'!K123= "", VLOOKUP('Interactive Selection Sheet'!$L123, 'Master List Import'!$A$1:$P$519, 14, FALSE), ""), "")</f>
        <v/>
      </c>
      <c r="Q501" s="69" t="str">
        <f>_xlfn.IFNA(IF('Interactive Selection Sheet'!K123= "", VLOOKUP('Interactive Selection Sheet'!$L123, 'Master List Import'!$A$1:$P$519, 15, FALSE), ""), "")</f>
        <v/>
      </c>
      <c r="R501" s="74" t="str">
        <f>_xlfn.IFNA(IF('Interactive Selection Sheet'!K123= "", VLOOKUP('Interactive Selection Sheet'!$L123, 'Master List Import'!$A$1:$P$519, 16, FALSE), ""), "")</f>
        <v/>
      </c>
    </row>
    <row r="502" spans="1:18" ht="21.75" customHeight="1" x14ac:dyDescent="0.25">
      <c r="A502" s="69" t="str">
        <f>_xlfn.IFNA(IF('Interactive Selection Sheet'!$K124= "", VLOOKUP('Interactive Selection Sheet'!$L124, 'Master List Import'!$A$1:$P$519, 2, FALSE), ""), "")</f>
        <v/>
      </c>
      <c r="B502" s="69" t="str">
        <f>_xlfn.IFNA(IF('Interactive Selection Sheet'!$K124= "", VLOOKUP('Interactive Selection Sheet'!$L124, 'Master List Import'!$A$1:$P$519, 3, FALSE), ""), "")</f>
        <v/>
      </c>
      <c r="C502" s="76" t="str">
        <f>IF('Interactive Selection Sheet'!$T$2="", "", IF(B502="","",'Interactive Selection Sheet'!$T$2))</f>
        <v/>
      </c>
      <c r="D502" s="70" t="str">
        <f>IF(B502 = "", "", 'Interactive Selection Sheet'!$Q$2)</f>
        <v/>
      </c>
      <c r="E502" s="70" t="str">
        <f>IF(B502="","", 'Interactive Selection Sheet'!$R$2)</f>
        <v/>
      </c>
      <c r="F502" s="69" t="str">
        <f>_xlfn.IFNA(IF('Interactive Selection Sheet'!K124= "", VLOOKUP('Interactive Selection Sheet'!$L124, 'Master List Import'!$A$1:$P$519, 4, FALSE), ""), "")</f>
        <v/>
      </c>
      <c r="G502" s="69" t="str">
        <f>_xlfn.IFNA(IF('Interactive Selection Sheet'!K124= "", VLOOKUP('Interactive Selection Sheet'!$L124, 'Master List Import'!$A$1:$P$519, 5, FALSE), ""), "")</f>
        <v/>
      </c>
      <c r="H502" s="69" t="str">
        <f>_xlfn.IFNA(IF('Interactive Selection Sheet'!K124= "", VLOOKUP('Interactive Selection Sheet'!$L124, 'Master List Import'!$A$1:$P$519, 6, FALSE), ""), "")</f>
        <v/>
      </c>
      <c r="I502" s="72" t="str">
        <f>_xlfn.IFNA(IF('Interactive Selection Sheet'!K124= "", VLOOKUP('Interactive Selection Sheet'!$L124, 'Master List Import'!$A$1:$P$519, 7, FALSE), ""), "")</f>
        <v/>
      </c>
      <c r="J502" s="69" t="str">
        <f>_xlfn.IFNA(IF('Interactive Selection Sheet'!K124= "", VLOOKUP('Interactive Selection Sheet'!$L124, 'Master List Import'!$A$1:$P$519, 8, FALSE), ""), "")</f>
        <v/>
      </c>
      <c r="K502" s="69" t="str">
        <f>_xlfn.IFNA(IF('Interactive Selection Sheet'!K124= "", VLOOKUP('Interactive Selection Sheet'!$L124, 'Master List Import'!$A$1:$P$519, 9, FALSE), ""), "")</f>
        <v/>
      </c>
      <c r="L502" s="69" t="str">
        <f>_xlfn.IFNA(IF('Interactive Selection Sheet'!K124= "", VLOOKUP('Interactive Selection Sheet'!$L124, 'Master List Import'!$A$1:$P$519, 10, FALSE), ""), "")</f>
        <v/>
      </c>
      <c r="M502" s="69" t="str">
        <f>_xlfn.IFNA(IF('Interactive Selection Sheet'!K124= "", VLOOKUP('Interactive Selection Sheet'!$L124, 'Master List Import'!$A$1:$P$519, 11, FALSE), ""), "")</f>
        <v/>
      </c>
      <c r="N502" s="69" t="str">
        <f>_xlfn.IFNA(IF('Interactive Selection Sheet'!K124= "", VLOOKUP('Interactive Selection Sheet'!$L124, 'Master List Import'!$A$1:$P$519, 12, FALSE), ""), "")</f>
        <v/>
      </c>
      <c r="O502" s="69" t="str">
        <f>_xlfn.IFNA(IF('Interactive Selection Sheet'!K124= "", VLOOKUP('Interactive Selection Sheet'!$L124, 'Master List Import'!$A$1:$P$519, 13, FALSE), ""), "")</f>
        <v/>
      </c>
      <c r="P502" s="69" t="str">
        <f>_xlfn.IFNA(IF('Interactive Selection Sheet'!K124= "", VLOOKUP('Interactive Selection Sheet'!$L124, 'Master List Import'!$A$1:$P$519, 14, FALSE), ""), "")</f>
        <v/>
      </c>
      <c r="Q502" s="69" t="str">
        <f>_xlfn.IFNA(IF('Interactive Selection Sheet'!K124= "", VLOOKUP('Interactive Selection Sheet'!$L124, 'Master List Import'!$A$1:$P$519, 15, FALSE), ""), "")</f>
        <v/>
      </c>
      <c r="R502" s="74" t="str">
        <f>_xlfn.IFNA(IF('Interactive Selection Sheet'!K124= "", VLOOKUP('Interactive Selection Sheet'!$L124, 'Master List Import'!$A$1:$P$519, 16, FALSE), ""), "")</f>
        <v/>
      </c>
    </row>
    <row r="503" spans="1:18" ht="21.75" customHeight="1" x14ac:dyDescent="0.25">
      <c r="A503" s="69" t="str">
        <f>_xlfn.IFNA(IF('Interactive Selection Sheet'!F134= "", VLOOKUP('Interactive Selection Sheet'!$G134, 'Master List Import'!$A$1:$P$519, 2, FALSE), ""), "")</f>
        <v/>
      </c>
      <c r="B503" s="69" t="str">
        <f>_xlfn.IFNA(IF('Interactive Selection Sheet'!F134= "", VLOOKUP('Interactive Selection Sheet'!$G134, 'Master List Import'!$A$1:$P$519, 3, FALSE), ""), "")</f>
        <v/>
      </c>
      <c r="C503" s="76" t="str">
        <f>IF('Interactive Selection Sheet'!$T$2="", "", IF(B503="","",'Interactive Selection Sheet'!$T$2))</f>
        <v/>
      </c>
      <c r="D503" s="70" t="str">
        <f>IF(B503 = "", "", 'Interactive Selection Sheet'!$Q$2)</f>
        <v/>
      </c>
      <c r="E503" s="70" t="str">
        <f>IF(B503="","", 'Interactive Selection Sheet'!$R$2)</f>
        <v/>
      </c>
      <c r="F503" s="69" t="str">
        <f>_xlfn.IFNA(IF('Interactive Selection Sheet'!F134= "", VLOOKUP('Interactive Selection Sheet'!$G134, 'Master List Import'!$A$1:$P$519, 4, FALSE), ""), "")</f>
        <v/>
      </c>
      <c r="G503" s="69" t="str">
        <f>_xlfn.IFNA(IF('Interactive Selection Sheet'!F134= "", VLOOKUP('Interactive Selection Sheet'!$G134, 'Master List Import'!$A$1:$P$519, 5, FALSE), ""), "")</f>
        <v/>
      </c>
      <c r="H503" s="69" t="str">
        <f>_xlfn.IFNA(IF('Interactive Selection Sheet'!F134= "", VLOOKUP('Interactive Selection Sheet'!$G134, 'Master List Import'!$A$1:$P$519, 6, FALSE), ""), "")</f>
        <v/>
      </c>
      <c r="I503" s="72" t="str">
        <f>_xlfn.IFNA(IF('Interactive Selection Sheet'!F134= "", VLOOKUP('Interactive Selection Sheet'!$G134, 'Master List Import'!$A$1:$P$519, 7, FALSE), ""), "")</f>
        <v/>
      </c>
      <c r="J503" s="69" t="str">
        <f>_xlfn.IFNA(IF('Interactive Selection Sheet'!F134= "", VLOOKUP('Interactive Selection Sheet'!$G134, 'Master List Import'!$A$1:$P$519, 8, FALSE), ""), "")</f>
        <v/>
      </c>
      <c r="K503" s="69" t="str">
        <f>_xlfn.IFNA(IF('Interactive Selection Sheet'!F134= "", VLOOKUP('Interactive Selection Sheet'!$G134, 'Master List Import'!$A$1:$P$519, 9, FALSE), ""), "")</f>
        <v/>
      </c>
      <c r="L503" s="69" t="str">
        <f>_xlfn.IFNA(IF('Interactive Selection Sheet'!F134= "", VLOOKUP('Interactive Selection Sheet'!$G134, 'Master List Import'!$A$1:$P$519, 10, FALSE), ""), "")</f>
        <v/>
      </c>
      <c r="M503" s="69" t="str">
        <f>_xlfn.IFNA(IF('Interactive Selection Sheet'!F134= "", VLOOKUP('Interactive Selection Sheet'!$G134, 'Master List Import'!$A$1:$P$519, 11, FALSE), ""), "")</f>
        <v/>
      </c>
      <c r="N503" s="69" t="str">
        <f>_xlfn.IFNA(IF('Interactive Selection Sheet'!F134= "", VLOOKUP('Interactive Selection Sheet'!$G134, 'Master List Import'!$A$1:$P$519, 12, FALSE), ""), "")</f>
        <v/>
      </c>
      <c r="O503" s="69" t="str">
        <f>_xlfn.IFNA(IF('Interactive Selection Sheet'!F134= "", VLOOKUP('Interactive Selection Sheet'!$G134, 'Master List Import'!$A$1:$P$519, 13, FALSE), ""), "")</f>
        <v/>
      </c>
      <c r="P503" s="69" t="str">
        <f>_xlfn.IFNA(IF('Interactive Selection Sheet'!F134= "", VLOOKUP('Interactive Selection Sheet'!$G134, 'Master List Import'!$A$1:$P$519, 14, FALSE), ""), "")</f>
        <v/>
      </c>
      <c r="Q503" s="69" t="str">
        <f>_xlfn.IFNA(IF('Interactive Selection Sheet'!F134= "", VLOOKUP('Interactive Selection Sheet'!$G134, 'Master List Import'!$A$1:$P$519, 15, FALSE), ""), "")</f>
        <v/>
      </c>
      <c r="R503" s="74" t="str">
        <f>_xlfn.IFNA(IF('Interactive Selection Sheet'!F134= "", VLOOKUP('Interactive Selection Sheet'!$G134, 'Master List Import'!$A$1:$P$519, 16, FALSE), ""), "")</f>
        <v/>
      </c>
    </row>
    <row r="504" spans="1:18" ht="21.75" customHeight="1" x14ac:dyDescent="0.25">
      <c r="A504" s="69" t="str">
        <f>_xlfn.IFNA(IF('Interactive Selection Sheet'!F135= "", VLOOKUP('Interactive Selection Sheet'!$G135, 'Master List Import'!$A$1:$P$519, 2, FALSE), ""), "")</f>
        <v/>
      </c>
      <c r="B504" s="69" t="str">
        <f>_xlfn.IFNA(IF('Interactive Selection Sheet'!F135= "", VLOOKUP('Interactive Selection Sheet'!$G135, 'Master List Import'!$A$1:$P$519, 3, FALSE), ""), "")</f>
        <v/>
      </c>
      <c r="C504" s="76" t="str">
        <f>IF('Interactive Selection Sheet'!$T$2="", "", IF(B504="","",'Interactive Selection Sheet'!$T$2))</f>
        <v/>
      </c>
      <c r="D504" s="70" t="str">
        <f>IF(B504 = "", "", 'Interactive Selection Sheet'!$Q$2)</f>
        <v/>
      </c>
      <c r="E504" s="70" t="str">
        <f>IF(B504="","", 'Interactive Selection Sheet'!$R$2)</f>
        <v/>
      </c>
      <c r="F504" s="69" t="str">
        <f>_xlfn.IFNA(IF('Interactive Selection Sheet'!F135= "", VLOOKUP('Interactive Selection Sheet'!$G135, 'Master List Import'!$A$1:$P$519, 4, FALSE), ""), "")</f>
        <v/>
      </c>
      <c r="G504" s="69" t="str">
        <f>_xlfn.IFNA(IF('Interactive Selection Sheet'!F135= "", VLOOKUP('Interactive Selection Sheet'!$G135, 'Master List Import'!$A$1:$P$519, 5, FALSE), ""), "")</f>
        <v/>
      </c>
      <c r="H504" s="69" t="str">
        <f>_xlfn.IFNA(IF('Interactive Selection Sheet'!F135= "", VLOOKUP('Interactive Selection Sheet'!$G135, 'Master List Import'!$A$1:$P$519, 6, FALSE), ""), "")</f>
        <v/>
      </c>
      <c r="I504" s="72" t="str">
        <f>_xlfn.IFNA(IF('Interactive Selection Sheet'!F135= "", VLOOKUP('Interactive Selection Sheet'!$G135, 'Master List Import'!$A$1:$P$519, 7, FALSE), ""), "")</f>
        <v/>
      </c>
      <c r="J504" s="69" t="str">
        <f>_xlfn.IFNA(IF('Interactive Selection Sheet'!F135= "", VLOOKUP('Interactive Selection Sheet'!$G135, 'Master List Import'!$A$1:$P$519, 8, FALSE), ""), "")</f>
        <v/>
      </c>
      <c r="K504" s="69" t="str">
        <f>_xlfn.IFNA(IF('Interactive Selection Sheet'!F135= "", VLOOKUP('Interactive Selection Sheet'!$G135, 'Master List Import'!$A$1:$P$519, 9, FALSE), ""), "")</f>
        <v/>
      </c>
      <c r="L504" s="69" t="str">
        <f>_xlfn.IFNA(IF('Interactive Selection Sheet'!F135= "", VLOOKUP('Interactive Selection Sheet'!$G135, 'Master List Import'!$A$1:$P$519, 10, FALSE), ""), "")</f>
        <v/>
      </c>
      <c r="M504" s="69" t="str">
        <f>_xlfn.IFNA(IF('Interactive Selection Sheet'!F135= "", VLOOKUP('Interactive Selection Sheet'!$G135, 'Master List Import'!$A$1:$P$519, 11, FALSE), ""), "")</f>
        <v/>
      </c>
      <c r="N504" s="69" t="str">
        <f>_xlfn.IFNA(IF('Interactive Selection Sheet'!F135= "", VLOOKUP('Interactive Selection Sheet'!$G135, 'Master List Import'!$A$1:$P$519, 12, FALSE), ""), "")</f>
        <v/>
      </c>
      <c r="O504" s="69" t="str">
        <f>_xlfn.IFNA(IF('Interactive Selection Sheet'!F135= "", VLOOKUP('Interactive Selection Sheet'!$G135, 'Master List Import'!$A$1:$P$519, 13, FALSE), ""), "")</f>
        <v/>
      </c>
      <c r="P504" s="69" t="str">
        <f>_xlfn.IFNA(IF('Interactive Selection Sheet'!F135= "", VLOOKUP('Interactive Selection Sheet'!$G135, 'Master List Import'!$A$1:$P$519, 14, FALSE), ""), "")</f>
        <v/>
      </c>
      <c r="Q504" s="69" t="str">
        <f>_xlfn.IFNA(IF('Interactive Selection Sheet'!F135= "", VLOOKUP('Interactive Selection Sheet'!$G135, 'Master List Import'!$A$1:$P$519, 15, FALSE), ""), "")</f>
        <v/>
      </c>
      <c r="R504" s="74" t="str">
        <f>_xlfn.IFNA(IF('Interactive Selection Sheet'!F135= "", VLOOKUP('Interactive Selection Sheet'!$G135, 'Master List Import'!$A$1:$P$519, 16, FALSE), ""), "")</f>
        <v/>
      </c>
    </row>
    <row r="505" spans="1:18" ht="21.75" customHeight="1" x14ac:dyDescent="0.25">
      <c r="A505" s="69" t="str">
        <f>_xlfn.IFNA(IF('Interactive Selection Sheet'!F136= "", VLOOKUP('Interactive Selection Sheet'!$G136, 'Master List Import'!$A$1:$P$519, 2, FALSE), ""), "")</f>
        <v/>
      </c>
      <c r="B505" s="69" t="str">
        <f>_xlfn.IFNA(IF('Interactive Selection Sheet'!F136= "", VLOOKUP('Interactive Selection Sheet'!$G136, 'Master List Import'!$A$1:$P$519, 3, FALSE), ""), "")</f>
        <v/>
      </c>
      <c r="C505" s="76" t="str">
        <f>IF('Interactive Selection Sheet'!$T$2="", "", IF(B505="","",'Interactive Selection Sheet'!$T$2))</f>
        <v/>
      </c>
      <c r="D505" s="70" t="str">
        <f>IF(B505 = "", "", 'Interactive Selection Sheet'!$Q$2)</f>
        <v/>
      </c>
      <c r="E505" s="70" t="str">
        <f>IF(B505="","", 'Interactive Selection Sheet'!$R$2)</f>
        <v/>
      </c>
      <c r="F505" s="69" t="str">
        <f>_xlfn.IFNA(IF('Interactive Selection Sheet'!F136= "", VLOOKUP('Interactive Selection Sheet'!$G136, 'Master List Import'!$A$1:$P$519, 4, FALSE), ""), "")</f>
        <v/>
      </c>
      <c r="G505" s="69" t="str">
        <f>_xlfn.IFNA(IF('Interactive Selection Sheet'!F136= "", VLOOKUP('Interactive Selection Sheet'!$G136, 'Master List Import'!$A$1:$P$519, 5, FALSE), ""), "")</f>
        <v/>
      </c>
      <c r="H505" s="69" t="str">
        <f>_xlfn.IFNA(IF('Interactive Selection Sheet'!F136= "", VLOOKUP('Interactive Selection Sheet'!$G136, 'Master List Import'!$A$1:$P$519, 6, FALSE), ""), "")</f>
        <v/>
      </c>
      <c r="I505" s="72" t="str">
        <f>_xlfn.IFNA(IF('Interactive Selection Sheet'!F136= "", VLOOKUP('Interactive Selection Sheet'!$G136, 'Master List Import'!$A$1:$P$519, 7, FALSE), ""), "")</f>
        <v/>
      </c>
      <c r="J505" s="69" t="str">
        <f>_xlfn.IFNA(IF('Interactive Selection Sheet'!F136= "", VLOOKUP('Interactive Selection Sheet'!$G136, 'Master List Import'!$A$1:$P$519, 8, FALSE), ""), "")</f>
        <v/>
      </c>
      <c r="K505" s="69" t="str">
        <f>_xlfn.IFNA(IF('Interactive Selection Sheet'!F136= "", VLOOKUP('Interactive Selection Sheet'!$G136, 'Master List Import'!$A$1:$P$519, 9, FALSE), ""), "")</f>
        <v/>
      </c>
      <c r="L505" s="69" t="str">
        <f>_xlfn.IFNA(IF('Interactive Selection Sheet'!F136= "", VLOOKUP('Interactive Selection Sheet'!$G136, 'Master List Import'!$A$1:$P$519, 10, FALSE), ""), "")</f>
        <v/>
      </c>
      <c r="M505" s="69" t="str">
        <f>_xlfn.IFNA(IF('Interactive Selection Sheet'!F136= "", VLOOKUP('Interactive Selection Sheet'!$G136, 'Master List Import'!$A$1:$P$519, 11, FALSE), ""), "")</f>
        <v/>
      </c>
      <c r="N505" s="69" t="str">
        <f>_xlfn.IFNA(IF('Interactive Selection Sheet'!F136= "", VLOOKUP('Interactive Selection Sheet'!$G136, 'Master List Import'!$A$1:$P$519, 12, FALSE), ""), "")</f>
        <v/>
      </c>
      <c r="O505" s="69" t="str">
        <f>_xlfn.IFNA(IF('Interactive Selection Sheet'!F136= "", VLOOKUP('Interactive Selection Sheet'!$G136, 'Master List Import'!$A$1:$P$519, 13, FALSE), ""), "")</f>
        <v/>
      </c>
      <c r="P505" s="69" t="str">
        <f>_xlfn.IFNA(IF('Interactive Selection Sheet'!F136= "", VLOOKUP('Interactive Selection Sheet'!$G136, 'Master List Import'!$A$1:$P$519, 14, FALSE), ""), "")</f>
        <v/>
      </c>
      <c r="Q505" s="69" t="str">
        <f>_xlfn.IFNA(IF('Interactive Selection Sheet'!F136= "", VLOOKUP('Interactive Selection Sheet'!$G136, 'Master List Import'!$A$1:$P$519, 15, FALSE), ""), "")</f>
        <v/>
      </c>
      <c r="R505" s="74" t="str">
        <f>_xlfn.IFNA(IF('Interactive Selection Sheet'!F136= "", VLOOKUP('Interactive Selection Sheet'!$G136, 'Master List Import'!$A$1:$P$519, 16, FALSE), ""), "")</f>
        <v/>
      </c>
    </row>
    <row r="506" spans="1:18" ht="21.75" customHeight="1" x14ac:dyDescent="0.25">
      <c r="A506" s="69" t="str">
        <f>_xlfn.IFNA(IF('Interactive Selection Sheet'!F137= "", VLOOKUP('Interactive Selection Sheet'!$G137, 'Master List Import'!$A$1:$P$519, 2, FALSE), ""), "")</f>
        <v/>
      </c>
      <c r="B506" s="69" t="str">
        <f>_xlfn.IFNA(IF('Interactive Selection Sheet'!F137= "", VLOOKUP('Interactive Selection Sheet'!$G137, 'Master List Import'!$A$1:$P$519, 3, FALSE), ""), "")</f>
        <v/>
      </c>
      <c r="C506" s="76" t="str">
        <f>IF('Interactive Selection Sheet'!$T$2="", "", IF(B506="","",'Interactive Selection Sheet'!$T$2))</f>
        <v/>
      </c>
      <c r="D506" s="70" t="str">
        <f>IF(B506 = "", "", 'Interactive Selection Sheet'!$Q$2)</f>
        <v/>
      </c>
      <c r="E506" s="70" t="str">
        <f>IF(B506="","", 'Interactive Selection Sheet'!$R$2)</f>
        <v/>
      </c>
      <c r="F506" s="69" t="str">
        <f>_xlfn.IFNA(IF('Interactive Selection Sheet'!F137= "", VLOOKUP('Interactive Selection Sheet'!$G137, 'Master List Import'!$A$1:$P$519, 4, FALSE), ""), "")</f>
        <v/>
      </c>
      <c r="G506" s="69" t="str">
        <f>_xlfn.IFNA(IF('Interactive Selection Sheet'!F137= "", VLOOKUP('Interactive Selection Sheet'!$G137, 'Master List Import'!$A$1:$P$519, 5, FALSE), ""), "")</f>
        <v/>
      </c>
      <c r="H506" s="69" t="str">
        <f>_xlfn.IFNA(IF('Interactive Selection Sheet'!F137= "", VLOOKUP('Interactive Selection Sheet'!$G137, 'Master List Import'!$A$1:$P$519, 6, FALSE), ""), "")</f>
        <v/>
      </c>
      <c r="I506" s="72" t="str">
        <f>_xlfn.IFNA(IF('Interactive Selection Sheet'!F137= "", VLOOKUP('Interactive Selection Sheet'!$G137, 'Master List Import'!$A$1:$P$519, 7, FALSE), ""), "")</f>
        <v/>
      </c>
      <c r="J506" s="69" t="str">
        <f>_xlfn.IFNA(IF('Interactive Selection Sheet'!F137= "", VLOOKUP('Interactive Selection Sheet'!$G137, 'Master List Import'!$A$1:$P$519, 8, FALSE), ""), "")</f>
        <v/>
      </c>
      <c r="K506" s="69" t="str">
        <f>_xlfn.IFNA(IF('Interactive Selection Sheet'!F137= "", VLOOKUP('Interactive Selection Sheet'!$G137, 'Master List Import'!$A$1:$P$519, 9, FALSE), ""), "")</f>
        <v/>
      </c>
      <c r="L506" s="69" t="str">
        <f>_xlfn.IFNA(IF('Interactive Selection Sheet'!F137= "", VLOOKUP('Interactive Selection Sheet'!$G137, 'Master List Import'!$A$1:$P$519, 10, FALSE), ""), "")</f>
        <v/>
      </c>
      <c r="M506" s="69" t="str">
        <f>_xlfn.IFNA(IF('Interactive Selection Sheet'!F137= "", VLOOKUP('Interactive Selection Sheet'!$G137, 'Master List Import'!$A$1:$P$519, 11, FALSE), ""), "")</f>
        <v/>
      </c>
      <c r="N506" s="69" t="str">
        <f>_xlfn.IFNA(IF('Interactive Selection Sheet'!F137= "", VLOOKUP('Interactive Selection Sheet'!$G137, 'Master List Import'!$A$1:$P$519, 12, FALSE), ""), "")</f>
        <v/>
      </c>
      <c r="O506" s="69" t="str">
        <f>_xlfn.IFNA(IF('Interactive Selection Sheet'!F137= "", VLOOKUP('Interactive Selection Sheet'!$G137, 'Master List Import'!$A$1:$P$519, 13, FALSE), ""), "")</f>
        <v/>
      </c>
      <c r="P506" s="69" t="str">
        <f>_xlfn.IFNA(IF('Interactive Selection Sheet'!F137= "", VLOOKUP('Interactive Selection Sheet'!$G137, 'Master List Import'!$A$1:$P$519, 14, FALSE), ""), "")</f>
        <v/>
      </c>
      <c r="Q506" s="69" t="str">
        <f>_xlfn.IFNA(IF('Interactive Selection Sheet'!F137= "", VLOOKUP('Interactive Selection Sheet'!$G137, 'Master List Import'!$A$1:$P$519, 15, FALSE), ""), "")</f>
        <v/>
      </c>
      <c r="R506" s="74" t="str">
        <f>_xlfn.IFNA(IF('Interactive Selection Sheet'!F137= "", VLOOKUP('Interactive Selection Sheet'!$G137, 'Master List Import'!$A$1:$P$519, 16, FALSE), ""), "")</f>
        <v/>
      </c>
    </row>
    <row r="507" spans="1:18" ht="21.75" customHeight="1" x14ac:dyDescent="0.25">
      <c r="A507" s="69" t="str">
        <f>_xlfn.IFNA(IF('Interactive Selection Sheet'!F143= "", VLOOKUP('Interactive Selection Sheet'!$G143, 'Master List Import'!$A$1:$P$519, 2, FALSE), ""), "")</f>
        <v/>
      </c>
      <c r="B507" s="69" t="str">
        <f>_xlfn.IFNA(IF('Interactive Selection Sheet'!F143= "", VLOOKUP('Interactive Selection Sheet'!$G143, 'Master List Import'!$A$1:$P$519, 3, FALSE), ""), "")</f>
        <v/>
      </c>
      <c r="C507" s="76" t="str">
        <f>IF('Interactive Selection Sheet'!$T$2="", "", IF(B507="","",'Interactive Selection Sheet'!$T$2))</f>
        <v/>
      </c>
      <c r="D507" s="70" t="str">
        <f>IF(B507 = "", "", 'Interactive Selection Sheet'!$Q$2)</f>
        <v/>
      </c>
      <c r="E507" s="70" t="str">
        <f>IF(B507="","", 'Interactive Selection Sheet'!$R$2)</f>
        <v/>
      </c>
      <c r="F507" s="69" t="str">
        <f>_xlfn.IFNA(IF('Interactive Selection Sheet'!F143= "", VLOOKUP('Interactive Selection Sheet'!$G143, 'Master List Import'!$A$1:$P$519, 4, FALSE), ""), "")</f>
        <v/>
      </c>
      <c r="G507" s="69" t="str">
        <f>_xlfn.IFNA(IF('Interactive Selection Sheet'!F143= "", VLOOKUP('Interactive Selection Sheet'!$G143, 'Master List Import'!$A$1:$P$519, 5, FALSE), ""), "")</f>
        <v/>
      </c>
      <c r="H507" s="69" t="str">
        <f>_xlfn.IFNA(IF('Interactive Selection Sheet'!F143= "", VLOOKUP('Interactive Selection Sheet'!$G143, 'Master List Import'!$A$1:$P$519, 6, FALSE), ""), "")</f>
        <v/>
      </c>
      <c r="I507" s="72" t="str">
        <f>_xlfn.IFNA(IF('Interactive Selection Sheet'!F143= "", VLOOKUP('Interactive Selection Sheet'!$G143, 'Master List Import'!$A$1:$P$519, 7, FALSE), ""), "")</f>
        <v/>
      </c>
      <c r="J507" s="69" t="str">
        <f>_xlfn.IFNA(IF('Interactive Selection Sheet'!F143= "", VLOOKUP('Interactive Selection Sheet'!$G143, 'Master List Import'!$A$1:$P$519, 8, FALSE), ""), "")</f>
        <v/>
      </c>
      <c r="K507" s="69" t="str">
        <f>_xlfn.IFNA(IF('Interactive Selection Sheet'!F143= "", VLOOKUP('Interactive Selection Sheet'!$G143, 'Master List Import'!$A$1:$P$519, 9, FALSE), ""), "")</f>
        <v/>
      </c>
      <c r="L507" s="69" t="str">
        <f>_xlfn.IFNA(IF('Interactive Selection Sheet'!F143= "", VLOOKUP('Interactive Selection Sheet'!$G143, 'Master List Import'!$A$1:$P$519, 10, FALSE), ""), "")</f>
        <v/>
      </c>
      <c r="M507" s="69" t="str">
        <f>_xlfn.IFNA(IF('Interactive Selection Sheet'!F143= "", VLOOKUP('Interactive Selection Sheet'!$G143, 'Master List Import'!$A$1:$P$519, 11, FALSE), ""), "")</f>
        <v/>
      </c>
      <c r="N507" s="69" t="str">
        <f>_xlfn.IFNA(IF('Interactive Selection Sheet'!F143= "", VLOOKUP('Interactive Selection Sheet'!$G143, 'Master List Import'!$A$1:$P$519, 12, FALSE), ""), "")</f>
        <v/>
      </c>
      <c r="O507" s="69" t="str">
        <f>_xlfn.IFNA(IF('Interactive Selection Sheet'!F143= "", VLOOKUP('Interactive Selection Sheet'!$G143, 'Master List Import'!$A$1:$P$519, 13, FALSE), ""), "")</f>
        <v/>
      </c>
      <c r="P507" s="69" t="str">
        <f>_xlfn.IFNA(IF('Interactive Selection Sheet'!F143= "", VLOOKUP('Interactive Selection Sheet'!$G143, 'Master List Import'!$A$1:$P$519, 14, FALSE), ""), "")</f>
        <v/>
      </c>
      <c r="Q507" s="69" t="str">
        <f>_xlfn.IFNA(IF('Interactive Selection Sheet'!F143= "", VLOOKUP('Interactive Selection Sheet'!$G143, 'Master List Import'!$A$1:$P$519, 15, FALSE), ""), "")</f>
        <v/>
      </c>
      <c r="R507" s="74" t="str">
        <f>_xlfn.IFNA(IF('Interactive Selection Sheet'!F143= "", VLOOKUP('Interactive Selection Sheet'!$G143, 'Master List Import'!$A$1:$P$519, 16, FALSE), ""), "")</f>
        <v/>
      </c>
    </row>
    <row r="508" spans="1:18" ht="21.75" customHeight="1" x14ac:dyDescent="0.25">
      <c r="A508" s="69" t="str">
        <f>_xlfn.IFNA(IF('Interactive Selection Sheet'!$K82= "", VLOOKUP('Interactive Selection Sheet'!$L82, 'Master List Import'!$A$1:$P$519, 2, FALSE), ""), "")</f>
        <v/>
      </c>
      <c r="B508" s="69" t="str">
        <f>_xlfn.IFNA(IF('Interactive Selection Sheet'!$K82= "", VLOOKUP('Interactive Selection Sheet'!$L82, 'Master List Import'!$A$1:$P$519, 3, FALSE), ""), "")</f>
        <v/>
      </c>
      <c r="C508" s="76" t="str">
        <f>IF('Interactive Selection Sheet'!$T$2="", "", IF(B508="","",'Interactive Selection Sheet'!$T$2))</f>
        <v/>
      </c>
      <c r="D508" s="70" t="str">
        <f>IF(B508 = "", "", 'Interactive Selection Sheet'!$Q$2)</f>
        <v/>
      </c>
      <c r="E508" s="70" t="str">
        <f>IF(B508="","", 'Interactive Selection Sheet'!$R$2)</f>
        <v/>
      </c>
      <c r="F508" s="69" t="str">
        <f>_xlfn.IFNA(IF('Interactive Selection Sheet'!K82= "", VLOOKUP('Interactive Selection Sheet'!$L82, 'Master List Import'!$A$1:$P$519, 4, FALSE), ""), "")</f>
        <v/>
      </c>
      <c r="G508" s="69" t="str">
        <f>_xlfn.IFNA(IF('Interactive Selection Sheet'!K82= "", VLOOKUP('Interactive Selection Sheet'!$L82, 'Master List Import'!$A$1:$P$519, 5, FALSE), ""), "")</f>
        <v/>
      </c>
      <c r="H508" s="69" t="str">
        <f>_xlfn.IFNA(IF('Interactive Selection Sheet'!K82= "", VLOOKUP('Interactive Selection Sheet'!$L82, 'Master List Import'!$A$1:$P$519, 6, FALSE), ""), "")</f>
        <v/>
      </c>
      <c r="I508" s="72" t="str">
        <f>_xlfn.IFNA(IF('Interactive Selection Sheet'!K82= "", VLOOKUP('Interactive Selection Sheet'!$L82, 'Master List Import'!$A$1:$P$519, 7, FALSE), ""), "")</f>
        <v/>
      </c>
      <c r="J508" s="69" t="str">
        <f>_xlfn.IFNA(IF('Interactive Selection Sheet'!K82= "", VLOOKUP('Interactive Selection Sheet'!$L82, 'Master List Import'!$A$1:$P$519, 8, FALSE), ""), "")</f>
        <v/>
      </c>
      <c r="K508" s="69" t="str">
        <f>_xlfn.IFNA(IF('Interactive Selection Sheet'!K82= "", VLOOKUP('Interactive Selection Sheet'!$L82, 'Master List Import'!$A$1:$P$519, 9, FALSE), ""), "")</f>
        <v/>
      </c>
      <c r="L508" s="69" t="str">
        <f>_xlfn.IFNA(IF('Interactive Selection Sheet'!K82= "", VLOOKUP('Interactive Selection Sheet'!$L82, 'Master List Import'!$A$1:$P$519, 10, FALSE), ""), "")</f>
        <v/>
      </c>
      <c r="M508" s="69" t="str">
        <f>_xlfn.IFNA(IF('Interactive Selection Sheet'!K82= "", VLOOKUP('Interactive Selection Sheet'!$L82, 'Master List Import'!$A$1:$P$519, 11, FALSE), ""), "")</f>
        <v/>
      </c>
      <c r="N508" s="69" t="str">
        <f>_xlfn.IFNA(IF('Interactive Selection Sheet'!K82= "", VLOOKUP('Interactive Selection Sheet'!$L82, 'Master List Import'!$A$1:$P$519, 12, FALSE), ""), "")</f>
        <v/>
      </c>
      <c r="O508" s="69" t="str">
        <f>_xlfn.IFNA(IF('Interactive Selection Sheet'!K82= "", VLOOKUP('Interactive Selection Sheet'!$L82, 'Master List Import'!$A$1:$P$519, 13, FALSE), ""), "")</f>
        <v/>
      </c>
      <c r="P508" s="69" t="str">
        <f>_xlfn.IFNA(IF('Interactive Selection Sheet'!K82= "", VLOOKUP('Interactive Selection Sheet'!$L82, 'Master List Import'!$A$1:$P$519, 14, FALSE), ""), "")</f>
        <v/>
      </c>
      <c r="Q508" s="69" t="str">
        <f>_xlfn.IFNA(IF('Interactive Selection Sheet'!K82= "", VLOOKUP('Interactive Selection Sheet'!$L82, 'Master List Import'!$A$1:$P$519, 15, FALSE), ""), "")</f>
        <v/>
      </c>
      <c r="R508" s="74" t="str">
        <f>_xlfn.IFNA(IF('Interactive Selection Sheet'!K82= "", VLOOKUP('Interactive Selection Sheet'!$L82, 'Master List Import'!$A$1:$P$519, 16, FALSE), ""), "")</f>
        <v/>
      </c>
    </row>
    <row r="509" spans="1:18" ht="21.75" customHeight="1" x14ac:dyDescent="0.25">
      <c r="A509" s="69" t="str">
        <f>_xlfn.IFNA(IF('Interactive Selection Sheet'!$K84= "", VLOOKUP('Interactive Selection Sheet'!$L84, 'Master List Import'!$A$1:$P$519, 2, FALSE), ""), "")</f>
        <v/>
      </c>
      <c r="B509" s="69" t="str">
        <f>_xlfn.IFNA(IF('Interactive Selection Sheet'!$K84= "", VLOOKUP('Interactive Selection Sheet'!$L84, 'Master List Import'!$A$1:$P$519, 3, FALSE), ""), "")</f>
        <v/>
      </c>
      <c r="C509" s="76" t="str">
        <f>IF('Interactive Selection Sheet'!$T$2="", "", IF(B509="","",'Interactive Selection Sheet'!$T$2))</f>
        <v/>
      </c>
      <c r="D509" s="70" t="str">
        <f>IF(B509 = "", "", 'Interactive Selection Sheet'!$Q$2)</f>
        <v/>
      </c>
      <c r="E509" s="70" t="str">
        <f>IF(B509="","", 'Interactive Selection Sheet'!$R$2)</f>
        <v/>
      </c>
      <c r="F509" s="69" t="str">
        <f>_xlfn.IFNA(IF('Interactive Selection Sheet'!K84= "", VLOOKUP('Interactive Selection Sheet'!$L84, 'Master List Import'!$A$1:$P$519, 4, FALSE), ""), "")</f>
        <v/>
      </c>
      <c r="G509" s="69" t="str">
        <f>_xlfn.IFNA(IF('Interactive Selection Sheet'!K84= "", VLOOKUP('Interactive Selection Sheet'!$L84, 'Master List Import'!$A$1:$P$519, 5, FALSE), ""), "")</f>
        <v/>
      </c>
      <c r="H509" s="69" t="str">
        <f>_xlfn.IFNA(IF('Interactive Selection Sheet'!K84= "", VLOOKUP('Interactive Selection Sheet'!$L84, 'Master List Import'!$A$1:$P$519, 6, FALSE), ""), "")</f>
        <v/>
      </c>
      <c r="I509" s="72" t="str">
        <f>_xlfn.IFNA(IF('Interactive Selection Sheet'!K84= "", VLOOKUP('Interactive Selection Sheet'!$L84, 'Master List Import'!$A$1:$P$519, 7, FALSE), ""), "")</f>
        <v/>
      </c>
      <c r="J509" s="69" t="str">
        <f>_xlfn.IFNA(IF('Interactive Selection Sheet'!K84= "", VLOOKUP('Interactive Selection Sheet'!$L84, 'Master List Import'!$A$1:$P$519, 8, FALSE), ""), "")</f>
        <v/>
      </c>
      <c r="K509" s="69" t="str">
        <f>_xlfn.IFNA(IF('Interactive Selection Sheet'!K84= "", VLOOKUP('Interactive Selection Sheet'!$L84, 'Master List Import'!$A$1:$P$519, 9, FALSE), ""), "")</f>
        <v/>
      </c>
      <c r="L509" s="69" t="str">
        <f>_xlfn.IFNA(IF('Interactive Selection Sheet'!K84= "", VLOOKUP('Interactive Selection Sheet'!$L84, 'Master List Import'!$A$1:$P$519, 10, FALSE), ""), "")</f>
        <v/>
      </c>
      <c r="M509" s="69" t="str">
        <f>_xlfn.IFNA(IF('Interactive Selection Sheet'!K84= "", VLOOKUP('Interactive Selection Sheet'!$L84, 'Master List Import'!$A$1:$P$519, 11, FALSE), ""), "")</f>
        <v/>
      </c>
      <c r="N509" s="69" t="str">
        <f>_xlfn.IFNA(IF('Interactive Selection Sheet'!K84= "", VLOOKUP('Interactive Selection Sheet'!$L84, 'Master List Import'!$A$1:$P$519, 12, FALSE), ""), "")</f>
        <v/>
      </c>
      <c r="O509" s="69" t="str">
        <f>_xlfn.IFNA(IF('Interactive Selection Sheet'!K84= "", VLOOKUP('Interactive Selection Sheet'!$L84, 'Master List Import'!$A$1:$P$519, 13, FALSE), ""), "")</f>
        <v/>
      </c>
      <c r="P509" s="69" t="str">
        <f>_xlfn.IFNA(IF('Interactive Selection Sheet'!K84= "", VLOOKUP('Interactive Selection Sheet'!$L84, 'Master List Import'!$A$1:$P$519, 14, FALSE), ""), "")</f>
        <v/>
      </c>
      <c r="Q509" s="69" t="str">
        <f>_xlfn.IFNA(IF('Interactive Selection Sheet'!K84= "", VLOOKUP('Interactive Selection Sheet'!$L84, 'Master List Import'!$A$1:$P$519, 15, FALSE), ""), "")</f>
        <v/>
      </c>
      <c r="R509" s="74" t="str">
        <f>_xlfn.IFNA(IF('Interactive Selection Sheet'!K84= "", VLOOKUP('Interactive Selection Sheet'!$L84, 'Master List Import'!$A$1:$P$519, 16, FALSE), ""), "")</f>
        <v/>
      </c>
    </row>
    <row r="510" spans="1:18" ht="21.75" customHeight="1" x14ac:dyDescent="0.25">
      <c r="A510" s="69" t="str">
        <f>_xlfn.IFNA(IF('Interactive Selection Sheet'!$K106= "", VLOOKUP('Interactive Selection Sheet'!$L106, 'Master List Import'!$A$1:$P$519, 2, FALSE), ""), "")</f>
        <v/>
      </c>
      <c r="B510" s="69" t="str">
        <f>_xlfn.IFNA(IF('Interactive Selection Sheet'!$K106= "", VLOOKUP('Interactive Selection Sheet'!$L106, 'Master List Import'!$A$1:$P$519, 3, FALSE), ""), "")</f>
        <v/>
      </c>
      <c r="C510" s="76" t="str">
        <f>IF('Interactive Selection Sheet'!$T$2="", "", IF(B510="","",'Interactive Selection Sheet'!$T$2))</f>
        <v/>
      </c>
      <c r="D510" s="70" t="str">
        <f>IF(B510 = "", "", 'Interactive Selection Sheet'!$Q$2)</f>
        <v/>
      </c>
      <c r="E510" s="70" t="str">
        <f>IF(B510="","", 'Interactive Selection Sheet'!$R$2)</f>
        <v/>
      </c>
      <c r="F510" s="69" t="str">
        <f>_xlfn.IFNA(IF('Interactive Selection Sheet'!K106= "", VLOOKUP('Interactive Selection Sheet'!$L106, 'Master List Import'!$A$1:$P$519, 4, FALSE), ""), "")</f>
        <v/>
      </c>
      <c r="G510" s="69" t="str">
        <f>_xlfn.IFNA(IF('Interactive Selection Sheet'!K106= "", VLOOKUP('Interactive Selection Sheet'!$L106, 'Master List Import'!$A$1:$P$519, 5, FALSE), ""), "")</f>
        <v/>
      </c>
      <c r="H510" s="69" t="str">
        <f>_xlfn.IFNA(IF('Interactive Selection Sheet'!K106= "", VLOOKUP('Interactive Selection Sheet'!$L106, 'Master List Import'!$A$1:$P$519, 6, FALSE), ""), "")</f>
        <v/>
      </c>
      <c r="I510" s="72" t="str">
        <f>_xlfn.IFNA(IF('Interactive Selection Sheet'!K106= "", VLOOKUP('Interactive Selection Sheet'!$L106, 'Master List Import'!$A$1:$P$519, 7, FALSE), ""), "")</f>
        <v/>
      </c>
      <c r="J510" s="69" t="str">
        <f>_xlfn.IFNA(IF('Interactive Selection Sheet'!K106= "", VLOOKUP('Interactive Selection Sheet'!$L106, 'Master List Import'!$A$1:$P$519, 8, FALSE), ""), "")</f>
        <v/>
      </c>
      <c r="K510" s="69" t="str">
        <f>_xlfn.IFNA(IF('Interactive Selection Sheet'!K106= "", VLOOKUP('Interactive Selection Sheet'!$L106, 'Master List Import'!$A$1:$P$519, 9, FALSE), ""), "")</f>
        <v/>
      </c>
      <c r="L510" s="69" t="str">
        <f>_xlfn.IFNA(IF('Interactive Selection Sheet'!K106= "", VLOOKUP('Interactive Selection Sheet'!$L106, 'Master List Import'!$A$1:$P$519, 10, FALSE), ""), "")</f>
        <v/>
      </c>
      <c r="M510" s="69" t="str">
        <f>_xlfn.IFNA(IF('Interactive Selection Sheet'!K106= "", VLOOKUP('Interactive Selection Sheet'!$L106, 'Master List Import'!$A$1:$P$519, 11, FALSE), ""), "")</f>
        <v/>
      </c>
      <c r="N510" s="69" t="str">
        <f>_xlfn.IFNA(IF('Interactive Selection Sheet'!K106= "", VLOOKUP('Interactive Selection Sheet'!$L106, 'Master List Import'!$A$1:$P$519, 12, FALSE), ""), "")</f>
        <v/>
      </c>
      <c r="O510" s="69" t="str">
        <f>_xlfn.IFNA(IF('Interactive Selection Sheet'!K106= "", VLOOKUP('Interactive Selection Sheet'!$L106, 'Master List Import'!$A$1:$P$519, 13, FALSE), ""), "")</f>
        <v/>
      </c>
      <c r="P510" s="69" t="str">
        <f>_xlfn.IFNA(IF('Interactive Selection Sheet'!K106= "", VLOOKUP('Interactive Selection Sheet'!$L106, 'Master List Import'!$A$1:$P$519, 14, FALSE), ""), "")</f>
        <v/>
      </c>
      <c r="Q510" s="69" t="str">
        <f>_xlfn.IFNA(IF('Interactive Selection Sheet'!K106= "", VLOOKUP('Interactive Selection Sheet'!$L106, 'Master List Import'!$A$1:$P$519, 15, FALSE), ""), "")</f>
        <v/>
      </c>
      <c r="R510" s="74" t="str">
        <f>_xlfn.IFNA(IF('Interactive Selection Sheet'!K106= "", VLOOKUP('Interactive Selection Sheet'!$L106, 'Master List Import'!$A$1:$P$519, 16, FALSE), ""), "")</f>
        <v/>
      </c>
    </row>
    <row r="511" spans="1:18" ht="21.75" customHeight="1" x14ac:dyDescent="0.25">
      <c r="A511" s="69" t="str">
        <f>_xlfn.IFNA(IF('Interactive Selection Sheet'!A147 = "", VLOOKUP('Interactive Selection Sheet'!$B147, 'Master List Import'!$A$1:$P$519, 2, FALSE), ""), "")</f>
        <v/>
      </c>
      <c r="B511" s="69" t="str">
        <f>_xlfn.IFNA(IF('Interactive Selection Sheet'!A147 = "", VLOOKUP('Interactive Selection Sheet'!$B147, 'Master List Import'!$A$1:$P$519, 3, FALSE), ""), "")</f>
        <v/>
      </c>
      <c r="C511" s="76" t="str">
        <f>IF('Interactive Selection Sheet'!$T$2="", "", IF(B511="","",'Interactive Selection Sheet'!$T$2))</f>
        <v/>
      </c>
      <c r="D511" s="70" t="str">
        <f>IF(B511 = "", "", 'Interactive Selection Sheet'!$Q$2)</f>
        <v/>
      </c>
      <c r="E511" s="70" t="str">
        <f>IF(B511="","", 'Interactive Selection Sheet'!$R$2)</f>
        <v/>
      </c>
      <c r="F511" s="69" t="str">
        <f>_xlfn.IFNA(IF('Interactive Selection Sheet'!A147 = "", VLOOKUP('Interactive Selection Sheet'!$B147, 'Master List Import'!$A$1:$P$519, 4, FALSE), ""), "")</f>
        <v/>
      </c>
      <c r="G511" s="69" t="str">
        <f>_xlfn.IFNA(IF('Interactive Selection Sheet'!A147 = "", VLOOKUP('Interactive Selection Sheet'!$B147, 'Master List Import'!$A$1:$P$519, 5, FALSE), ""), "")</f>
        <v/>
      </c>
      <c r="H511" s="69" t="str">
        <f>_xlfn.IFNA(IF('Interactive Selection Sheet'!A147 = "", VLOOKUP('Interactive Selection Sheet'!$B147, 'Master List Import'!$A$1:$P$519, 6, FALSE), ""), "")</f>
        <v/>
      </c>
      <c r="I511" s="72" t="str">
        <f>_xlfn.IFNA(IF('Interactive Selection Sheet'!A147 = "", VLOOKUP('Interactive Selection Sheet'!$B147, 'Master List Import'!$A$1:$P$519, 7, FALSE), ""), "")</f>
        <v/>
      </c>
      <c r="J511" s="69" t="str">
        <f>_xlfn.IFNA(IF('Interactive Selection Sheet'!A147 = "", VLOOKUP('Interactive Selection Sheet'!$B147, 'Master List Import'!$A$1:$P$519, 8, FALSE), ""), "")</f>
        <v/>
      </c>
      <c r="K511" s="69" t="str">
        <f>_xlfn.IFNA(IF('Interactive Selection Sheet'!A147 = "", VLOOKUP('Interactive Selection Sheet'!$B147, 'Master List Import'!$A$1:$P$519, 9, FALSE), ""), "")</f>
        <v/>
      </c>
      <c r="L511" s="69" t="str">
        <f>_xlfn.IFNA(IF('Interactive Selection Sheet'!A147 = "", VLOOKUP('Interactive Selection Sheet'!$B147, 'Master List Import'!$A$1:$P$519, 10, FALSE), ""), "")</f>
        <v/>
      </c>
      <c r="M511" s="69" t="str">
        <f>_xlfn.IFNA(IF('Interactive Selection Sheet'!A147 = "", VLOOKUP('Interactive Selection Sheet'!$B147, 'Master List Import'!$A$1:$P$519, 11, FALSE), ""), "")</f>
        <v/>
      </c>
      <c r="N511" s="69" t="str">
        <f>_xlfn.IFNA(IF('Interactive Selection Sheet'!A147 = "", VLOOKUP('Interactive Selection Sheet'!$B147, 'Master List Import'!$A$1:$P$519, 12, FALSE), ""), "")</f>
        <v/>
      </c>
      <c r="O511" s="69" t="str">
        <f>_xlfn.IFNA(IF('Interactive Selection Sheet'!A147 = "", VLOOKUP('Interactive Selection Sheet'!$B147, 'Master List Import'!$A$1:$P$519, 13, FALSE), ""), "")</f>
        <v/>
      </c>
      <c r="P511" s="69" t="str">
        <f>_xlfn.IFNA(IF('Interactive Selection Sheet'!A147 = "", VLOOKUP('Interactive Selection Sheet'!$B147, 'Master List Import'!$A$1:$P$519, 14, FALSE), ""), "")</f>
        <v/>
      </c>
      <c r="Q511" s="69" t="str">
        <f>_xlfn.IFNA(IF('Interactive Selection Sheet'!A147 = "", VLOOKUP('Interactive Selection Sheet'!$B147, 'Master List Import'!$A$1:$P$519, 15, FALSE), ""), "")</f>
        <v/>
      </c>
      <c r="R511" s="74" t="str">
        <f>_xlfn.IFNA(IF('Interactive Selection Sheet'!A147 = "", VLOOKUP('Interactive Selection Sheet'!$B147, 'Master List Import'!$A$1:$P$519, 16, FALSE), ""), "")</f>
        <v/>
      </c>
    </row>
    <row r="512" spans="1:18" ht="21.75" customHeight="1" x14ac:dyDescent="0.25">
      <c r="A512" s="69" t="str">
        <f>_xlfn.IFNA(IF('Interactive Selection Sheet'!A148 = "", VLOOKUP('Interactive Selection Sheet'!$B148, 'Master List Import'!$A$1:$P$519, 2, FALSE), ""), "")</f>
        <v/>
      </c>
      <c r="B512" s="69" t="str">
        <f>_xlfn.IFNA(IF('Interactive Selection Sheet'!A148 = "", VLOOKUP('Interactive Selection Sheet'!$B148, 'Master List Import'!$A$1:$P$519, 3, FALSE), ""), "")</f>
        <v/>
      </c>
      <c r="C512" s="76" t="str">
        <f>IF('Interactive Selection Sheet'!$T$2="", "", IF(B512="","",'Interactive Selection Sheet'!$T$2))</f>
        <v/>
      </c>
      <c r="D512" s="70" t="str">
        <f>IF(B512 = "", "", 'Interactive Selection Sheet'!$Q$2)</f>
        <v/>
      </c>
      <c r="E512" s="70" t="str">
        <f>IF(B512="","", 'Interactive Selection Sheet'!$R$2)</f>
        <v/>
      </c>
      <c r="F512" s="69" t="str">
        <f>_xlfn.IFNA(IF('Interactive Selection Sheet'!A148 = "", VLOOKUP('Interactive Selection Sheet'!$B148, 'Master List Import'!$A$1:$P$519, 4, FALSE), ""), "")</f>
        <v/>
      </c>
      <c r="G512" s="69" t="str">
        <f>_xlfn.IFNA(IF('Interactive Selection Sheet'!A148 = "", VLOOKUP('Interactive Selection Sheet'!$B148, 'Master List Import'!$A$1:$P$519, 5, FALSE), ""), "")</f>
        <v/>
      </c>
      <c r="H512" s="69" t="str">
        <f>_xlfn.IFNA(IF('Interactive Selection Sheet'!A148 = "", VLOOKUP('Interactive Selection Sheet'!$B148, 'Master List Import'!$A$1:$P$519, 6, FALSE), ""), "")</f>
        <v/>
      </c>
      <c r="I512" s="72" t="str">
        <f>_xlfn.IFNA(IF('Interactive Selection Sheet'!A148 = "", VLOOKUP('Interactive Selection Sheet'!$B148, 'Master List Import'!$A$1:$P$519, 7, FALSE), ""), "")</f>
        <v/>
      </c>
      <c r="J512" s="69" t="str">
        <f>_xlfn.IFNA(IF('Interactive Selection Sheet'!A148 = "", VLOOKUP('Interactive Selection Sheet'!$B148, 'Master List Import'!$A$1:$P$519, 8, FALSE), ""), "")</f>
        <v/>
      </c>
      <c r="K512" s="69" t="str">
        <f>_xlfn.IFNA(IF('Interactive Selection Sheet'!A148 = "", VLOOKUP('Interactive Selection Sheet'!$B148, 'Master List Import'!$A$1:$P$519, 9, FALSE), ""), "")</f>
        <v/>
      </c>
      <c r="L512" s="69" t="str">
        <f>_xlfn.IFNA(IF('Interactive Selection Sheet'!A148 = "", VLOOKUP('Interactive Selection Sheet'!$B148, 'Master List Import'!$A$1:$P$519, 10, FALSE), ""), "")</f>
        <v/>
      </c>
      <c r="M512" s="69" t="str">
        <f>_xlfn.IFNA(IF('Interactive Selection Sheet'!A148 = "", VLOOKUP('Interactive Selection Sheet'!$B148, 'Master List Import'!$A$1:$P$519, 11, FALSE), ""), "")</f>
        <v/>
      </c>
      <c r="N512" s="69" t="str">
        <f>_xlfn.IFNA(IF('Interactive Selection Sheet'!A148 = "", VLOOKUP('Interactive Selection Sheet'!$B148, 'Master List Import'!$A$1:$P$519, 12, FALSE), ""), "")</f>
        <v/>
      </c>
      <c r="O512" s="69" t="str">
        <f>_xlfn.IFNA(IF('Interactive Selection Sheet'!A148 = "", VLOOKUP('Interactive Selection Sheet'!$B148, 'Master List Import'!$A$1:$P$519, 13, FALSE), ""), "")</f>
        <v/>
      </c>
      <c r="P512" s="69" t="str">
        <f>_xlfn.IFNA(IF('Interactive Selection Sheet'!A148 = "", VLOOKUP('Interactive Selection Sheet'!$B148, 'Master List Import'!$A$1:$P$519, 14, FALSE), ""), "")</f>
        <v/>
      </c>
      <c r="Q512" s="69" t="str">
        <f>_xlfn.IFNA(IF('Interactive Selection Sheet'!A148 = "", VLOOKUP('Interactive Selection Sheet'!$B148, 'Master List Import'!$A$1:$P$519, 15, FALSE), ""), "")</f>
        <v/>
      </c>
      <c r="R512" s="74" t="str">
        <f>_xlfn.IFNA(IF('Interactive Selection Sheet'!A148 = "", VLOOKUP('Interactive Selection Sheet'!$B148, 'Master List Import'!$A$1:$P$519, 16, FALSE), ""), "")</f>
        <v/>
      </c>
    </row>
    <row r="513" spans="1:18" ht="21.75" customHeight="1" x14ac:dyDescent="0.25">
      <c r="A513" s="69" t="str">
        <f>_xlfn.IFNA(IF('Interactive Selection Sheet'!$K86= "", VLOOKUP('Interactive Selection Sheet'!$L86, 'Master List Import'!$A$1:$P$519, 2, FALSE), ""), "")</f>
        <v/>
      </c>
      <c r="B513" s="69" t="str">
        <f>_xlfn.IFNA(IF('Interactive Selection Sheet'!$K86= "", VLOOKUP('Interactive Selection Sheet'!$L86, 'Master List Import'!$A$1:$P$519, 3, FALSE), ""), "")</f>
        <v/>
      </c>
      <c r="C513" s="76" t="str">
        <f>IF('Interactive Selection Sheet'!$T$2="", "", IF(B513="","",'Interactive Selection Sheet'!$T$2))</f>
        <v/>
      </c>
      <c r="D513" s="70" t="str">
        <f>IF(B513 = "", "", 'Interactive Selection Sheet'!$Q$2)</f>
        <v/>
      </c>
      <c r="E513" s="70" t="str">
        <f>IF(B513="","", 'Interactive Selection Sheet'!$R$2)</f>
        <v/>
      </c>
      <c r="F513" s="69" t="str">
        <f>_xlfn.IFNA(IF('Interactive Selection Sheet'!K86= "", VLOOKUP('Interactive Selection Sheet'!$L86, 'Master List Import'!$A$1:$P$519, 4, FALSE), ""), "")</f>
        <v/>
      </c>
      <c r="G513" s="69" t="str">
        <f>_xlfn.IFNA(IF('Interactive Selection Sheet'!K86= "", VLOOKUP('Interactive Selection Sheet'!$L86, 'Master List Import'!$A$1:$P$519, 5, FALSE), ""), "")</f>
        <v/>
      </c>
      <c r="H513" s="69" t="str">
        <f>_xlfn.IFNA(IF('Interactive Selection Sheet'!K86= "", VLOOKUP('Interactive Selection Sheet'!$L86, 'Master List Import'!$A$1:$P$519, 6, FALSE), ""), "")</f>
        <v/>
      </c>
      <c r="I513" s="72" t="str">
        <f>_xlfn.IFNA(IF('Interactive Selection Sheet'!K86= "", VLOOKUP('Interactive Selection Sheet'!$L86, 'Master List Import'!$A$1:$P$519, 7, FALSE), ""), "")</f>
        <v/>
      </c>
      <c r="J513" s="69" t="str">
        <f>_xlfn.IFNA(IF('Interactive Selection Sheet'!K86= "", VLOOKUP('Interactive Selection Sheet'!$L86, 'Master List Import'!$A$1:$P$519, 8, FALSE), ""), "")</f>
        <v/>
      </c>
      <c r="K513" s="69" t="str">
        <f>_xlfn.IFNA(IF('Interactive Selection Sheet'!K86= "", VLOOKUP('Interactive Selection Sheet'!$L86, 'Master List Import'!$A$1:$P$519, 9, FALSE), ""), "")</f>
        <v/>
      </c>
      <c r="L513" s="69" t="str">
        <f>_xlfn.IFNA(IF('Interactive Selection Sheet'!K86= "", VLOOKUP('Interactive Selection Sheet'!$L86, 'Master List Import'!$A$1:$P$519, 10, FALSE), ""), "")</f>
        <v/>
      </c>
      <c r="M513" s="69" t="str">
        <f>_xlfn.IFNA(IF('Interactive Selection Sheet'!K86= "", VLOOKUP('Interactive Selection Sheet'!$L86, 'Master List Import'!$A$1:$P$519, 11, FALSE), ""), "")</f>
        <v/>
      </c>
      <c r="N513" s="69" t="str">
        <f>_xlfn.IFNA(IF('Interactive Selection Sheet'!K86= "", VLOOKUP('Interactive Selection Sheet'!$L86, 'Master List Import'!$A$1:$P$519, 12, FALSE), ""), "")</f>
        <v/>
      </c>
      <c r="O513" s="69" t="str">
        <f>_xlfn.IFNA(IF('Interactive Selection Sheet'!K86= "", VLOOKUP('Interactive Selection Sheet'!$L86, 'Master List Import'!$A$1:$P$519, 13, FALSE), ""), "")</f>
        <v/>
      </c>
      <c r="P513" s="69" t="str">
        <f>_xlfn.IFNA(IF('Interactive Selection Sheet'!K86= "", VLOOKUP('Interactive Selection Sheet'!$L86, 'Master List Import'!$A$1:$P$519, 14, FALSE), ""), "")</f>
        <v/>
      </c>
      <c r="Q513" s="69" t="str">
        <f>_xlfn.IFNA(IF('Interactive Selection Sheet'!K86= "", VLOOKUP('Interactive Selection Sheet'!$L86, 'Master List Import'!$A$1:$P$519, 15, FALSE), ""), "")</f>
        <v/>
      </c>
      <c r="R513" s="74" t="str">
        <f>_xlfn.IFNA(IF('Interactive Selection Sheet'!K86= "", VLOOKUP('Interactive Selection Sheet'!$L86, 'Master List Import'!$A$1:$P$519, 16, FALSE), ""), "")</f>
        <v/>
      </c>
    </row>
    <row r="514" spans="1:18" ht="21.75" customHeight="1" x14ac:dyDescent="0.25">
      <c r="A514" s="69" t="str">
        <f>_xlfn.IFNA(IF('Interactive Selection Sheet'!$K90= "", VLOOKUP('Interactive Selection Sheet'!$L90, 'Master List Import'!$A$1:$P$519, 2, FALSE), ""), "")</f>
        <v/>
      </c>
      <c r="B514" s="69" t="str">
        <f>_xlfn.IFNA(IF('Interactive Selection Sheet'!$K90= "", VLOOKUP('Interactive Selection Sheet'!$L90, 'Master List Import'!$A$1:$P$519, 3, FALSE), ""), "")</f>
        <v/>
      </c>
      <c r="C514" s="76" t="str">
        <f>IF('Interactive Selection Sheet'!$T$2="", "", IF(B514="","",'Interactive Selection Sheet'!$T$2))</f>
        <v/>
      </c>
      <c r="D514" s="70" t="str">
        <f>IF(B514 = "", "", 'Interactive Selection Sheet'!$Q$2)</f>
        <v/>
      </c>
      <c r="E514" s="70" t="str">
        <f>IF(B514="","", 'Interactive Selection Sheet'!$R$2)</f>
        <v/>
      </c>
      <c r="F514" s="69" t="str">
        <f>_xlfn.IFNA(IF('Interactive Selection Sheet'!K90= "", VLOOKUP('Interactive Selection Sheet'!$L90, 'Master List Import'!$A$1:$P$519, 4, FALSE), ""), "")</f>
        <v/>
      </c>
      <c r="G514" s="69" t="str">
        <f>_xlfn.IFNA(IF('Interactive Selection Sheet'!K90= "", VLOOKUP('Interactive Selection Sheet'!$L90, 'Master List Import'!$A$1:$P$519, 5, FALSE), ""), "")</f>
        <v/>
      </c>
      <c r="H514" s="69" t="str">
        <f>_xlfn.IFNA(IF('Interactive Selection Sheet'!K90= "", VLOOKUP('Interactive Selection Sheet'!$L90, 'Master List Import'!$A$1:$P$519, 6, FALSE), ""), "")</f>
        <v/>
      </c>
      <c r="I514" s="72" t="str">
        <f>_xlfn.IFNA(IF('Interactive Selection Sheet'!K90= "", VLOOKUP('Interactive Selection Sheet'!$L90, 'Master List Import'!$A$1:$P$519, 7, FALSE), ""), "")</f>
        <v/>
      </c>
      <c r="J514" s="69" t="str">
        <f>_xlfn.IFNA(IF('Interactive Selection Sheet'!K90= "", VLOOKUP('Interactive Selection Sheet'!$L90, 'Master List Import'!$A$1:$P$519, 8, FALSE), ""), "")</f>
        <v/>
      </c>
      <c r="K514" s="69" t="str">
        <f>_xlfn.IFNA(IF('Interactive Selection Sheet'!K90= "", VLOOKUP('Interactive Selection Sheet'!$L90, 'Master List Import'!$A$1:$P$519, 9, FALSE), ""), "")</f>
        <v/>
      </c>
      <c r="L514" s="69" t="str">
        <f>_xlfn.IFNA(IF('Interactive Selection Sheet'!K90= "", VLOOKUP('Interactive Selection Sheet'!$L90, 'Master List Import'!$A$1:$P$519, 10, FALSE), ""), "")</f>
        <v/>
      </c>
      <c r="M514" s="69" t="str">
        <f>_xlfn.IFNA(IF('Interactive Selection Sheet'!K90= "", VLOOKUP('Interactive Selection Sheet'!$L90, 'Master List Import'!$A$1:$P$519, 11, FALSE), ""), "")</f>
        <v/>
      </c>
      <c r="N514" s="69" t="str">
        <f>_xlfn.IFNA(IF('Interactive Selection Sheet'!K90= "", VLOOKUP('Interactive Selection Sheet'!$L90, 'Master List Import'!$A$1:$P$519, 12, FALSE), ""), "")</f>
        <v/>
      </c>
      <c r="O514" s="69" t="str">
        <f>_xlfn.IFNA(IF('Interactive Selection Sheet'!K90= "", VLOOKUP('Interactive Selection Sheet'!$L90, 'Master List Import'!$A$1:$P$519, 13, FALSE), ""), "")</f>
        <v/>
      </c>
      <c r="P514" s="69" t="str">
        <f>_xlfn.IFNA(IF('Interactive Selection Sheet'!K90= "", VLOOKUP('Interactive Selection Sheet'!$L90, 'Master List Import'!$A$1:$P$519, 14, FALSE), ""), "")</f>
        <v/>
      </c>
      <c r="Q514" s="69" t="str">
        <f>_xlfn.IFNA(IF('Interactive Selection Sheet'!K90= "", VLOOKUP('Interactive Selection Sheet'!$L90, 'Master List Import'!$A$1:$P$519, 15, FALSE), ""), "")</f>
        <v/>
      </c>
      <c r="R514" s="74" t="str">
        <f>_xlfn.IFNA(IF('Interactive Selection Sheet'!K90= "", VLOOKUP('Interactive Selection Sheet'!$L90, 'Master List Import'!$A$1:$P$519, 16, FALSE), ""), "")</f>
        <v/>
      </c>
    </row>
    <row r="515" spans="1:18" ht="21.75" customHeight="1" x14ac:dyDescent="0.25">
      <c r="A515" s="69" t="str">
        <f>_xlfn.IFNA(IF('Interactive Selection Sheet'!$K59= "", VLOOKUP('Interactive Selection Sheet'!$L59, 'Master List Import'!$A$1:$P$519, 2, FALSE), ""), "")</f>
        <v/>
      </c>
      <c r="B515" s="69" t="str">
        <f>_xlfn.IFNA(IF('Interactive Selection Sheet'!$K59= "", VLOOKUP('Interactive Selection Sheet'!$L59, 'Master List Import'!$A$1:$P$519, 3, FALSE), ""), "")</f>
        <v/>
      </c>
      <c r="C515" s="76" t="str">
        <f>IF('Interactive Selection Sheet'!$T$2="", "", IF(B515="","",'Interactive Selection Sheet'!$T$2))</f>
        <v/>
      </c>
      <c r="D515" s="70" t="str">
        <f>IF(B515 = "", "", 'Interactive Selection Sheet'!$Q$2)</f>
        <v/>
      </c>
      <c r="E515" s="70" t="str">
        <f>IF(B515="","", 'Interactive Selection Sheet'!$R$2)</f>
        <v/>
      </c>
      <c r="F515" s="69" t="str">
        <f>_xlfn.IFNA(IF('Interactive Selection Sheet'!K59= "", VLOOKUP('Interactive Selection Sheet'!$L59, 'Master List Import'!$A$1:$P$519, 4, FALSE), ""), "")</f>
        <v/>
      </c>
      <c r="G515" s="69" t="str">
        <f>_xlfn.IFNA(IF('Interactive Selection Sheet'!K59= "", VLOOKUP('Interactive Selection Sheet'!$L59, 'Master List Import'!$A$1:$P$519, 5, FALSE), ""), "")</f>
        <v/>
      </c>
      <c r="H515" s="69" t="str">
        <f>_xlfn.IFNA(IF('Interactive Selection Sheet'!K59= "", VLOOKUP('Interactive Selection Sheet'!$L59, 'Master List Import'!$A$1:$P$519, 6, FALSE), ""), "")</f>
        <v/>
      </c>
      <c r="I515" s="72" t="str">
        <f>_xlfn.IFNA(IF('Interactive Selection Sheet'!K59= "", VLOOKUP('Interactive Selection Sheet'!$L59, 'Master List Import'!$A$1:$P$519, 7, FALSE), ""), "")</f>
        <v/>
      </c>
      <c r="J515" s="69" t="str">
        <f>_xlfn.IFNA(IF('Interactive Selection Sheet'!K59= "", VLOOKUP('Interactive Selection Sheet'!$L59, 'Master List Import'!$A$1:$P$519, 8, FALSE), ""), "")</f>
        <v/>
      </c>
      <c r="K515" s="69" t="str">
        <f>_xlfn.IFNA(IF('Interactive Selection Sheet'!K59= "", VLOOKUP('Interactive Selection Sheet'!$L59, 'Master List Import'!$A$1:$P$519, 9, FALSE), ""), "")</f>
        <v/>
      </c>
      <c r="L515" s="69" t="str">
        <f>_xlfn.IFNA(IF('Interactive Selection Sheet'!K59= "", VLOOKUP('Interactive Selection Sheet'!$L59, 'Master List Import'!$A$1:$P$519, 10, FALSE), ""), "")</f>
        <v/>
      </c>
      <c r="M515" s="69" t="str">
        <f>_xlfn.IFNA(IF('Interactive Selection Sheet'!K59= "", VLOOKUP('Interactive Selection Sheet'!$L59, 'Master List Import'!$A$1:$P$519, 11, FALSE), ""), "")</f>
        <v/>
      </c>
      <c r="N515" s="69" t="str">
        <f>_xlfn.IFNA(IF('Interactive Selection Sheet'!K59= "", VLOOKUP('Interactive Selection Sheet'!$L59, 'Master List Import'!$A$1:$P$519, 12, FALSE), ""), "")</f>
        <v/>
      </c>
      <c r="O515" s="69" t="str">
        <f>_xlfn.IFNA(IF('Interactive Selection Sheet'!K59= "", VLOOKUP('Interactive Selection Sheet'!$L59, 'Master List Import'!$A$1:$P$519, 13, FALSE), ""), "")</f>
        <v/>
      </c>
      <c r="P515" s="69" t="str">
        <f>_xlfn.IFNA(IF('Interactive Selection Sheet'!K59= "", VLOOKUP('Interactive Selection Sheet'!$L59, 'Master List Import'!$A$1:$P$519, 14, FALSE), ""), "")</f>
        <v/>
      </c>
      <c r="Q515" s="69" t="str">
        <f>_xlfn.IFNA(IF('Interactive Selection Sheet'!K59= "", VLOOKUP('Interactive Selection Sheet'!$L59, 'Master List Import'!$A$1:$P$519, 15, FALSE), ""), "")</f>
        <v/>
      </c>
      <c r="R515" s="74" t="str">
        <f>_xlfn.IFNA(IF('Interactive Selection Sheet'!K59= "", VLOOKUP('Interactive Selection Sheet'!$L59, 'Master List Import'!$A$1:$P$519, 16, FALSE), ""), "")</f>
        <v/>
      </c>
    </row>
    <row r="516" spans="1:18" ht="21.75" customHeight="1" x14ac:dyDescent="0.25">
      <c r="A516" s="69" t="str">
        <f>_xlfn.IFNA(IF('Interactive Selection Sheet'!$K168= "", VLOOKUP('Interactive Selection Sheet'!$L168, 'Master List Import'!$A$1:$P$519, 2, FALSE), ""), "")</f>
        <v/>
      </c>
      <c r="B516" s="69" t="str">
        <f>_xlfn.IFNA(IF('Interactive Selection Sheet'!$K168= "", VLOOKUP('Interactive Selection Sheet'!$L168, 'Master List Import'!$A$1:$P$519, 3, FALSE), ""), "")</f>
        <v/>
      </c>
      <c r="C516" s="76" t="str">
        <f>IF('Interactive Selection Sheet'!$T$2="", "", IF(B516="","",'Interactive Selection Sheet'!$T$2))</f>
        <v/>
      </c>
      <c r="D516" s="70" t="str">
        <f>IF(B516 = "", "", 'Interactive Selection Sheet'!$P$2)</f>
        <v/>
      </c>
      <c r="E516" s="70" t="str">
        <f>IF(B516="","", 'Interactive Selection Sheet'!$R$2)</f>
        <v/>
      </c>
      <c r="F516" s="69" t="str">
        <f>_xlfn.IFNA(IF('Interactive Selection Sheet'!K168= "", VLOOKUP('Interactive Selection Sheet'!$L168, 'Master List Import'!$A$1:$P$519, 4, FALSE), ""), "")</f>
        <v/>
      </c>
      <c r="G516" s="69" t="str">
        <f>_xlfn.IFNA(IF('Interactive Selection Sheet'!K168= "", VLOOKUP('Interactive Selection Sheet'!$L168, 'Master List Import'!$A$1:$P$519, 5, FALSE), ""), "")</f>
        <v/>
      </c>
      <c r="H516" s="69" t="str">
        <f>_xlfn.IFNA(IF('Interactive Selection Sheet'!K168= "", VLOOKUP('Interactive Selection Sheet'!$L168, 'Master List Import'!$A$1:$P$519, 6, FALSE), ""), "")</f>
        <v/>
      </c>
      <c r="I516" s="72" t="str">
        <f>_xlfn.IFNA(IF('Interactive Selection Sheet'!K168= "", VLOOKUP('Interactive Selection Sheet'!$L168, 'Master List Import'!$A$1:$P$519, 7, FALSE), ""), "")</f>
        <v/>
      </c>
      <c r="J516" s="69" t="str">
        <f>_xlfn.IFNA(IF('Interactive Selection Sheet'!K168= "", VLOOKUP('Interactive Selection Sheet'!$L168, 'Master List Import'!$A$1:$P$519, 8, FALSE), ""), "")</f>
        <v/>
      </c>
      <c r="K516" s="69" t="str">
        <f>_xlfn.IFNA(IF('Interactive Selection Sheet'!K168= "", VLOOKUP('Interactive Selection Sheet'!$L168, 'Master List Import'!$A$1:$P$519, 9, FALSE), ""), "")</f>
        <v/>
      </c>
      <c r="L516" s="69" t="str">
        <f>_xlfn.IFNA(IF('Interactive Selection Sheet'!K168= "", VLOOKUP('Interactive Selection Sheet'!$L168, 'Master List Import'!$A$1:$P$519, 10, FALSE), ""), "")</f>
        <v/>
      </c>
      <c r="M516" s="69" t="str">
        <f>_xlfn.IFNA(IF('Interactive Selection Sheet'!K168= "", VLOOKUP('Interactive Selection Sheet'!$L168, 'Master List Import'!$A$1:$P$519, 11, FALSE), ""), "")</f>
        <v/>
      </c>
      <c r="N516" s="69" t="str">
        <f>_xlfn.IFNA(IF('Interactive Selection Sheet'!K168= "", VLOOKUP('Interactive Selection Sheet'!$L168, 'Master List Import'!$A$1:$P$519, 12, FALSE), ""), "")</f>
        <v/>
      </c>
      <c r="O516" s="69" t="str">
        <f>_xlfn.IFNA(IF('Interactive Selection Sheet'!K168= "", VLOOKUP('Interactive Selection Sheet'!$L168, 'Master List Import'!$A$1:$P$519, 13, FALSE), ""), "")</f>
        <v/>
      </c>
      <c r="P516" s="69" t="str">
        <f>_xlfn.IFNA(IF('Interactive Selection Sheet'!K168= "", VLOOKUP('Interactive Selection Sheet'!$L168, 'Master List Import'!$A$1:$P$519, 14, FALSE), ""), "")</f>
        <v/>
      </c>
      <c r="Q516" s="69" t="str">
        <f>_xlfn.IFNA(IF('Interactive Selection Sheet'!K168= "", VLOOKUP('Interactive Selection Sheet'!$L168, 'Master List Import'!$A$1:$P$519, 15, FALSE), ""), "")</f>
        <v/>
      </c>
      <c r="R516" s="74" t="str">
        <f>_xlfn.IFNA(IF('Interactive Selection Sheet'!K168= "", VLOOKUP('Interactive Selection Sheet'!$L168, 'Master List Import'!$A$1:$P$519, 16, FALSE), ""), "")</f>
        <v/>
      </c>
    </row>
    <row r="517" spans="1:18" ht="21.75" customHeight="1" x14ac:dyDescent="0.25">
      <c r="A517" s="69" t="str">
        <f>_xlfn.IFNA(IF('Interactive Selection Sheet'!$K169= "", VLOOKUP('Interactive Selection Sheet'!$L169, 'Master List Import'!$A$1:$P$519, 2, FALSE), ""), "")</f>
        <v/>
      </c>
      <c r="B517" s="69" t="str">
        <f>_xlfn.IFNA(IF('Interactive Selection Sheet'!$K169= "", VLOOKUP('Interactive Selection Sheet'!$L169, 'Master List Import'!$A$1:$P$519, 3, FALSE), ""), "")</f>
        <v/>
      </c>
      <c r="C517" s="76" t="str">
        <f>IF('Interactive Selection Sheet'!$T$2="", "", IF(B517="","",'Interactive Selection Sheet'!$T$2))</f>
        <v/>
      </c>
      <c r="D517" s="70" t="str">
        <f>IF(B517 = "", "", 'Interactive Selection Sheet'!$P$2)</f>
        <v/>
      </c>
      <c r="E517" s="70" t="str">
        <f>IF(B517="","", 'Interactive Selection Sheet'!$R$2)</f>
        <v/>
      </c>
      <c r="F517" s="69" t="str">
        <f>_xlfn.IFNA(IF('Interactive Selection Sheet'!K169= "", VLOOKUP('Interactive Selection Sheet'!$L169, 'Master List Import'!$A$1:$P$519, 4, FALSE), ""), "")</f>
        <v/>
      </c>
      <c r="G517" s="69" t="str">
        <f>_xlfn.IFNA(IF('Interactive Selection Sheet'!K169= "", VLOOKUP('Interactive Selection Sheet'!$L169, 'Master List Import'!$A$1:$P$519, 5, FALSE), ""), "")</f>
        <v/>
      </c>
      <c r="H517" s="69" t="str">
        <f>_xlfn.IFNA(IF('Interactive Selection Sheet'!K169= "", VLOOKUP('Interactive Selection Sheet'!$L169, 'Master List Import'!$A$1:$P$519, 6, FALSE), ""), "")</f>
        <v/>
      </c>
      <c r="I517" s="72" t="str">
        <f>_xlfn.IFNA(IF('Interactive Selection Sheet'!K169= "", VLOOKUP('Interactive Selection Sheet'!$L169, 'Master List Import'!$A$1:$P$519, 7, FALSE), ""), "")</f>
        <v/>
      </c>
      <c r="J517" s="69" t="str">
        <f>_xlfn.IFNA(IF('Interactive Selection Sheet'!K169= "", VLOOKUP('Interactive Selection Sheet'!$L169, 'Master List Import'!$A$1:$P$519, 8, FALSE), ""), "")</f>
        <v/>
      </c>
      <c r="K517" s="69" t="str">
        <f>_xlfn.IFNA(IF('Interactive Selection Sheet'!K169= "", VLOOKUP('Interactive Selection Sheet'!$L169, 'Master List Import'!$A$1:$P$519, 9, FALSE), ""), "")</f>
        <v/>
      </c>
      <c r="L517" s="69" t="str">
        <f>_xlfn.IFNA(IF('Interactive Selection Sheet'!K169= "", VLOOKUP('Interactive Selection Sheet'!$L169, 'Master List Import'!$A$1:$P$519, 10, FALSE), ""), "")</f>
        <v/>
      </c>
      <c r="M517" s="69" t="str">
        <f>_xlfn.IFNA(IF('Interactive Selection Sheet'!K169= "", VLOOKUP('Interactive Selection Sheet'!$L169, 'Master List Import'!$A$1:$P$519, 11, FALSE), ""), "")</f>
        <v/>
      </c>
      <c r="N517" s="69" t="str">
        <f>_xlfn.IFNA(IF('Interactive Selection Sheet'!K169= "", VLOOKUP('Interactive Selection Sheet'!$L169, 'Master List Import'!$A$1:$P$519, 12, FALSE), ""), "")</f>
        <v/>
      </c>
      <c r="O517" s="69" t="str">
        <f>_xlfn.IFNA(IF('Interactive Selection Sheet'!K169= "", VLOOKUP('Interactive Selection Sheet'!$L169, 'Master List Import'!$A$1:$P$519, 13, FALSE), ""), "")</f>
        <v/>
      </c>
      <c r="P517" s="69" t="str">
        <f>_xlfn.IFNA(IF('Interactive Selection Sheet'!K169= "", VLOOKUP('Interactive Selection Sheet'!$L169, 'Master List Import'!$A$1:$P$519, 14, FALSE), ""), "")</f>
        <v/>
      </c>
      <c r="Q517" s="69" t="str">
        <f>_xlfn.IFNA(IF('Interactive Selection Sheet'!K169= "", VLOOKUP('Interactive Selection Sheet'!$L169, 'Master List Import'!$A$1:$P$519, 15, FALSE), ""), "")</f>
        <v/>
      </c>
      <c r="R517" s="74" t="str">
        <f>_xlfn.IFNA(IF('Interactive Selection Sheet'!K169= "", VLOOKUP('Interactive Selection Sheet'!$L169, 'Master List Import'!$A$1:$P$519, 16, FALSE), ""), "")</f>
        <v/>
      </c>
    </row>
    <row r="518" spans="1:18" ht="21.75" customHeight="1" x14ac:dyDescent="0.25">
      <c r="A518" s="69" t="str">
        <f>_xlfn.IFNA(IF('Interactive Selection Sheet'!$K171= "", VLOOKUP('Interactive Selection Sheet'!$L171, 'Master List Import'!$A$1:$P$519, 2, FALSE), ""), "")</f>
        <v/>
      </c>
      <c r="B518" s="69" t="str">
        <f>_xlfn.IFNA(IF('Interactive Selection Sheet'!$K171= "", VLOOKUP('Interactive Selection Sheet'!$L171, 'Master List Import'!$A$1:$P$519, 3, FALSE), ""), "")</f>
        <v/>
      </c>
      <c r="C518" s="76" t="str">
        <f>IF('Interactive Selection Sheet'!$T$2="", "", IF(B518="","",'Interactive Selection Sheet'!$T$2))</f>
        <v/>
      </c>
      <c r="D518" s="70" t="str">
        <f>IF(B518 = "", "", 'Interactive Selection Sheet'!$P$2)</f>
        <v/>
      </c>
      <c r="E518" s="70" t="str">
        <f>IF(B518="","", 'Interactive Selection Sheet'!$R$2)</f>
        <v/>
      </c>
      <c r="F518" s="69" t="str">
        <f>_xlfn.IFNA(IF('Interactive Selection Sheet'!K171= "", VLOOKUP('Interactive Selection Sheet'!$L171, 'Master List Import'!$A$1:$P$519, 4, FALSE), ""), "")</f>
        <v/>
      </c>
      <c r="G518" s="69" t="str">
        <f>_xlfn.IFNA(IF('Interactive Selection Sheet'!K171= "", VLOOKUP('Interactive Selection Sheet'!$L171, 'Master List Import'!$A$1:$P$519, 5, FALSE), ""), "")</f>
        <v/>
      </c>
      <c r="H518" s="69" t="str">
        <f>_xlfn.IFNA(IF('Interactive Selection Sheet'!K171= "", VLOOKUP('Interactive Selection Sheet'!$L171, 'Master List Import'!$A$1:$P$519, 6, FALSE), ""), "")</f>
        <v/>
      </c>
      <c r="I518" s="72" t="str">
        <f>_xlfn.IFNA(IF('Interactive Selection Sheet'!K171= "", VLOOKUP('Interactive Selection Sheet'!$L171, 'Master List Import'!$A$1:$P$519, 7, FALSE), ""), "")</f>
        <v/>
      </c>
      <c r="J518" s="69" t="str">
        <f>_xlfn.IFNA(IF('Interactive Selection Sheet'!K171= "", VLOOKUP('Interactive Selection Sheet'!$L171, 'Master List Import'!$A$1:$P$519, 8, FALSE), ""), "")</f>
        <v/>
      </c>
      <c r="K518" s="69" t="str">
        <f>_xlfn.IFNA(IF('Interactive Selection Sheet'!K171= "", VLOOKUP('Interactive Selection Sheet'!$L171, 'Master List Import'!$A$1:$P$519, 9, FALSE), ""), "")</f>
        <v/>
      </c>
      <c r="L518" s="69" t="str">
        <f>_xlfn.IFNA(IF('Interactive Selection Sheet'!K171= "", VLOOKUP('Interactive Selection Sheet'!$L171, 'Master List Import'!$A$1:$P$519, 10, FALSE), ""), "")</f>
        <v/>
      </c>
      <c r="M518" s="69" t="str">
        <f>_xlfn.IFNA(IF('Interactive Selection Sheet'!K171= "", VLOOKUP('Interactive Selection Sheet'!$L171, 'Master List Import'!$A$1:$P$519, 11, FALSE), ""), "")</f>
        <v/>
      </c>
      <c r="N518" s="69" t="str">
        <f>_xlfn.IFNA(IF('Interactive Selection Sheet'!K171= "", VLOOKUP('Interactive Selection Sheet'!$L171, 'Master List Import'!$A$1:$P$519, 12, FALSE), ""), "")</f>
        <v/>
      </c>
      <c r="O518" s="69" t="str">
        <f>_xlfn.IFNA(IF('Interactive Selection Sheet'!K171= "", VLOOKUP('Interactive Selection Sheet'!$L171, 'Master List Import'!$A$1:$P$519, 13, FALSE), ""), "")</f>
        <v/>
      </c>
      <c r="P518" s="69" t="str">
        <f>_xlfn.IFNA(IF('Interactive Selection Sheet'!K171= "", VLOOKUP('Interactive Selection Sheet'!$L171, 'Master List Import'!$A$1:$P$519, 14, FALSE), ""), "")</f>
        <v/>
      </c>
      <c r="Q518" s="69" t="str">
        <f>_xlfn.IFNA(IF('Interactive Selection Sheet'!K171= "", VLOOKUP('Interactive Selection Sheet'!$L171, 'Master List Import'!$A$1:$P$519, 15, FALSE), ""), "")</f>
        <v/>
      </c>
      <c r="R518" s="74" t="str">
        <f>_xlfn.IFNA(IF('Interactive Selection Sheet'!K171= "", VLOOKUP('Interactive Selection Sheet'!$L171, 'Master List Import'!$A$1:$P$519, 16, FALSE), ""), "")</f>
        <v/>
      </c>
    </row>
    <row r="519" spans="1:18" ht="21.75" customHeight="1" x14ac:dyDescent="0.25">
      <c r="A519" s="69" t="str">
        <f>_xlfn.IFNA(IF('Interactive Selection Sheet'!F127= "", VLOOKUP('Interactive Selection Sheet'!$G127, 'Master List Import'!$A$1:$P$519, 2, FALSE), ""), "")</f>
        <v/>
      </c>
      <c r="B519" s="69" t="str">
        <f>_xlfn.IFNA(IF('Interactive Selection Sheet'!F127= "", VLOOKUP('Interactive Selection Sheet'!$G127, 'Master List Import'!$A$1:$P$519, 3, FALSE), ""), "")</f>
        <v/>
      </c>
      <c r="C519" s="76" t="str">
        <f>IF('Interactive Selection Sheet'!$T$2="", "", IF(B519="","",'Interactive Selection Sheet'!$T$2))</f>
        <v/>
      </c>
      <c r="D519" s="70" t="str">
        <f>IF(B519 = "", "", 'Interactive Selection Sheet'!$Q$2)</f>
        <v/>
      </c>
      <c r="E519" s="70" t="str">
        <f>IF(B519="","", 'Interactive Selection Sheet'!$R$2)</f>
        <v/>
      </c>
      <c r="F519" s="69" t="str">
        <f>_xlfn.IFNA(IF('Interactive Selection Sheet'!F127= "", VLOOKUP('Interactive Selection Sheet'!$G127, 'Master List Import'!$A$1:$P$519, 4, FALSE), ""), "")</f>
        <v/>
      </c>
      <c r="G519" s="69" t="str">
        <f>_xlfn.IFNA(IF('Interactive Selection Sheet'!F127= "", VLOOKUP('Interactive Selection Sheet'!$G127, 'Master List Import'!$A$1:$P$519, 5, FALSE), ""), "")</f>
        <v/>
      </c>
      <c r="H519" s="69" t="str">
        <f>_xlfn.IFNA(IF('Interactive Selection Sheet'!F127= "", VLOOKUP('Interactive Selection Sheet'!$G127, 'Master List Import'!$A$1:$P$519, 6, FALSE), ""), "")</f>
        <v/>
      </c>
      <c r="I519" s="72" t="str">
        <f>_xlfn.IFNA(IF('Interactive Selection Sheet'!F127= "", VLOOKUP('Interactive Selection Sheet'!$G127, 'Master List Import'!$A$1:$P$519, 7, FALSE), ""), "")</f>
        <v/>
      </c>
      <c r="J519" s="69" t="str">
        <f>_xlfn.IFNA(IF('Interactive Selection Sheet'!F127= "", VLOOKUP('Interactive Selection Sheet'!$G127, 'Master List Import'!$A$1:$P$519, 8, FALSE), ""), "")</f>
        <v/>
      </c>
      <c r="K519" s="69" t="str">
        <f>_xlfn.IFNA(IF('Interactive Selection Sheet'!F127= "", VLOOKUP('Interactive Selection Sheet'!$G127, 'Master List Import'!$A$1:$P$519, 9, FALSE), ""), "")</f>
        <v/>
      </c>
      <c r="L519" s="69" t="str">
        <f>_xlfn.IFNA(IF('Interactive Selection Sheet'!F127= "", VLOOKUP('Interactive Selection Sheet'!$G127, 'Master List Import'!$A$1:$P$519, 10, FALSE), ""), "")</f>
        <v/>
      </c>
      <c r="M519" s="69" t="str">
        <f>_xlfn.IFNA(IF('Interactive Selection Sheet'!F127= "", VLOOKUP('Interactive Selection Sheet'!$G127, 'Master List Import'!$A$1:$P$519, 11, FALSE), ""), "")</f>
        <v/>
      </c>
      <c r="N519" s="69" t="str">
        <f>_xlfn.IFNA(IF('Interactive Selection Sheet'!F127= "", VLOOKUP('Interactive Selection Sheet'!$G127, 'Master List Import'!$A$1:$P$519, 12, FALSE), ""), "")</f>
        <v/>
      </c>
      <c r="O519" s="69" t="str">
        <f>_xlfn.IFNA(IF('Interactive Selection Sheet'!F127= "", VLOOKUP('Interactive Selection Sheet'!$G127, 'Master List Import'!$A$1:$P$519, 13, FALSE), ""), "")</f>
        <v/>
      </c>
      <c r="P519" s="69" t="str">
        <f>_xlfn.IFNA(IF('Interactive Selection Sheet'!F127= "", VLOOKUP('Interactive Selection Sheet'!$G127, 'Master List Import'!$A$1:$P$519, 14, FALSE), ""), "")</f>
        <v/>
      </c>
      <c r="Q519" s="69" t="str">
        <f>_xlfn.IFNA(IF('Interactive Selection Sheet'!F127= "", VLOOKUP('Interactive Selection Sheet'!$G127, 'Master List Import'!$A$1:$P$519, 15, FALSE), ""), "")</f>
        <v/>
      </c>
      <c r="R519" s="74" t="str">
        <f>_xlfn.IFNA(IF('Interactive Selection Sheet'!F127= "", VLOOKUP('Interactive Selection Sheet'!$G127, 'Master List Import'!$A$1:$P$519, 16, FALSE), ""), "")</f>
        <v/>
      </c>
    </row>
    <row r="520" spans="1:18" ht="21.75" customHeight="1" x14ac:dyDescent="0.25">
      <c r="A520" s="69" t="str">
        <f>_xlfn.IFNA(IF('Interactive Selection Sheet'!F128= "", VLOOKUP('Interactive Selection Sheet'!$G128, 'Master List Import'!$A$1:$P$519, 2, FALSE), ""), "")</f>
        <v/>
      </c>
      <c r="B520" s="69" t="str">
        <f>_xlfn.IFNA(IF('Interactive Selection Sheet'!F128= "", VLOOKUP('Interactive Selection Sheet'!$G128, 'Master List Import'!$A$1:$P$519, 3, FALSE), ""), "")</f>
        <v/>
      </c>
      <c r="C520" s="76" t="str">
        <f>IF('Interactive Selection Sheet'!$T$2="", "", IF(B520="","",'Interactive Selection Sheet'!$T$2))</f>
        <v/>
      </c>
      <c r="D520" s="70" t="str">
        <f>IF(B520 = "", "", 'Interactive Selection Sheet'!$Q$2)</f>
        <v/>
      </c>
      <c r="E520" s="70" t="str">
        <f>IF(B520="","", 'Interactive Selection Sheet'!$R$2)</f>
        <v/>
      </c>
      <c r="F520" s="69" t="str">
        <f>_xlfn.IFNA(IF('Interactive Selection Sheet'!F128= "", VLOOKUP('Interactive Selection Sheet'!$G128, 'Master List Import'!$A$1:$P$519, 4, FALSE), ""), "")</f>
        <v/>
      </c>
      <c r="G520" s="69" t="str">
        <f>_xlfn.IFNA(IF('Interactive Selection Sheet'!F128= "", VLOOKUP('Interactive Selection Sheet'!$G128, 'Master List Import'!$A$1:$P$519, 5, FALSE), ""), "")</f>
        <v/>
      </c>
      <c r="H520" s="69" t="str">
        <f>_xlfn.IFNA(IF('Interactive Selection Sheet'!F128= "", VLOOKUP('Interactive Selection Sheet'!$G128, 'Master List Import'!$A$1:$P$519, 6, FALSE), ""), "")</f>
        <v/>
      </c>
      <c r="I520" s="72" t="str">
        <f>_xlfn.IFNA(IF('Interactive Selection Sheet'!F128= "", VLOOKUP('Interactive Selection Sheet'!$G128, 'Master List Import'!$A$1:$P$519, 7, FALSE), ""), "")</f>
        <v/>
      </c>
      <c r="J520" s="69" t="str">
        <f>_xlfn.IFNA(IF('Interactive Selection Sheet'!F128= "", VLOOKUP('Interactive Selection Sheet'!$G128, 'Master List Import'!$A$1:$P$519, 8, FALSE), ""), "")</f>
        <v/>
      </c>
      <c r="K520" s="69" t="str">
        <f>_xlfn.IFNA(IF('Interactive Selection Sheet'!F128= "", VLOOKUP('Interactive Selection Sheet'!$G128, 'Master List Import'!$A$1:$P$519, 9, FALSE), ""), "")</f>
        <v/>
      </c>
      <c r="L520" s="69" t="str">
        <f>_xlfn.IFNA(IF('Interactive Selection Sheet'!F128= "", VLOOKUP('Interactive Selection Sheet'!$G128, 'Master List Import'!$A$1:$P$519, 10, FALSE), ""), "")</f>
        <v/>
      </c>
      <c r="M520" s="69" t="str">
        <f>_xlfn.IFNA(IF('Interactive Selection Sheet'!F128= "", VLOOKUP('Interactive Selection Sheet'!$G128, 'Master List Import'!$A$1:$P$519, 11, FALSE), ""), "")</f>
        <v/>
      </c>
      <c r="N520" s="69" t="str">
        <f>_xlfn.IFNA(IF('Interactive Selection Sheet'!F128= "", VLOOKUP('Interactive Selection Sheet'!$G128, 'Master List Import'!$A$1:$P$519, 12, FALSE), ""), "")</f>
        <v/>
      </c>
      <c r="O520" s="69" t="str">
        <f>_xlfn.IFNA(IF('Interactive Selection Sheet'!F128= "", VLOOKUP('Interactive Selection Sheet'!$G128, 'Master List Import'!$A$1:$P$519, 13, FALSE), ""), "")</f>
        <v/>
      </c>
      <c r="P520" s="69" t="str">
        <f>_xlfn.IFNA(IF('Interactive Selection Sheet'!F128= "", VLOOKUP('Interactive Selection Sheet'!$G128, 'Master List Import'!$A$1:$P$519, 14, FALSE), ""), "")</f>
        <v/>
      </c>
      <c r="Q520" s="69" t="str">
        <f>_xlfn.IFNA(IF('Interactive Selection Sheet'!F128= "", VLOOKUP('Interactive Selection Sheet'!$G128, 'Master List Import'!$A$1:$P$519, 15, FALSE), ""), "")</f>
        <v/>
      </c>
      <c r="R520" s="74" t="str">
        <f>_xlfn.IFNA(IF('Interactive Selection Sheet'!F128= "", VLOOKUP('Interactive Selection Sheet'!$G128, 'Master List Import'!$A$1:$P$519, 16, FALSE), ""), "")</f>
        <v/>
      </c>
    </row>
    <row r="521" spans="1:18" ht="21.75" customHeight="1" x14ac:dyDescent="0.25">
      <c r="A521" s="69" t="str">
        <f>_xlfn.IFNA(IF('Interactive Selection Sheet'!F129= "", VLOOKUP('Interactive Selection Sheet'!$G129, 'Master List Import'!$A$1:$P$519, 2, FALSE), ""), "")</f>
        <v/>
      </c>
      <c r="B521" s="69" t="str">
        <f>_xlfn.IFNA(IF('Interactive Selection Sheet'!F129= "", VLOOKUP('Interactive Selection Sheet'!$G129, 'Master List Import'!$A$1:$P$519, 3, FALSE), ""), "")</f>
        <v/>
      </c>
      <c r="C521" s="76" t="str">
        <f>IF('Interactive Selection Sheet'!$T$2="", "", IF(B521="","",'Interactive Selection Sheet'!$T$2))</f>
        <v/>
      </c>
      <c r="D521" s="70" t="str">
        <f>IF(B521 = "", "", 'Interactive Selection Sheet'!$Q$2)</f>
        <v/>
      </c>
      <c r="E521" s="70" t="str">
        <f>IF(B521="","", 'Interactive Selection Sheet'!$R$2)</f>
        <v/>
      </c>
      <c r="F521" s="69" t="str">
        <f>_xlfn.IFNA(IF('Interactive Selection Sheet'!F129= "", VLOOKUP('Interactive Selection Sheet'!$G129, 'Master List Import'!$A$1:$P$519, 4, FALSE), ""), "")</f>
        <v/>
      </c>
      <c r="G521" s="69" t="str">
        <f>_xlfn.IFNA(IF('Interactive Selection Sheet'!F129= "", VLOOKUP('Interactive Selection Sheet'!$G129, 'Master List Import'!$A$1:$P$519, 5, FALSE), ""), "")</f>
        <v/>
      </c>
      <c r="H521" s="69" t="str">
        <f>_xlfn.IFNA(IF('Interactive Selection Sheet'!F129= "", VLOOKUP('Interactive Selection Sheet'!$G129, 'Master List Import'!$A$1:$P$519, 6, FALSE), ""), "")</f>
        <v/>
      </c>
      <c r="I521" s="72" t="str">
        <f>_xlfn.IFNA(IF('Interactive Selection Sheet'!F129= "", VLOOKUP('Interactive Selection Sheet'!$G129, 'Master List Import'!$A$1:$P$519, 7, FALSE), ""), "")</f>
        <v/>
      </c>
      <c r="J521" s="69" t="str">
        <f>_xlfn.IFNA(IF('Interactive Selection Sheet'!F129= "", VLOOKUP('Interactive Selection Sheet'!$G129, 'Master List Import'!$A$1:$P$519, 8, FALSE), ""), "")</f>
        <v/>
      </c>
      <c r="K521" s="69" t="str">
        <f>_xlfn.IFNA(IF('Interactive Selection Sheet'!F129= "", VLOOKUP('Interactive Selection Sheet'!$G129, 'Master List Import'!$A$1:$P$519, 9, FALSE), ""), "")</f>
        <v/>
      </c>
      <c r="L521" s="69" t="str">
        <f>_xlfn.IFNA(IF('Interactive Selection Sheet'!F129= "", VLOOKUP('Interactive Selection Sheet'!$G129, 'Master List Import'!$A$1:$P$519, 10, FALSE), ""), "")</f>
        <v/>
      </c>
      <c r="M521" s="69" t="str">
        <f>_xlfn.IFNA(IF('Interactive Selection Sheet'!F129= "", VLOOKUP('Interactive Selection Sheet'!$G129, 'Master List Import'!$A$1:$P$519, 11, FALSE), ""), "")</f>
        <v/>
      </c>
      <c r="N521" s="69" t="str">
        <f>_xlfn.IFNA(IF('Interactive Selection Sheet'!F129= "", VLOOKUP('Interactive Selection Sheet'!$G129, 'Master List Import'!$A$1:$P$519, 12, FALSE), ""), "")</f>
        <v/>
      </c>
      <c r="O521" s="69" t="str">
        <f>_xlfn.IFNA(IF('Interactive Selection Sheet'!F129= "", VLOOKUP('Interactive Selection Sheet'!$G129, 'Master List Import'!$A$1:$P$519, 13, FALSE), ""), "")</f>
        <v/>
      </c>
      <c r="P521" s="69" t="str">
        <f>_xlfn.IFNA(IF('Interactive Selection Sheet'!F129= "", VLOOKUP('Interactive Selection Sheet'!$G129, 'Master List Import'!$A$1:$P$519, 14, FALSE), ""), "")</f>
        <v/>
      </c>
      <c r="Q521" s="69" t="str">
        <f>_xlfn.IFNA(IF('Interactive Selection Sheet'!F129= "", VLOOKUP('Interactive Selection Sheet'!$G129, 'Master List Import'!$A$1:$P$519, 15, FALSE), ""), "")</f>
        <v/>
      </c>
      <c r="R521" s="74" t="str">
        <f>_xlfn.IFNA(IF('Interactive Selection Sheet'!F129= "", VLOOKUP('Interactive Selection Sheet'!$G129, 'Master List Import'!$A$1:$P$519, 16, FALSE), ""), "")</f>
        <v/>
      </c>
    </row>
    <row r="522" spans="1:18" ht="21.75" customHeight="1" x14ac:dyDescent="0.25">
      <c r="A522" s="69" t="str">
        <f>_xlfn.IFNA(IF('Interactive Selection Sheet'!F130= "", VLOOKUP('Interactive Selection Sheet'!$G130, 'Master List Import'!$A$1:$P$519, 2, FALSE), ""), "")</f>
        <v/>
      </c>
      <c r="B522" s="69" t="str">
        <f>_xlfn.IFNA(IF('Interactive Selection Sheet'!F130= "", VLOOKUP('Interactive Selection Sheet'!$G130, 'Master List Import'!$A$1:$P$519, 3, FALSE), ""), "")</f>
        <v/>
      </c>
      <c r="C522" s="76" t="str">
        <f>IF('Interactive Selection Sheet'!$T$2="", "", IF(B522="","",'Interactive Selection Sheet'!$T$2))</f>
        <v/>
      </c>
      <c r="D522" s="70" t="str">
        <f>IF(B522 = "", "", 'Interactive Selection Sheet'!$Q$2)</f>
        <v/>
      </c>
      <c r="E522" s="70" t="str">
        <f>IF(B522="","", 'Interactive Selection Sheet'!$R$2)</f>
        <v/>
      </c>
      <c r="F522" s="69" t="str">
        <f>_xlfn.IFNA(IF('Interactive Selection Sheet'!F130= "", VLOOKUP('Interactive Selection Sheet'!$G130, 'Master List Import'!$A$1:$P$519, 4, FALSE), ""), "")</f>
        <v/>
      </c>
      <c r="G522" s="69" t="str">
        <f>_xlfn.IFNA(IF('Interactive Selection Sheet'!F130= "", VLOOKUP('Interactive Selection Sheet'!$G130, 'Master List Import'!$A$1:$P$519, 5, FALSE), ""), "")</f>
        <v/>
      </c>
      <c r="H522" s="69" t="str">
        <f>_xlfn.IFNA(IF('Interactive Selection Sheet'!F130= "", VLOOKUP('Interactive Selection Sheet'!$G130, 'Master List Import'!$A$1:$P$519, 6, FALSE), ""), "")</f>
        <v/>
      </c>
      <c r="I522" s="72" t="str">
        <f>_xlfn.IFNA(IF('Interactive Selection Sheet'!F130= "", VLOOKUP('Interactive Selection Sheet'!$G130, 'Master List Import'!$A$1:$P$519, 7, FALSE), ""), "")</f>
        <v/>
      </c>
      <c r="J522" s="69" t="str">
        <f>_xlfn.IFNA(IF('Interactive Selection Sheet'!F130= "", VLOOKUP('Interactive Selection Sheet'!$G130, 'Master List Import'!$A$1:$P$519, 8, FALSE), ""), "")</f>
        <v/>
      </c>
      <c r="K522" s="69" t="str">
        <f>_xlfn.IFNA(IF('Interactive Selection Sheet'!F130= "", VLOOKUP('Interactive Selection Sheet'!$G130, 'Master List Import'!$A$1:$P$519, 9, FALSE), ""), "")</f>
        <v/>
      </c>
      <c r="L522" s="69" t="str">
        <f>_xlfn.IFNA(IF('Interactive Selection Sheet'!F130= "", VLOOKUP('Interactive Selection Sheet'!$G130, 'Master List Import'!$A$1:$P$519, 10, FALSE), ""), "")</f>
        <v/>
      </c>
      <c r="M522" s="69" t="str">
        <f>_xlfn.IFNA(IF('Interactive Selection Sheet'!F130= "", VLOOKUP('Interactive Selection Sheet'!$G130, 'Master List Import'!$A$1:$P$519, 11, FALSE), ""), "")</f>
        <v/>
      </c>
      <c r="N522" s="69" t="str">
        <f>_xlfn.IFNA(IF('Interactive Selection Sheet'!F130= "", VLOOKUP('Interactive Selection Sheet'!$G130, 'Master List Import'!$A$1:$P$519, 12, FALSE), ""), "")</f>
        <v/>
      </c>
      <c r="O522" s="69" t="str">
        <f>_xlfn.IFNA(IF('Interactive Selection Sheet'!F130= "", VLOOKUP('Interactive Selection Sheet'!$G130, 'Master List Import'!$A$1:$P$519, 13, FALSE), ""), "")</f>
        <v/>
      </c>
      <c r="P522" s="69" t="str">
        <f>_xlfn.IFNA(IF('Interactive Selection Sheet'!F130= "", VLOOKUP('Interactive Selection Sheet'!$G130, 'Master List Import'!$A$1:$P$519, 14, FALSE), ""), "")</f>
        <v/>
      </c>
      <c r="Q522" s="69" t="str">
        <f>_xlfn.IFNA(IF('Interactive Selection Sheet'!F130= "", VLOOKUP('Interactive Selection Sheet'!$G130, 'Master List Import'!$A$1:$P$519, 15, FALSE), ""), "")</f>
        <v/>
      </c>
      <c r="R522" s="74" t="str">
        <f>_xlfn.IFNA(IF('Interactive Selection Sheet'!F130= "", VLOOKUP('Interactive Selection Sheet'!$G130, 'Master List Import'!$A$1:$P$519, 16, FALSE), ""), "")</f>
        <v/>
      </c>
    </row>
    <row r="523" spans="1:18" ht="21.75" customHeight="1" x14ac:dyDescent="0.25">
      <c r="A523" s="69" t="str">
        <f>_xlfn.IFNA(IF('Interactive Selection Sheet'!F131= "", VLOOKUP('Interactive Selection Sheet'!$G131, 'Master List Import'!$A$1:$P$519, 2, FALSE), ""), "")</f>
        <v/>
      </c>
      <c r="B523" s="69" t="str">
        <f>_xlfn.IFNA(IF('Interactive Selection Sheet'!F131= "", VLOOKUP('Interactive Selection Sheet'!$G131, 'Master List Import'!$A$1:$P$519, 3, FALSE), ""), "")</f>
        <v/>
      </c>
      <c r="C523" s="76" t="str">
        <f>IF('Interactive Selection Sheet'!$T$2="", "", IF(B523="","",'Interactive Selection Sheet'!$T$2))</f>
        <v/>
      </c>
      <c r="D523" s="70" t="str">
        <f>IF(B523 = "", "", 'Interactive Selection Sheet'!$Q$2)</f>
        <v/>
      </c>
      <c r="E523" s="70" t="str">
        <f>IF(B523="","", 'Interactive Selection Sheet'!$R$2)</f>
        <v/>
      </c>
      <c r="F523" s="69" t="str">
        <f>_xlfn.IFNA(IF('Interactive Selection Sheet'!F131= "", VLOOKUP('Interactive Selection Sheet'!$G131, 'Master List Import'!$A$1:$P$519, 4, FALSE), ""), "")</f>
        <v/>
      </c>
      <c r="G523" s="69" t="str">
        <f>_xlfn.IFNA(IF('Interactive Selection Sheet'!F131= "", VLOOKUP('Interactive Selection Sheet'!$G131, 'Master List Import'!$A$1:$P$519, 5, FALSE), ""), "")</f>
        <v/>
      </c>
      <c r="H523" s="69" t="str">
        <f>_xlfn.IFNA(IF('Interactive Selection Sheet'!F131= "", VLOOKUP('Interactive Selection Sheet'!$G131, 'Master List Import'!$A$1:$P$519, 6, FALSE), ""), "")</f>
        <v/>
      </c>
      <c r="I523" s="72" t="str">
        <f>_xlfn.IFNA(IF('Interactive Selection Sheet'!F131= "", VLOOKUP('Interactive Selection Sheet'!$G131, 'Master List Import'!$A$1:$P$519, 7, FALSE), ""), "")</f>
        <v/>
      </c>
      <c r="J523" s="69" t="str">
        <f>_xlfn.IFNA(IF('Interactive Selection Sheet'!F131= "", VLOOKUP('Interactive Selection Sheet'!$G131, 'Master List Import'!$A$1:$P$519, 8, FALSE), ""), "")</f>
        <v/>
      </c>
      <c r="K523" s="69" t="str">
        <f>_xlfn.IFNA(IF('Interactive Selection Sheet'!F131= "", VLOOKUP('Interactive Selection Sheet'!$G131, 'Master List Import'!$A$1:$P$519, 9, FALSE), ""), "")</f>
        <v/>
      </c>
      <c r="L523" s="69" t="str">
        <f>_xlfn.IFNA(IF('Interactive Selection Sheet'!F131= "", VLOOKUP('Interactive Selection Sheet'!$G131, 'Master List Import'!$A$1:$P$519, 10, FALSE), ""), "")</f>
        <v/>
      </c>
      <c r="M523" s="69" t="str">
        <f>_xlfn.IFNA(IF('Interactive Selection Sheet'!F131= "", VLOOKUP('Interactive Selection Sheet'!$G131, 'Master List Import'!$A$1:$P$519, 11, FALSE), ""), "")</f>
        <v/>
      </c>
      <c r="N523" s="69" t="str">
        <f>_xlfn.IFNA(IF('Interactive Selection Sheet'!F131= "", VLOOKUP('Interactive Selection Sheet'!$G131, 'Master List Import'!$A$1:$P$519, 12, FALSE), ""), "")</f>
        <v/>
      </c>
      <c r="O523" s="69" t="str">
        <f>_xlfn.IFNA(IF('Interactive Selection Sheet'!F131= "", VLOOKUP('Interactive Selection Sheet'!$G131, 'Master List Import'!$A$1:$P$519, 13, FALSE), ""), "")</f>
        <v/>
      </c>
      <c r="P523" s="69" t="str">
        <f>_xlfn.IFNA(IF('Interactive Selection Sheet'!F131= "", VLOOKUP('Interactive Selection Sheet'!$G131, 'Master List Import'!$A$1:$P$519, 14, FALSE), ""), "")</f>
        <v/>
      </c>
      <c r="Q523" s="69" t="str">
        <f>_xlfn.IFNA(IF('Interactive Selection Sheet'!F131= "", VLOOKUP('Interactive Selection Sheet'!$G131, 'Master List Import'!$A$1:$P$519, 15, FALSE), ""), "")</f>
        <v/>
      </c>
      <c r="R523" s="74" t="str">
        <f>_xlfn.IFNA(IF('Interactive Selection Sheet'!F131= "", VLOOKUP('Interactive Selection Sheet'!$G131, 'Master List Import'!$A$1:$P$519, 16, FALSE), ""), "")</f>
        <v/>
      </c>
    </row>
    <row r="524" spans="1:18" ht="21.75" customHeight="1" x14ac:dyDescent="0.25">
      <c r="A524" s="69" t="str">
        <f>_xlfn.IFNA(IF('Interactive Selection Sheet'!F132= "", VLOOKUP('Interactive Selection Sheet'!$G132, 'Master List Import'!$A$1:$P$519, 2, FALSE), ""), "")</f>
        <v/>
      </c>
      <c r="B524" s="69" t="str">
        <f>_xlfn.IFNA(IF('Interactive Selection Sheet'!F132= "", VLOOKUP('Interactive Selection Sheet'!$G132, 'Master List Import'!$A$1:$P$519, 3, FALSE), ""), "")</f>
        <v/>
      </c>
      <c r="C524" s="76" t="str">
        <f>IF('Interactive Selection Sheet'!$T$2="", "", IF(B524="","",'Interactive Selection Sheet'!$T$2))</f>
        <v/>
      </c>
      <c r="D524" s="70" t="str">
        <f>IF(B524 = "", "", 'Interactive Selection Sheet'!$Q$2)</f>
        <v/>
      </c>
      <c r="E524" s="70" t="str">
        <f>IF(B524="","", 'Interactive Selection Sheet'!$R$2)</f>
        <v/>
      </c>
      <c r="F524" s="69" t="str">
        <f>_xlfn.IFNA(IF('Interactive Selection Sheet'!F132= "", VLOOKUP('Interactive Selection Sheet'!$G132, 'Master List Import'!$A$1:$P$519, 4, FALSE), ""), "")</f>
        <v/>
      </c>
      <c r="G524" s="69" t="str">
        <f>_xlfn.IFNA(IF('Interactive Selection Sheet'!F132= "", VLOOKUP('Interactive Selection Sheet'!$G132, 'Master List Import'!$A$1:$P$519, 5, FALSE), ""), "")</f>
        <v/>
      </c>
      <c r="H524" s="69" t="str">
        <f>_xlfn.IFNA(IF('Interactive Selection Sheet'!F132= "", VLOOKUP('Interactive Selection Sheet'!$G132, 'Master List Import'!$A$1:$P$519, 6, FALSE), ""), "")</f>
        <v/>
      </c>
      <c r="I524" s="72" t="str">
        <f>_xlfn.IFNA(IF('Interactive Selection Sheet'!F132= "", VLOOKUP('Interactive Selection Sheet'!$G132, 'Master List Import'!$A$1:$P$519, 7, FALSE), ""), "")</f>
        <v/>
      </c>
      <c r="J524" s="69" t="str">
        <f>_xlfn.IFNA(IF('Interactive Selection Sheet'!F132= "", VLOOKUP('Interactive Selection Sheet'!$G132, 'Master List Import'!$A$1:$P$519, 8, FALSE), ""), "")</f>
        <v/>
      </c>
      <c r="K524" s="69" t="str">
        <f>_xlfn.IFNA(IF('Interactive Selection Sheet'!F132= "", VLOOKUP('Interactive Selection Sheet'!$G132, 'Master List Import'!$A$1:$P$519, 9, FALSE), ""), "")</f>
        <v/>
      </c>
      <c r="L524" s="69" t="str">
        <f>_xlfn.IFNA(IF('Interactive Selection Sheet'!F132= "", VLOOKUP('Interactive Selection Sheet'!$G132, 'Master List Import'!$A$1:$P$519, 10, FALSE), ""), "")</f>
        <v/>
      </c>
      <c r="M524" s="69" t="str">
        <f>_xlfn.IFNA(IF('Interactive Selection Sheet'!F132= "", VLOOKUP('Interactive Selection Sheet'!$G132, 'Master List Import'!$A$1:$P$519, 11, FALSE), ""), "")</f>
        <v/>
      </c>
      <c r="N524" s="69" t="str">
        <f>_xlfn.IFNA(IF('Interactive Selection Sheet'!F132= "", VLOOKUP('Interactive Selection Sheet'!$G132, 'Master List Import'!$A$1:$P$519, 12, FALSE), ""), "")</f>
        <v/>
      </c>
      <c r="O524" s="69" t="str">
        <f>_xlfn.IFNA(IF('Interactive Selection Sheet'!F132= "", VLOOKUP('Interactive Selection Sheet'!$G132, 'Master List Import'!$A$1:$P$519, 13, FALSE), ""), "")</f>
        <v/>
      </c>
      <c r="P524" s="69" t="str">
        <f>_xlfn.IFNA(IF('Interactive Selection Sheet'!F132= "", VLOOKUP('Interactive Selection Sheet'!$G132, 'Master List Import'!$A$1:$P$519, 14, FALSE), ""), "")</f>
        <v/>
      </c>
      <c r="Q524" s="69" t="str">
        <f>_xlfn.IFNA(IF('Interactive Selection Sheet'!F132= "", VLOOKUP('Interactive Selection Sheet'!$G132, 'Master List Import'!$A$1:$P$519, 15, FALSE), ""), "")</f>
        <v/>
      </c>
      <c r="R524" s="74" t="str">
        <f>_xlfn.IFNA(IF('Interactive Selection Sheet'!F132= "", VLOOKUP('Interactive Selection Sheet'!$G132, 'Master List Import'!$A$1:$P$519, 16, FALSE), ""), "")</f>
        <v/>
      </c>
    </row>
    <row r="525" spans="1:18" ht="21.75" customHeight="1" x14ac:dyDescent="0.25">
      <c r="A525" s="69" t="str">
        <f>_xlfn.IFNA(IF('Interactive Selection Sheet'!F133= "", VLOOKUP('Interactive Selection Sheet'!$G133, 'Master List Import'!$A$1:$P$519, 2, FALSE), ""), "")</f>
        <v/>
      </c>
      <c r="B525" s="69" t="str">
        <f>_xlfn.IFNA(IF('Interactive Selection Sheet'!F133= "", VLOOKUP('Interactive Selection Sheet'!$G133, 'Master List Import'!$A$1:$P$519, 3, FALSE), ""), "")</f>
        <v/>
      </c>
      <c r="C525" s="76" t="str">
        <f>IF('Interactive Selection Sheet'!$T$2="", "", IF(B525="","",'Interactive Selection Sheet'!$T$2))</f>
        <v/>
      </c>
      <c r="D525" s="70" t="str">
        <f>IF(B525 = "", "", 'Interactive Selection Sheet'!$Q$2)</f>
        <v/>
      </c>
      <c r="E525" s="70" t="str">
        <f>IF(B525="","", 'Interactive Selection Sheet'!$R$2)</f>
        <v/>
      </c>
      <c r="F525" s="69" t="str">
        <f>_xlfn.IFNA(IF('Interactive Selection Sheet'!F133= "", VLOOKUP('Interactive Selection Sheet'!$G133, 'Master List Import'!$A$1:$P$519, 4, FALSE), ""), "")</f>
        <v/>
      </c>
      <c r="G525" s="69" t="str">
        <f>_xlfn.IFNA(IF('Interactive Selection Sheet'!F133= "", VLOOKUP('Interactive Selection Sheet'!$G133, 'Master List Import'!$A$1:$P$519, 5, FALSE), ""), "")</f>
        <v/>
      </c>
      <c r="H525" s="69" t="str">
        <f>_xlfn.IFNA(IF('Interactive Selection Sheet'!F133= "", VLOOKUP('Interactive Selection Sheet'!$G133, 'Master List Import'!$A$1:$P$519, 6, FALSE), ""), "")</f>
        <v/>
      </c>
      <c r="I525" s="72" t="str">
        <f>_xlfn.IFNA(IF('Interactive Selection Sheet'!F133= "", VLOOKUP('Interactive Selection Sheet'!$G133, 'Master List Import'!$A$1:$P$519, 7, FALSE), ""), "")</f>
        <v/>
      </c>
      <c r="J525" s="69" t="str">
        <f>_xlfn.IFNA(IF('Interactive Selection Sheet'!F133= "", VLOOKUP('Interactive Selection Sheet'!$G133, 'Master List Import'!$A$1:$P$519, 8, FALSE), ""), "")</f>
        <v/>
      </c>
      <c r="K525" s="69" t="str">
        <f>_xlfn.IFNA(IF('Interactive Selection Sheet'!F133= "", VLOOKUP('Interactive Selection Sheet'!$G133, 'Master List Import'!$A$1:$P$519, 9, FALSE), ""), "")</f>
        <v/>
      </c>
      <c r="L525" s="69" t="str">
        <f>_xlfn.IFNA(IF('Interactive Selection Sheet'!F133= "", VLOOKUP('Interactive Selection Sheet'!$G133, 'Master List Import'!$A$1:$P$519, 10, FALSE), ""), "")</f>
        <v/>
      </c>
      <c r="M525" s="69" t="str">
        <f>_xlfn.IFNA(IF('Interactive Selection Sheet'!F133= "", VLOOKUP('Interactive Selection Sheet'!$G133, 'Master List Import'!$A$1:$P$519, 11, FALSE), ""), "")</f>
        <v/>
      </c>
      <c r="N525" s="69" t="str">
        <f>_xlfn.IFNA(IF('Interactive Selection Sheet'!F133= "", VLOOKUP('Interactive Selection Sheet'!$G133, 'Master List Import'!$A$1:$P$519, 12, FALSE), ""), "")</f>
        <v/>
      </c>
      <c r="O525" s="69" t="str">
        <f>_xlfn.IFNA(IF('Interactive Selection Sheet'!F133= "", VLOOKUP('Interactive Selection Sheet'!$G133, 'Master List Import'!$A$1:$P$519, 13, FALSE), ""), "")</f>
        <v/>
      </c>
      <c r="P525" s="69" t="str">
        <f>_xlfn.IFNA(IF('Interactive Selection Sheet'!F133= "", VLOOKUP('Interactive Selection Sheet'!$G133, 'Master List Import'!$A$1:$P$519, 14, FALSE), ""), "")</f>
        <v/>
      </c>
      <c r="Q525" s="69" t="str">
        <f>_xlfn.IFNA(IF('Interactive Selection Sheet'!F133= "", VLOOKUP('Interactive Selection Sheet'!$G133, 'Master List Import'!$A$1:$P$519, 15, FALSE), ""), "")</f>
        <v/>
      </c>
      <c r="R525" s="74" t="str">
        <f>_xlfn.IFNA(IF('Interactive Selection Sheet'!F133= "", VLOOKUP('Interactive Selection Sheet'!$G133, 'Master List Import'!$A$1:$P$519, 16, FALSE), ""), "")</f>
        <v/>
      </c>
    </row>
    <row r="526" spans="1:18" ht="21.75" customHeight="1" x14ac:dyDescent="0.25">
      <c r="A526" s="69" t="str">
        <f>_xlfn.IFNA(IF('Interactive Selection Sheet'!F190= "", VLOOKUP('Interactive Selection Sheet'!$G190, 'Master List Import'!$A$1:$P$519, 2, FALSE), ""), "")</f>
        <v/>
      </c>
      <c r="B526" s="69" t="str">
        <f>_xlfn.IFNA(IF('Interactive Selection Sheet'!F190= "", VLOOKUP('Interactive Selection Sheet'!$G190, 'Master List Import'!$A$1:$P$519, 3, FALSE), ""), "")</f>
        <v/>
      </c>
      <c r="C526" s="76" t="str">
        <f>IF('Interactive Selection Sheet'!$T$2="", "", IF(B526="","",'Interactive Selection Sheet'!$T$2))</f>
        <v/>
      </c>
      <c r="D526" s="70" t="str">
        <f>IF(B526 = "", "", 'Interactive Selection Sheet'!$P$2)</f>
        <v/>
      </c>
      <c r="E526" s="70" t="str">
        <f>IF(B526="","", 'Interactive Selection Sheet'!$R$2)</f>
        <v/>
      </c>
      <c r="F526" s="69" t="str">
        <f>_xlfn.IFNA(IF('Interactive Selection Sheet'!F190= "", VLOOKUP('Interactive Selection Sheet'!$G190, 'Master List Import'!$A$1:$P$519, 4, FALSE), ""), "")</f>
        <v/>
      </c>
      <c r="G526" s="69" t="str">
        <f>_xlfn.IFNA(IF('Interactive Selection Sheet'!F190= "", VLOOKUP('Interactive Selection Sheet'!$G190, 'Master List Import'!$A$1:$P$519, 5, FALSE), ""), "")</f>
        <v/>
      </c>
      <c r="H526" s="69" t="str">
        <f>_xlfn.IFNA(IF('Interactive Selection Sheet'!F190= "", VLOOKUP('Interactive Selection Sheet'!$G190, 'Master List Import'!$A$1:$P$519, 6, FALSE), ""), "")</f>
        <v/>
      </c>
      <c r="I526" s="72" t="str">
        <f>_xlfn.IFNA(IF('Interactive Selection Sheet'!F190= "", VLOOKUP('Interactive Selection Sheet'!$G190, 'Master List Import'!$A$1:$P$519, 7, FALSE), ""), "")</f>
        <v/>
      </c>
      <c r="J526" s="69" t="str">
        <f>_xlfn.IFNA(IF('Interactive Selection Sheet'!F190= "", VLOOKUP('Interactive Selection Sheet'!$G190, 'Master List Import'!$A$1:$P$519, 8, FALSE), ""), "")</f>
        <v/>
      </c>
      <c r="K526" s="69" t="str">
        <f>_xlfn.IFNA(IF('Interactive Selection Sheet'!F190= "", VLOOKUP('Interactive Selection Sheet'!$G190, 'Master List Import'!$A$1:$P$519, 9, FALSE), ""), "")</f>
        <v/>
      </c>
      <c r="L526" s="69" t="str">
        <f>_xlfn.IFNA(IF('Interactive Selection Sheet'!F190= "", VLOOKUP('Interactive Selection Sheet'!$G190, 'Master List Import'!$A$1:$P$519, 10, FALSE), ""), "")</f>
        <v/>
      </c>
      <c r="M526" s="69" t="str">
        <f>_xlfn.IFNA(IF('Interactive Selection Sheet'!F190= "", VLOOKUP('Interactive Selection Sheet'!$G190, 'Master List Import'!$A$1:$P$519, 11, FALSE), ""), "")</f>
        <v/>
      </c>
      <c r="N526" s="69" t="str">
        <f>_xlfn.IFNA(IF('Interactive Selection Sheet'!F190= "", VLOOKUP('Interactive Selection Sheet'!$G190, 'Master List Import'!$A$1:$P$519, 12, FALSE), ""), "")</f>
        <v/>
      </c>
      <c r="O526" s="69" t="str">
        <f>_xlfn.IFNA(IF('Interactive Selection Sheet'!F190= "", VLOOKUP('Interactive Selection Sheet'!$G190, 'Master List Import'!$A$1:$P$519, 13, FALSE), ""), "")</f>
        <v/>
      </c>
      <c r="P526" s="69" t="str">
        <f>_xlfn.IFNA(IF('Interactive Selection Sheet'!F190= "", VLOOKUP('Interactive Selection Sheet'!$G190, 'Master List Import'!$A$1:$P$519, 14, FALSE), ""), "")</f>
        <v/>
      </c>
      <c r="Q526" s="69" t="str">
        <f>_xlfn.IFNA(IF('Interactive Selection Sheet'!F190= "", VLOOKUP('Interactive Selection Sheet'!$G190, 'Master List Import'!$A$1:$P$519, 15, FALSE), ""), "")</f>
        <v/>
      </c>
      <c r="R526" s="74" t="str">
        <f>_xlfn.IFNA(IF('Interactive Selection Sheet'!F190= "", VLOOKUP('Interactive Selection Sheet'!$G190, 'Master List Import'!$A$1:$P$519, 16, FALSE), ""), "")</f>
        <v/>
      </c>
    </row>
    <row r="527" spans="1:18" ht="21.75" customHeight="1" x14ac:dyDescent="0.25">
      <c r="A527" s="69" t="str">
        <f>_xlfn.IFNA(IF('Interactive Selection Sheet'!A253 = "", VLOOKUP('Interactive Selection Sheet'!$B253, 'Master List Import'!$A$1:$P$519, 2, FALSE), ""), "")</f>
        <v/>
      </c>
      <c r="B527" s="69" t="str">
        <f>_xlfn.IFNA(IF('Interactive Selection Sheet'!A253 = "", VLOOKUP('Interactive Selection Sheet'!$B253, 'Master List Import'!$A$1:$P$519, 3, FALSE), ""), "")</f>
        <v/>
      </c>
      <c r="C527" s="76" t="str">
        <f>IF('Interactive Selection Sheet'!$T$2="", "", IF(B527="","",'Interactive Selection Sheet'!$T$2))</f>
        <v/>
      </c>
      <c r="D527" s="70" t="str">
        <f>IF(B527 = "", "", 'Interactive Selection Sheet'!$P$2)</f>
        <v/>
      </c>
      <c r="E527" s="70" t="str">
        <f>IF(B527="","", 'Interactive Selection Sheet'!$R$2)</f>
        <v/>
      </c>
      <c r="F527" s="69" t="str">
        <f>_xlfn.IFNA(IF('Interactive Selection Sheet'!A253 = "", VLOOKUP('Interactive Selection Sheet'!$B253, 'Master List Import'!$A$1:$P$519, 4, FALSE), ""), "")</f>
        <v/>
      </c>
      <c r="G527" s="69" t="str">
        <f>_xlfn.IFNA(IF('Interactive Selection Sheet'!A253 = "", VLOOKUP('Interactive Selection Sheet'!$B253, 'Master List Import'!$A$1:$P$519, 5, FALSE), ""), "")</f>
        <v/>
      </c>
      <c r="H527" s="69" t="str">
        <f>_xlfn.IFNA(IF('Interactive Selection Sheet'!A253 = "", VLOOKUP('Interactive Selection Sheet'!$B253, 'Master List Import'!$A$1:$P$519, 6, FALSE), ""), "")</f>
        <v/>
      </c>
      <c r="I527" s="72" t="str">
        <f>_xlfn.IFNA(IF('Interactive Selection Sheet'!A253 = "", VLOOKUP('Interactive Selection Sheet'!$B253, 'Master List Import'!$A$1:$P$519, 7, FALSE), ""), "")</f>
        <v/>
      </c>
      <c r="J527" s="69" t="str">
        <f>_xlfn.IFNA(IF('Interactive Selection Sheet'!A253 = "", VLOOKUP('Interactive Selection Sheet'!$B253, 'Master List Import'!$A$1:$P$519, 8, FALSE), ""), "")</f>
        <v/>
      </c>
      <c r="K527" s="69" t="str">
        <f>_xlfn.IFNA(IF('Interactive Selection Sheet'!A253 = "", VLOOKUP('Interactive Selection Sheet'!$B253, 'Master List Import'!$A$1:$P$519, 9, FALSE), ""), "")</f>
        <v/>
      </c>
      <c r="L527" s="69" t="str">
        <f>_xlfn.IFNA(IF('Interactive Selection Sheet'!A253 = "", VLOOKUP('Interactive Selection Sheet'!$B253, 'Master List Import'!$A$1:$P$519, 10, FALSE), ""), "")</f>
        <v/>
      </c>
      <c r="M527" s="69" t="str">
        <f>_xlfn.IFNA(IF('Interactive Selection Sheet'!A253 = "", VLOOKUP('Interactive Selection Sheet'!$B253, 'Master List Import'!$A$1:$P$519, 11, FALSE), ""), "")</f>
        <v/>
      </c>
      <c r="N527" s="69" t="str">
        <f>_xlfn.IFNA(IF('Interactive Selection Sheet'!A253 = "", VLOOKUP('Interactive Selection Sheet'!$B253, 'Master List Import'!$A$1:$P$519, 12, FALSE), ""), "")</f>
        <v/>
      </c>
      <c r="O527" s="69" t="str">
        <f>_xlfn.IFNA(IF('Interactive Selection Sheet'!A253 = "", VLOOKUP('Interactive Selection Sheet'!$B253, 'Master List Import'!$A$1:$P$519, 13, FALSE), ""), "")</f>
        <v/>
      </c>
      <c r="P527" s="69" t="str">
        <f>_xlfn.IFNA(IF('Interactive Selection Sheet'!A253 = "", VLOOKUP('Interactive Selection Sheet'!$B253, 'Master List Import'!$A$1:$P$519, 14, FALSE), ""), "")</f>
        <v/>
      </c>
      <c r="Q527" s="69" t="str">
        <f>_xlfn.IFNA(IF('Interactive Selection Sheet'!A253 = "", VLOOKUP('Interactive Selection Sheet'!$B253, 'Master List Import'!$A$1:$P$519, 15, FALSE), ""), "")</f>
        <v/>
      </c>
      <c r="R527" s="74" t="str">
        <f>_xlfn.IFNA(IF('Interactive Selection Sheet'!A253 = "", VLOOKUP('Interactive Selection Sheet'!$B253, 'Master List Import'!$A$1:$P$519, 16, FALSE), ""), "")</f>
        <v/>
      </c>
    </row>
    <row r="528" spans="1:18" ht="21.75" customHeight="1" x14ac:dyDescent="0.25">
      <c r="A528" s="69" t="str">
        <f>_xlfn.IFNA(IF('Interactive Selection Sheet'!A254 = "", VLOOKUP('Interactive Selection Sheet'!$B254, 'Master List Import'!$A$1:$P$519, 2, FALSE), ""), "")</f>
        <v/>
      </c>
      <c r="B528" s="69" t="str">
        <f>_xlfn.IFNA(IF('Interactive Selection Sheet'!A254 = "", VLOOKUP('Interactive Selection Sheet'!$B254, 'Master List Import'!$A$1:$P$519, 3, FALSE), ""), "")</f>
        <v/>
      </c>
      <c r="C528" s="76" t="str">
        <f>IF('Interactive Selection Sheet'!$T$2="", "", IF(B528="","",'Interactive Selection Sheet'!$T$2))</f>
        <v/>
      </c>
      <c r="D528" s="70" t="str">
        <f>IF(B528 = "", "", 'Interactive Selection Sheet'!$P$2)</f>
        <v/>
      </c>
      <c r="E528" s="70" t="str">
        <f>IF(B528="","", 'Interactive Selection Sheet'!$R$2)</f>
        <v/>
      </c>
      <c r="F528" s="69" t="str">
        <f>_xlfn.IFNA(IF('Interactive Selection Sheet'!A254 = "", VLOOKUP('Interactive Selection Sheet'!$B254, 'Master List Import'!$A$1:$P$519, 4, FALSE), ""), "")</f>
        <v/>
      </c>
      <c r="G528" s="69" t="str">
        <f>_xlfn.IFNA(IF('Interactive Selection Sheet'!A254 = "", VLOOKUP('Interactive Selection Sheet'!$B254, 'Master List Import'!$A$1:$P$519, 5, FALSE), ""), "")</f>
        <v/>
      </c>
      <c r="H528" s="69" t="str">
        <f>_xlfn.IFNA(IF('Interactive Selection Sheet'!A254 = "", VLOOKUP('Interactive Selection Sheet'!$B254, 'Master List Import'!$A$1:$P$519, 6, FALSE), ""), "")</f>
        <v/>
      </c>
      <c r="I528" s="72" t="str">
        <f>_xlfn.IFNA(IF('Interactive Selection Sheet'!A254 = "", VLOOKUP('Interactive Selection Sheet'!$B254, 'Master List Import'!$A$1:$P$519, 7, FALSE), ""), "")</f>
        <v/>
      </c>
      <c r="J528" s="69" t="str">
        <f>_xlfn.IFNA(IF('Interactive Selection Sheet'!A254 = "", VLOOKUP('Interactive Selection Sheet'!$B254, 'Master List Import'!$A$1:$P$519, 8, FALSE), ""), "")</f>
        <v/>
      </c>
      <c r="K528" s="69" t="str">
        <f>_xlfn.IFNA(IF('Interactive Selection Sheet'!A254 = "", VLOOKUP('Interactive Selection Sheet'!$B254, 'Master List Import'!$A$1:$P$519, 9, FALSE), ""), "")</f>
        <v/>
      </c>
      <c r="L528" s="69" t="str">
        <f>_xlfn.IFNA(IF('Interactive Selection Sheet'!A254 = "", VLOOKUP('Interactive Selection Sheet'!$B254, 'Master List Import'!$A$1:$P$519, 10, FALSE), ""), "")</f>
        <v/>
      </c>
      <c r="M528" s="69" t="str">
        <f>_xlfn.IFNA(IF('Interactive Selection Sheet'!A254 = "", VLOOKUP('Interactive Selection Sheet'!$B254, 'Master List Import'!$A$1:$P$519, 11, FALSE), ""), "")</f>
        <v/>
      </c>
      <c r="N528" s="69" t="str">
        <f>_xlfn.IFNA(IF('Interactive Selection Sheet'!A254 = "", VLOOKUP('Interactive Selection Sheet'!$B254, 'Master List Import'!$A$1:$P$519, 12, FALSE), ""), "")</f>
        <v/>
      </c>
      <c r="O528" s="69" t="str">
        <f>_xlfn.IFNA(IF('Interactive Selection Sheet'!A254 = "", VLOOKUP('Interactive Selection Sheet'!$B254, 'Master List Import'!$A$1:$P$519, 13, FALSE), ""), "")</f>
        <v/>
      </c>
      <c r="P528" s="69" t="str">
        <f>_xlfn.IFNA(IF('Interactive Selection Sheet'!A254 = "", VLOOKUP('Interactive Selection Sheet'!$B254, 'Master List Import'!$A$1:$P$519, 14, FALSE), ""), "")</f>
        <v/>
      </c>
      <c r="Q528" s="69" t="str">
        <f>_xlfn.IFNA(IF('Interactive Selection Sheet'!A254 = "", VLOOKUP('Interactive Selection Sheet'!$B254, 'Master List Import'!$A$1:$P$519, 15, FALSE), ""), "")</f>
        <v/>
      </c>
      <c r="R528" s="74" t="str">
        <f>_xlfn.IFNA(IF('Interactive Selection Sheet'!A254 = "", VLOOKUP('Interactive Selection Sheet'!$B254, 'Master List Import'!$A$1:$P$519, 16, FALSE), ""), "")</f>
        <v/>
      </c>
    </row>
    <row r="529" spans="1:18" ht="21.75" customHeight="1" x14ac:dyDescent="0.25">
      <c r="A529" s="69" t="str">
        <f>_xlfn.IFNA(IF('Interactive Selection Sheet'!A255 = "", VLOOKUP('Interactive Selection Sheet'!$B255, 'Master List Import'!$A$1:$P$519, 2, FALSE), ""), "")</f>
        <v/>
      </c>
      <c r="B529" s="69" t="str">
        <f>_xlfn.IFNA(IF('Interactive Selection Sheet'!A255 = "", VLOOKUP('Interactive Selection Sheet'!$B255, 'Master List Import'!$A$1:$P$519, 3, FALSE), ""), "")</f>
        <v/>
      </c>
      <c r="C529" s="76" t="str">
        <f>IF('Interactive Selection Sheet'!$T$2="", "", IF(B529="","",'Interactive Selection Sheet'!$T$2))</f>
        <v/>
      </c>
      <c r="D529" s="70" t="str">
        <f>IF(B529 = "", "", 'Interactive Selection Sheet'!$P$2)</f>
        <v/>
      </c>
      <c r="E529" s="70" t="str">
        <f>IF(B529="","", 'Interactive Selection Sheet'!$R$2)</f>
        <v/>
      </c>
      <c r="F529" s="69" t="str">
        <f>_xlfn.IFNA(IF('Interactive Selection Sheet'!A255 = "", VLOOKUP('Interactive Selection Sheet'!$B255, 'Master List Import'!$A$1:$P$519, 4, FALSE), ""), "")</f>
        <v/>
      </c>
      <c r="G529" s="69" t="str">
        <f>_xlfn.IFNA(IF('Interactive Selection Sheet'!A255 = "", VLOOKUP('Interactive Selection Sheet'!$B255, 'Master List Import'!$A$1:$P$519, 5, FALSE), ""), "")</f>
        <v/>
      </c>
      <c r="H529" s="69" t="str">
        <f>_xlfn.IFNA(IF('Interactive Selection Sheet'!A255 = "", VLOOKUP('Interactive Selection Sheet'!$B255, 'Master List Import'!$A$1:$P$519, 6, FALSE), ""), "")</f>
        <v/>
      </c>
      <c r="I529" s="72" t="str">
        <f>_xlfn.IFNA(IF('Interactive Selection Sheet'!A255 = "", VLOOKUP('Interactive Selection Sheet'!$B255, 'Master List Import'!$A$1:$P$519, 7, FALSE), ""), "")</f>
        <v/>
      </c>
      <c r="J529" s="69" t="str">
        <f>_xlfn.IFNA(IF('Interactive Selection Sheet'!A255 = "", VLOOKUP('Interactive Selection Sheet'!$B255, 'Master List Import'!$A$1:$P$519, 8, FALSE), ""), "")</f>
        <v/>
      </c>
      <c r="K529" s="69" t="str">
        <f>_xlfn.IFNA(IF('Interactive Selection Sheet'!A255 = "", VLOOKUP('Interactive Selection Sheet'!$B255, 'Master List Import'!$A$1:$P$519, 9, FALSE), ""), "")</f>
        <v/>
      </c>
      <c r="L529" s="69" t="str">
        <f>_xlfn.IFNA(IF('Interactive Selection Sheet'!A255 = "", VLOOKUP('Interactive Selection Sheet'!$B255, 'Master List Import'!$A$1:$P$519, 10, FALSE), ""), "")</f>
        <v/>
      </c>
      <c r="M529" s="69" t="str">
        <f>_xlfn.IFNA(IF('Interactive Selection Sheet'!A255 = "", VLOOKUP('Interactive Selection Sheet'!$B255, 'Master List Import'!$A$1:$P$519, 11, FALSE), ""), "")</f>
        <v/>
      </c>
      <c r="N529" s="69" t="str">
        <f>_xlfn.IFNA(IF('Interactive Selection Sheet'!A255 = "", VLOOKUP('Interactive Selection Sheet'!$B255, 'Master List Import'!$A$1:$P$519, 12, FALSE), ""), "")</f>
        <v/>
      </c>
      <c r="O529" s="69" t="str">
        <f>_xlfn.IFNA(IF('Interactive Selection Sheet'!A255 = "", VLOOKUP('Interactive Selection Sheet'!$B255, 'Master List Import'!$A$1:$P$519, 13, FALSE), ""), "")</f>
        <v/>
      </c>
      <c r="P529" s="69" t="str">
        <f>_xlfn.IFNA(IF('Interactive Selection Sheet'!A255 = "", VLOOKUP('Interactive Selection Sheet'!$B255, 'Master List Import'!$A$1:$P$519, 14, FALSE), ""), "")</f>
        <v/>
      </c>
      <c r="Q529" s="69" t="str">
        <f>_xlfn.IFNA(IF('Interactive Selection Sheet'!A255 = "", VLOOKUP('Interactive Selection Sheet'!$B255, 'Master List Import'!$A$1:$P$519, 15, FALSE), ""), "")</f>
        <v/>
      </c>
      <c r="R529" s="74" t="str">
        <f>_xlfn.IFNA(IF('Interactive Selection Sheet'!A255 = "", VLOOKUP('Interactive Selection Sheet'!$B255, 'Master List Import'!$A$1:$P$519, 16, FALSE), ""), "")</f>
        <v/>
      </c>
    </row>
    <row r="530" spans="1:18" ht="21.75" customHeight="1" x14ac:dyDescent="0.25">
      <c r="A530" s="69" t="str">
        <f>_xlfn.IFNA(IF('Interactive Selection Sheet'!A265 = "", VLOOKUP('Interactive Selection Sheet'!$B265, 'Master List Import'!$A$1:$P$519, 2, FALSE), ""), "")</f>
        <v/>
      </c>
      <c r="B530" s="69" t="str">
        <f>_xlfn.IFNA(IF('Interactive Selection Sheet'!A265 = "", VLOOKUP('Interactive Selection Sheet'!$B265, 'Master List Import'!$A$1:$P$519, 3, FALSE), ""), "")</f>
        <v/>
      </c>
      <c r="C530" s="76" t="str">
        <f>IF('Interactive Selection Sheet'!$T$2="", "", IF(B530="","",'Interactive Selection Sheet'!$T$2))</f>
        <v/>
      </c>
      <c r="D530" s="70" t="str">
        <f>IF(B530 = "", "", 'Interactive Selection Sheet'!$P$2)</f>
        <v/>
      </c>
      <c r="E530" s="70" t="str">
        <f>IF(B530="","", 'Interactive Selection Sheet'!$R$2)</f>
        <v/>
      </c>
      <c r="F530" s="69" t="str">
        <f>_xlfn.IFNA(IF('Interactive Selection Sheet'!A265 = "", VLOOKUP('Interactive Selection Sheet'!$B265, 'Master List Import'!$A$1:$P$519, 4, FALSE), ""), "")</f>
        <v/>
      </c>
      <c r="G530" s="69" t="str">
        <f>_xlfn.IFNA(IF('Interactive Selection Sheet'!A265 = "", VLOOKUP('Interactive Selection Sheet'!$B265, 'Master List Import'!$A$1:$P$519, 5, FALSE), ""), "")</f>
        <v/>
      </c>
      <c r="H530" s="69" t="str">
        <f>_xlfn.IFNA(IF('Interactive Selection Sheet'!A265 = "", VLOOKUP('Interactive Selection Sheet'!$B265, 'Master List Import'!$A$1:$P$519, 6, FALSE), ""), "")</f>
        <v/>
      </c>
      <c r="I530" s="72" t="str">
        <f>_xlfn.IFNA(IF('Interactive Selection Sheet'!A265 = "", VLOOKUP('Interactive Selection Sheet'!$B265, 'Master List Import'!$A$1:$P$519, 7, FALSE), ""), "")</f>
        <v/>
      </c>
      <c r="J530" s="69" t="str">
        <f>_xlfn.IFNA(IF('Interactive Selection Sheet'!A265 = "", VLOOKUP('Interactive Selection Sheet'!$B265, 'Master List Import'!$A$1:$P$519, 8, FALSE), ""), "")</f>
        <v/>
      </c>
      <c r="K530" s="69" t="str">
        <f>_xlfn.IFNA(IF('Interactive Selection Sheet'!A265 = "", VLOOKUP('Interactive Selection Sheet'!$B265, 'Master List Import'!$A$1:$P$519, 9, FALSE), ""), "")</f>
        <v/>
      </c>
      <c r="L530" s="69" t="str">
        <f>_xlfn.IFNA(IF('Interactive Selection Sheet'!A265 = "", VLOOKUP('Interactive Selection Sheet'!$B265, 'Master List Import'!$A$1:$P$519, 10, FALSE), ""), "")</f>
        <v/>
      </c>
      <c r="M530" s="69" t="str">
        <f>_xlfn.IFNA(IF('Interactive Selection Sheet'!A265 = "", VLOOKUP('Interactive Selection Sheet'!$B265, 'Master List Import'!$A$1:$P$519, 11, FALSE), ""), "")</f>
        <v/>
      </c>
      <c r="N530" s="69" t="str">
        <f>_xlfn.IFNA(IF('Interactive Selection Sheet'!A265 = "", VLOOKUP('Interactive Selection Sheet'!$B265, 'Master List Import'!$A$1:$P$519, 12, FALSE), ""), "")</f>
        <v/>
      </c>
      <c r="O530" s="69" t="str">
        <f>_xlfn.IFNA(IF('Interactive Selection Sheet'!A265 = "", VLOOKUP('Interactive Selection Sheet'!$B265, 'Master List Import'!$A$1:$P$519, 13, FALSE), ""), "")</f>
        <v/>
      </c>
      <c r="P530" s="69" t="str">
        <f>_xlfn.IFNA(IF('Interactive Selection Sheet'!A265 = "", VLOOKUP('Interactive Selection Sheet'!$B265, 'Master List Import'!$A$1:$P$519, 14, FALSE), ""), "")</f>
        <v/>
      </c>
      <c r="Q530" s="69" t="str">
        <f>_xlfn.IFNA(IF('Interactive Selection Sheet'!A265 = "", VLOOKUP('Interactive Selection Sheet'!$B265, 'Master List Import'!$A$1:$P$519, 15, FALSE), ""), "")</f>
        <v/>
      </c>
      <c r="R530" s="74" t="str">
        <f>_xlfn.IFNA(IF('Interactive Selection Sheet'!A265 = "", VLOOKUP('Interactive Selection Sheet'!$B265, 'Master List Import'!$A$1:$P$519, 16, FALSE), ""), "")</f>
        <v/>
      </c>
    </row>
    <row r="531" spans="1:18" ht="21.75" customHeight="1" x14ac:dyDescent="0.25">
      <c r="A531" s="69" t="str">
        <f>_xlfn.IFNA(IF('Interactive Selection Sheet'!$K189= "", VLOOKUP('Interactive Selection Sheet'!$L189, 'Master List Import'!$A$1:$P$519, 2, FALSE), ""), "")</f>
        <v/>
      </c>
      <c r="B531" s="69" t="str">
        <f>_xlfn.IFNA(IF('Interactive Selection Sheet'!$K189= "", VLOOKUP('Interactive Selection Sheet'!$L189, 'Master List Import'!$A$1:$P$519, 3, FALSE), ""), "")</f>
        <v/>
      </c>
      <c r="C531" s="76" t="str">
        <f>IF('Interactive Selection Sheet'!$T$2="", "", IF(B531="","",'Interactive Selection Sheet'!$T$2))</f>
        <v/>
      </c>
      <c r="D531" s="70" t="str">
        <f>IF(B531 = "", "", 'Interactive Selection Sheet'!$P$2)</f>
        <v/>
      </c>
      <c r="E531" s="70" t="str">
        <f>IF(B531="","", 'Interactive Selection Sheet'!$R$2)</f>
        <v/>
      </c>
      <c r="F531" s="69" t="str">
        <f>_xlfn.IFNA(IF('Interactive Selection Sheet'!K189= "", VLOOKUP('Interactive Selection Sheet'!$L189, 'Master List Import'!$A$1:$P$519, 4, FALSE), ""), "")</f>
        <v/>
      </c>
      <c r="G531" s="69" t="str">
        <f>_xlfn.IFNA(IF('Interactive Selection Sheet'!K189= "", VLOOKUP('Interactive Selection Sheet'!$L189, 'Master List Import'!$A$1:$P$519, 5, FALSE), ""), "")</f>
        <v/>
      </c>
      <c r="H531" s="69" t="str">
        <f>_xlfn.IFNA(IF('Interactive Selection Sheet'!K189= "", VLOOKUP('Interactive Selection Sheet'!$L189, 'Master List Import'!$A$1:$P$519, 6, FALSE), ""), "")</f>
        <v/>
      </c>
      <c r="I531" s="72" t="str">
        <f>_xlfn.IFNA(IF('Interactive Selection Sheet'!K189= "", VLOOKUP('Interactive Selection Sheet'!$L189, 'Master List Import'!$A$1:$P$519, 7, FALSE), ""), "")</f>
        <v/>
      </c>
      <c r="J531" s="69" t="str">
        <f>_xlfn.IFNA(IF('Interactive Selection Sheet'!K189= "", VLOOKUP('Interactive Selection Sheet'!$L189, 'Master List Import'!$A$1:$P$519, 8, FALSE), ""), "")</f>
        <v/>
      </c>
      <c r="K531" s="69" t="str">
        <f>_xlfn.IFNA(IF('Interactive Selection Sheet'!K189= "", VLOOKUP('Interactive Selection Sheet'!$L189, 'Master List Import'!$A$1:$P$519, 9, FALSE), ""), "")</f>
        <v/>
      </c>
      <c r="L531" s="69" t="str">
        <f>_xlfn.IFNA(IF('Interactive Selection Sheet'!K189= "", VLOOKUP('Interactive Selection Sheet'!$L189, 'Master List Import'!$A$1:$P$519, 10, FALSE), ""), "")</f>
        <v/>
      </c>
      <c r="M531" s="69" t="str">
        <f>_xlfn.IFNA(IF('Interactive Selection Sheet'!K189= "", VLOOKUP('Interactive Selection Sheet'!$L189, 'Master List Import'!$A$1:$P$519, 11, FALSE), ""), "")</f>
        <v/>
      </c>
      <c r="N531" s="69" t="str">
        <f>_xlfn.IFNA(IF('Interactive Selection Sheet'!K189= "", VLOOKUP('Interactive Selection Sheet'!$L189, 'Master List Import'!$A$1:$P$519, 12, FALSE), ""), "")</f>
        <v/>
      </c>
      <c r="O531" s="69" t="str">
        <f>_xlfn.IFNA(IF('Interactive Selection Sheet'!K189= "", VLOOKUP('Interactive Selection Sheet'!$L189, 'Master List Import'!$A$1:$P$519, 13, FALSE), ""), "")</f>
        <v/>
      </c>
      <c r="P531" s="69" t="str">
        <f>_xlfn.IFNA(IF('Interactive Selection Sheet'!K189= "", VLOOKUP('Interactive Selection Sheet'!$L189, 'Master List Import'!$A$1:$P$519, 14, FALSE), ""), "")</f>
        <v/>
      </c>
      <c r="Q531" s="69" t="str">
        <f>_xlfn.IFNA(IF('Interactive Selection Sheet'!K189= "", VLOOKUP('Interactive Selection Sheet'!$L189, 'Master List Import'!$A$1:$P$519, 15, FALSE), ""), "")</f>
        <v/>
      </c>
      <c r="R531" s="74" t="str">
        <f>_xlfn.IFNA(IF('Interactive Selection Sheet'!K189= "", VLOOKUP('Interactive Selection Sheet'!$L189, 'Master List Import'!$A$1:$P$519, 16, FALSE), ""), "")</f>
        <v/>
      </c>
    </row>
    <row r="532" spans="1:18" ht="21.75" customHeight="1" x14ac:dyDescent="0.25">
      <c r="A532" s="69" t="str">
        <f>_xlfn.IFNA(IF('Interactive Selection Sheet'!F254= "", VLOOKUP('Interactive Selection Sheet'!$G254, 'Master List Import'!$A$1:$P$519, 2, FALSE), ""), "")</f>
        <v/>
      </c>
      <c r="B532" s="69" t="str">
        <f>_xlfn.IFNA(IF('Interactive Selection Sheet'!F254= "", VLOOKUP('Interactive Selection Sheet'!$G254, 'Master List Import'!$A$1:$P$519, 3, FALSE), ""), "")</f>
        <v/>
      </c>
      <c r="C532" s="76" t="str">
        <f>IF('Interactive Selection Sheet'!$T$2="", "", IF(B532="","",'Interactive Selection Sheet'!$T$2))</f>
        <v/>
      </c>
      <c r="D532" s="70" t="str">
        <f>IF(B532 = "", "", 'Interactive Selection Sheet'!$P$2)</f>
        <v/>
      </c>
      <c r="E532" s="70" t="str">
        <f>IF(B532="","", 'Interactive Selection Sheet'!$R$2)</f>
        <v/>
      </c>
      <c r="F532" s="69" t="str">
        <f>_xlfn.IFNA(IF('Interactive Selection Sheet'!F254= "", VLOOKUP('Interactive Selection Sheet'!$G254, 'Master List Import'!$A$1:$P$519, 4, FALSE), ""), "")</f>
        <v/>
      </c>
      <c r="G532" s="69" t="str">
        <f>_xlfn.IFNA(IF('Interactive Selection Sheet'!F254= "", VLOOKUP('Interactive Selection Sheet'!$G254, 'Master List Import'!$A$1:$P$519, 5, FALSE), ""), "")</f>
        <v/>
      </c>
      <c r="H532" s="69" t="str">
        <f>_xlfn.IFNA(IF('Interactive Selection Sheet'!F254= "", VLOOKUP('Interactive Selection Sheet'!$G254, 'Master List Import'!$A$1:$P$519, 6, FALSE), ""), "")</f>
        <v/>
      </c>
      <c r="I532" s="72" t="str">
        <f>_xlfn.IFNA(IF('Interactive Selection Sheet'!F254= "", VLOOKUP('Interactive Selection Sheet'!$G254, 'Master List Import'!$A$1:$P$519, 7, FALSE), ""), "")</f>
        <v/>
      </c>
      <c r="J532" s="69" t="str">
        <f>_xlfn.IFNA(IF('Interactive Selection Sheet'!F254= "", VLOOKUP('Interactive Selection Sheet'!$G254, 'Master List Import'!$A$1:$P$519, 8, FALSE), ""), "")</f>
        <v/>
      </c>
      <c r="K532" s="69" t="str">
        <f>_xlfn.IFNA(IF('Interactive Selection Sheet'!F254= "", VLOOKUP('Interactive Selection Sheet'!$G254, 'Master List Import'!$A$1:$P$519, 9, FALSE), ""), "")</f>
        <v/>
      </c>
      <c r="L532" s="69" t="str">
        <f>_xlfn.IFNA(IF('Interactive Selection Sheet'!F254= "", VLOOKUP('Interactive Selection Sheet'!$G254, 'Master List Import'!$A$1:$P$519, 10, FALSE), ""), "")</f>
        <v/>
      </c>
      <c r="M532" s="69" t="str">
        <f>_xlfn.IFNA(IF('Interactive Selection Sheet'!F254= "", VLOOKUP('Interactive Selection Sheet'!$G254, 'Master List Import'!$A$1:$P$519, 11, FALSE), ""), "")</f>
        <v/>
      </c>
      <c r="N532" s="69" t="str">
        <f>_xlfn.IFNA(IF('Interactive Selection Sheet'!F254= "", VLOOKUP('Interactive Selection Sheet'!$G254, 'Master List Import'!$A$1:$P$519, 12, FALSE), ""), "")</f>
        <v/>
      </c>
      <c r="O532" s="69" t="str">
        <f>_xlfn.IFNA(IF('Interactive Selection Sheet'!F254= "", VLOOKUP('Interactive Selection Sheet'!$G254, 'Master List Import'!$A$1:$P$519, 13, FALSE), ""), "")</f>
        <v/>
      </c>
      <c r="P532" s="69" t="str">
        <f>_xlfn.IFNA(IF('Interactive Selection Sheet'!F254= "", VLOOKUP('Interactive Selection Sheet'!$G254, 'Master List Import'!$A$1:$P$519, 14, FALSE), ""), "")</f>
        <v/>
      </c>
      <c r="Q532" s="69" t="str">
        <f>_xlfn.IFNA(IF('Interactive Selection Sheet'!F254= "", VLOOKUP('Interactive Selection Sheet'!$G254, 'Master List Import'!$A$1:$P$519, 15, FALSE), ""), "")</f>
        <v/>
      </c>
      <c r="R532" s="74" t="str">
        <f>_xlfn.IFNA(IF('Interactive Selection Sheet'!F254= "", VLOOKUP('Interactive Selection Sheet'!$G254, 'Master List Import'!$A$1:$P$519, 16, FALSE), ""), "")</f>
        <v/>
      </c>
    </row>
    <row r="533" spans="1:18" ht="21.75" customHeight="1" x14ac:dyDescent="0.25">
      <c r="A533" s="69" t="str">
        <f>_xlfn.IFNA(IF('Interactive Selection Sheet'!P10= "", VLOOKUP('Interactive Selection Sheet'!Q10, 'Master List Import'!$A$1:$P$519, 2, FALSE), ""), "")</f>
        <v/>
      </c>
      <c r="B533" s="69" t="str">
        <f>_xlfn.IFNA(IF('Interactive Selection Sheet'!P10= "", VLOOKUP('Interactive Selection Sheet'!Q10, 'Master List Import'!$A$1:$P$519, 3, FALSE), ""), "")</f>
        <v/>
      </c>
      <c r="C533" s="76" t="str">
        <f>IF('Interactive Selection Sheet'!$T$2="", "", IF(B533="","",'Interactive Selection Sheet'!$T$2))</f>
        <v/>
      </c>
      <c r="D533" s="70" t="str">
        <f>IF(B533 = "", "", 'Interactive Selection Sheet'!$P$2)</f>
        <v/>
      </c>
      <c r="E533" s="70" t="str">
        <f>IF(B533="","", 'Interactive Selection Sheet'!$R$2)</f>
        <v/>
      </c>
      <c r="F533" s="69" t="str">
        <f>_xlfn.IFNA(IF('Interactive Selection Sheet'!F261= "", VLOOKUP('Interactive Selection Sheet'!Q10, 'Master List Import'!$A$1:$P$519, 4, FALSE), ""), "")</f>
        <v/>
      </c>
      <c r="G533" s="69" t="str">
        <f>_xlfn.IFNA(IF('Interactive Selection Sheet'!F261= "", VLOOKUP('Interactive Selection Sheet'!Q10, 'Master List Import'!$A$1:$P$519, 5, FALSE), ""), "")</f>
        <v/>
      </c>
      <c r="H533" s="69" t="str">
        <f>_xlfn.IFNA(IF('Interactive Selection Sheet'!F261= "", VLOOKUP('Interactive Selection Sheet'!Q10, 'Master List Import'!$A$1:$P$519, 6, FALSE), ""), "")</f>
        <v/>
      </c>
      <c r="I533" s="72" t="str">
        <f>_xlfn.IFNA(IF('Interactive Selection Sheet'!F261= "", VLOOKUP('Interactive Selection Sheet'!Q10, 'Master List Import'!$A$1:$P$519, 7, FALSE), ""), "")</f>
        <v/>
      </c>
      <c r="J533" s="69" t="str">
        <f>_xlfn.IFNA(IF('Interactive Selection Sheet'!F261= "", VLOOKUP('Interactive Selection Sheet'!Q10, 'Master List Import'!$A$1:$P$519, 8, FALSE), ""), "")</f>
        <v/>
      </c>
      <c r="K533" s="69" t="str">
        <f>_xlfn.IFNA(IF('Interactive Selection Sheet'!F261= "", VLOOKUP('Interactive Selection Sheet'!Q10, 'Master List Import'!$A$1:$P$519, 9, FALSE), ""), "")</f>
        <v/>
      </c>
      <c r="L533" s="69" t="str">
        <f>_xlfn.IFNA(IF('Interactive Selection Sheet'!F261= "", VLOOKUP('Interactive Selection Sheet'!Q10, 'Master List Import'!$A$1:$P$519, 10, FALSE), ""), "")</f>
        <v/>
      </c>
      <c r="M533" s="69" t="str">
        <f>_xlfn.IFNA(IF('Interactive Selection Sheet'!F261= "", VLOOKUP('Interactive Selection Sheet'!Q10, 'Master List Import'!$A$1:$P$519, 11, FALSE), ""), "")</f>
        <v/>
      </c>
      <c r="N533" s="69" t="str">
        <f>_xlfn.IFNA(IF('Interactive Selection Sheet'!F261= "", VLOOKUP('Interactive Selection Sheet'!Q10, 'Master List Import'!$A$1:$P$519, 12, FALSE), ""), "")</f>
        <v/>
      </c>
      <c r="O533" s="69" t="str">
        <f>_xlfn.IFNA(IF('Interactive Selection Sheet'!F261= "", VLOOKUP('Interactive Selection Sheet'!Q10, 'Master List Import'!$A$1:$P$519, 13, FALSE), ""), "")</f>
        <v/>
      </c>
      <c r="P533" s="69" t="str">
        <f>_xlfn.IFNA(IF('Interactive Selection Sheet'!F261= "", VLOOKUP('Interactive Selection Sheet'!Q10, 'Master List Import'!$A$1:$P$519, 14, FALSE), ""), "")</f>
        <v/>
      </c>
      <c r="Q533" s="69" t="str">
        <f>_xlfn.IFNA(IF('Interactive Selection Sheet'!F261= "", VLOOKUP('Interactive Selection Sheet'!Q10, 'Master List Import'!$A$1:$P$519, 15, FALSE), ""), "")</f>
        <v/>
      </c>
      <c r="R533" s="74" t="str">
        <f>_xlfn.IFNA(IF('Interactive Selection Sheet'!F261= "", VLOOKUP('Interactive Selection Sheet'!Q10, 'Master List Import'!$A$1:$P$519, 16, FALSE), ""), "")</f>
        <v/>
      </c>
    </row>
    <row r="534" spans="1:18" ht="21.75" customHeight="1" x14ac:dyDescent="0.25">
      <c r="A534" s="69" t="str">
        <f>_xlfn.IFNA(IF('Interactive Selection Sheet'!P11= "", VLOOKUP('Interactive Selection Sheet'!Q11, 'Master List Import'!$A$1:$P$519, 2, FALSE), ""), "")</f>
        <v/>
      </c>
      <c r="B534" s="69" t="str">
        <f>_xlfn.IFNA(IF('Interactive Selection Sheet'!P11= "", VLOOKUP('Interactive Selection Sheet'!Q11, 'Master List Import'!$A$1:$P$519, 3, FALSE), ""), "")</f>
        <v/>
      </c>
      <c r="C534" s="76" t="str">
        <f>IF('Interactive Selection Sheet'!$T$2="", "", IF(B534="","",'Interactive Selection Sheet'!$T$2))</f>
        <v/>
      </c>
      <c r="D534" s="70" t="str">
        <f>IF(B534 = "", "", 'Interactive Selection Sheet'!$P$2)</f>
        <v/>
      </c>
      <c r="E534" s="70" t="str">
        <f>IF(B534="","", 'Interactive Selection Sheet'!$R$2)</f>
        <v/>
      </c>
      <c r="F534" s="69" t="str">
        <f>_xlfn.IFNA(IF('Interactive Selection Sheet'!F262= "", VLOOKUP('Interactive Selection Sheet'!Q11, 'Master List Import'!$A$1:$P$519, 4, FALSE), ""), "")</f>
        <v/>
      </c>
      <c r="G534" s="69" t="str">
        <f>_xlfn.IFNA(IF('Interactive Selection Sheet'!F262= "", VLOOKUP('Interactive Selection Sheet'!Q11, 'Master List Import'!$A$1:$P$519, 5, FALSE), ""), "")</f>
        <v/>
      </c>
      <c r="H534" s="69" t="str">
        <f>_xlfn.IFNA(IF('Interactive Selection Sheet'!F262= "", VLOOKUP('Interactive Selection Sheet'!Q11, 'Master List Import'!$A$1:$P$519, 6, FALSE), ""), "")</f>
        <v/>
      </c>
      <c r="I534" s="72" t="str">
        <f>_xlfn.IFNA(IF('Interactive Selection Sheet'!F262= "", VLOOKUP('Interactive Selection Sheet'!Q11, 'Master List Import'!$A$1:$P$519, 7, FALSE), ""), "")</f>
        <v/>
      </c>
      <c r="J534" s="69" t="str">
        <f>_xlfn.IFNA(IF('Interactive Selection Sheet'!F262= "", VLOOKUP('Interactive Selection Sheet'!Q11, 'Master List Import'!$A$1:$P$519, 8, FALSE), ""), "")</f>
        <v/>
      </c>
      <c r="K534" s="69" t="str">
        <f>_xlfn.IFNA(IF('Interactive Selection Sheet'!F262= "", VLOOKUP('Interactive Selection Sheet'!Q11, 'Master List Import'!$A$1:$P$519, 9, FALSE), ""), "")</f>
        <v/>
      </c>
      <c r="L534" s="69" t="str">
        <f>_xlfn.IFNA(IF('Interactive Selection Sheet'!F262= "", VLOOKUP('Interactive Selection Sheet'!Q11, 'Master List Import'!$A$1:$P$519, 10, FALSE), ""), "")</f>
        <v/>
      </c>
      <c r="M534" s="69" t="str">
        <f>_xlfn.IFNA(IF('Interactive Selection Sheet'!F262= "", VLOOKUP('Interactive Selection Sheet'!Q11, 'Master List Import'!$A$1:$P$519, 11, FALSE), ""), "")</f>
        <v/>
      </c>
      <c r="N534" s="69" t="str">
        <f>_xlfn.IFNA(IF('Interactive Selection Sheet'!F262= "", VLOOKUP('Interactive Selection Sheet'!Q11, 'Master List Import'!$A$1:$P$519, 12, FALSE), ""), "")</f>
        <v/>
      </c>
      <c r="O534" s="69" t="str">
        <f>_xlfn.IFNA(IF('Interactive Selection Sheet'!F262= "", VLOOKUP('Interactive Selection Sheet'!Q11, 'Master List Import'!$A$1:$P$519, 13, FALSE), ""), "")</f>
        <v/>
      </c>
      <c r="P534" s="69" t="str">
        <f>_xlfn.IFNA(IF('Interactive Selection Sheet'!F262= "", VLOOKUP('Interactive Selection Sheet'!Q11, 'Master List Import'!$A$1:$P$519, 14, FALSE), ""), "")</f>
        <v/>
      </c>
      <c r="Q534" s="69" t="str">
        <f>_xlfn.IFNA(IF('Interactive Selection Sheet'!F262= "", VLOOKUP('Interactive Selection Sheet'!Q11, 'Master List Import'!$A$1:$P$519, 15, FALSE), ""), "")</f>
        <v/>
      </c>
      <c r="R534" s="74" t="str">
        <f>_xlfn.IFNA(IF('Interactive Selection Sheet'!F262= "", VLOOKUP('Interactive Selection Sheet'!Q11, 'Master List Import'!$A$1:$P$519, 16, FALSE), ""), "")</f>
        <v/>
      </c>
    </row>
    <row r="535" spans="1:18" ht="21.75" customHeight="1" x14ac:dyDescent="0.25">
      <c r="A535" s="69" t="str">
        <f>_xlfn.IFNA(IF('Interactive Selection Sheet'!P12= "", VLOOKUP('Interactive Selection Sheet'!Q12, 'Master List Import'!$A$1:$P$519, 2, FALSE), ""), "")</f>
        <v/>
      </c>
      <c r="B535" s="69" t="str">
        <f>_xlfn.IFNA(IF('Interactive Selection Sheet'!P12= "", VLOOKUP('Interactive Selection Sheet'!Q12, 'Master List Import'!$A$1:$P$519, 3, FALSE), ""), "")</f>
        <v/>
      </c>
      <c r="C535" s="76" t="str">
        <f>IF('Interactive Selection Sheet'!$T$2="", "", IF(B535="","",'Interactive Selection Sheet'!$T$2))</f>
        <v/>
      </c>
      <c r="D535" s="70" t="str">
        <f>IF(B535 = "", "", 'Interactive Selection Sheet'!$P$2)</f>
        <v/>
      </c>
      <c r="E535" s="70" t="str">
        <f>IF(B535="","", 'Interactive Selection Sheet'!$R$2)</f>
        <v/>
      </c>
      <c r="F535" s="69" t="str">
        <f>_xlfn.IFNA(IF('Interactive Selection Sheet'!F263= "", VLOOKUP('Interactive Selection Sheet'!Q12, 'Master List Import'!$A$1:$P$519, 4, FALSE), ""), "")</f>
        <v/>
      </c>
      <c r="G535" s="69" t="str">
        <f>_xlfn.IFNA(IF('Interactive Selection Sheet'!F263= "", VLOOKUP('Interactive Selection Sheet'!Q12, 'Master List Import'!$A$1:$P$519, 5, FALSE), ""), "")</f>
        <v/>
      </c>
      <c r="H535" s="69" t="str">
        <f>_xlfn.IFNA(IF('Interactive Selection Sheet'!F263= "", VLOOKUP('Interactive Selection Sheet'!Q12, 'Master List Import'!$A$1:$P$519, 6, FALSE), ""), "")</f>
        <v/>
      </c>
      <c r="I535" s="72" t="str">
        <f>_xlfn.IFNA(IF('Interactive Selection Sheet'!F263= "", VLOOKUP('Interactive Selection Sheet'!Q12, 'Master List Import'!$A$1:$P$519, 7, FALSE), ""), "")</f>
        <v/>
      </c>
      <c r="J535" s="69" t="str">
        <f>_xlfn.IFNA(IF('Interactive Selection Sheet'!F263= "", VLOOKUP('Interactive Selection Sheet'!Q12, 'Master List Import'!$A$1:$P$519, 8, FALSE), ""), "")</f>
        <v/>
      </c>
      <c r="K535" s="69" t="str">
        <f>_xlfn.IFNA(IF('Interactive Selection Sheet'!F263= "", VLOOKUP('Interactive Selection Sheet'!Q12, 'Master List Import'!$A$1:$P$519, 9, FALSE), ""), "")</f>
        <v/>
      </c>
      <c r="L535" s="69" t="str">
        <f>_xlfn.IFNA(IF('Interactive Selection Sheet'!F263= "", VLOOKUP('Interactive Selection Sheet'!Q12, 'Master List Import'!$A$1:$P$519, 10, FALSE), ""), "")</f>
        <v/>
      </c>
      <c r="M535" s="69" t="str">
        <f>_xlfn.IFNA(IF('Interactive Selection Sheet'!F263= "", VLOOKUP('Interactive Selection Sheet'!Q12, 'Master List Import'!$A$1:$P$519, 11, FALSE), ""), "")</f>
        <v/>
      </c>
      <c r="N535" s="69" t="str">
        <f>_xlfn.IFNA(IF('Interactive Selection Sheet'!F263= "", VLOOKUP('Interactive Selection Sheet'!Q12, 'Master List Import'!$A$1:$P$519, 12, FALSE), ""), "")</f>
        <v/>
      </c>
      <c r="O535" s="69" t="str">
        <f>_xlfn.IFNA(IF('Interactive Selection Sheet'!F263= "", VLOOKUP('Interactive Selection Sheet'!Q12, 'Master List Import'!$A$1:$P$519, 13, FALSE), ""), "")</f>
        <v/>
      </c>
      <c r="P535" s="69" t="str">
        <f>_xlfn.IFNA(IF('Interactive Selection Sheet'!F263= "", VLOOKUP('Interactive Selection Sheet'!Q12, 'Master List Import'!$A$1:$P$519, 14, FALSE), ""), "")</f>
        <v/>
      </c>
      <c r="Q535" s="69" t="str">
        <f>_xlfn.IFNA(IF('Interactive Selection Sheet'!F263= "", VLOOKUP('Interactive Selection Sheet'!Q12, 'Master List Import'!$A$1:$P$519, 15, FALSE), ""), "")</f>
        <v/>
      </c>
      <c r="R535" s="74" t="str">
        <f>_xlfn.IFNA(IF('Interactive Selection Sheet'!F263= "", VLOOKUP('Interactive Selection Sheet'!Q12, 'Master List Import'!$A$1:$P$519, 16, FALSE), ""), "")</f>
        <v/>
      </c>
    </row>
    <row r="536" spans="1:18" ht="21.75" customHeight="1" x14ac:dyDescent="0.25">
      <c r="A536" s="69" t="str">
        <f>_xlfn.IFNA(IF('Interactive Selection Sheet'!P13= "", VLOOKUP('Interactive Selection Sheet'!Q13, 'Master List Import'!$A$1:$P$519, 2, FALSE), ""), "")</f>
        <v/>
      </c>
      <c r="B536" s="69" t="str">
        <f>_xlfn.IFNA(IF('Interactive Selection Sheet'!P13= "", VLOOKUP('Interactive Selection Sheet'!Q13, 'Master List Import'!$A$1:$P$519, 3, FALSE), ""), "")</f>
        <v/>
      </c>
      <c r="C536" s="76" t="str">
        <f>IF('Interactive Selection Sheet'!$T$2="", "", IF(B536="","",'Interactive Selection Sheet'!$T$2))</f>
        <v/>
      </c>
      <c r="D536" s="70" t="str">
        <f>IF(B536 = "", "", 'Interactive Selection Sheet'!$P$2)</f>
        <v/>
      </c>
      <c r="E536" s="70" t="str">
        <f>IF(B536="","", 'Interactive Selection Sheet'!$R$2)</f>
        <v/>
      </c>
      <c r="F536" s="69" t="str">
        <f>_xlfn.IFNA(IF('Interactive Selection Sheet'!F264= "", VLOOKUP('Interactive Selection Sheet'!Q13, 'Master List Import'!$A$1:$P$519, 4, FALSE), ""), "")</f>
        <v/>
      </c>
      <c r="G536" s="69" t="str">
        <f>_xlfn.IFNA(IF('Interactive Selection Sheet'!F264= "", VLOOKUP('Interactive Selection Sheet'!Q13, 'Master List Import'!$A$1:$P$519, 5, FALSE), ""), "")</f>
        <v/>
      </c>
      <c r="H536" s="69" t="str">
        <f>_xlfn.IFNA(IF('Interactive Selection Sheet'!F264= "", VLOOKUP('Interactive Selection Sheet'!Q13, 'Master List Import'!$A$1:$P$519, 6, FALSE), ""), "")</f>
        <v/>
      </c>
      <c r="I536" s="72" t="str">
        <f>_xlfn.IFNA(IF('Interactive Selection Sheet'!F264= "", VLOOKUP('Interactive Selection Sheet'!Q13, 'Master List Import'!$A$1:$P$519, 7, FALSE), ""), "")</f>
        <v/>
      </c>
      <c r="J536" s="69" t="str">
        <f>_xlfn.IFNA(IF('Interactive Selection Sheet'!F264= "", VLOOKUP('Interactive Selection Sheet'!Q13, 'Master List Import'!$A$1:$P$519, 8, FALSE), ""), "")</f>
        <v/>
      </c>
      <c r="K536" s="69" t="str">
        <f>_xlfn.IFNA(IF('Interactive Selection Sheet'!F264= "", VLOOKUP('Interactive Selection Sheet'!Q13, 'Master List Import'!$A$1:$P$519, 9, FALSE), ""), "")</f>
        <v/>
      </c>
      <c r="L536" s="69" t="str">
        <f>_xlfn.IFNA(IF('Interactive Selection Sheet'!F264= "", VLOOKUP('Interactive Selection Sheet'!Q13, 'Master List Import'!$A$1:$P$519, 10, FALSE), ""), "")</f>
        <v/>
      </c>
      <c r="M536" s="69" t="str">
        <f>_xlfn.IFNA(IF('Interactive Selection Sheet'!F264= "", VLOOKUP('Interactive Selection Sheet'!Q13, 'Master List Import'!$A$1:$P$519, 11, FALSE), ""), "")</f>
        <v/>
      </c>
      <c r="N536" s="69" t="str">
        <f>_xlfn.IFNA(IF('Interactive Selection Sheet'!F264= "", VLOOKUP('Interactive Selection Sheet'!Q13, 'Master List Import'!$A$1:$P$519, 12, FALSE), ""), "")</f>
        <v/>
      </c>
      <c r="O536" s="69" t="str">
        <f>_xlfn.IFNA(IF('Interactive Selection Sheet'!F264= "", VLOOKUP('Interactive Selection Sheet'!Q13, 'Master List Import'!$A$1:$P$519, 13, FALSE), ""), "")</f>
        <v/>
      </c>
      <c r="P536" s="69" t="str">
        <f>_xlfn.IFNA(IF('Interactive Selection Sheet'!F264= "", VLOOKUP('Interactive Selection Sheet'!Q13, 'Master List Import'!$A$1:$P$519, 14, FALSE), ""), "")</f>
        <v/>
      </c>
      <c r="Q536" s="69" t="str">
        <f>_xlfn.IFNA(IF('Interactive Selection Sheet'!F264= "", VLOOKUP('Interactive Selection Sheet'!Q13, 'Master List Import'!$A$1:$P$519, 15, FALSE), ""), "")</f>
        <v/>
      </c>
      <c r="R536" s="74" t="str">
        <f>_xlfn.IFNA(IF('Interactive Selection Sheet'!F264= "", VLOOKUP('Interactive Selection Sheet'!Q13, 'Master List Import'!$A$1:$P$519, 16, FALSE), ""), "")</f>
        <v/>
      </c>
    </row>
    <row r="537" spans="1:18" ht="21.75" customHeight="1" x14ac:dyDescent="0.25">
      <c r="A537" s="69" t="str">
        <f>_xlfn.IFNA(IF('Interactive Selection Sheet'!P14= "", VLOOKUP('Interactive Selection Sheet'!Q14, 'Master List Import'!$A$1:$P$519, 2, FALSE), ""), "")</f>
        <v/>
      </c>
      <c r="B537" s="69" t="str">
        <f>_xlfn.IFNA(IF('Interactive Selection Sheet'!P14= "", VLOOKUP('Interactive Selection Sheet'!Q14, 'Master List Import'!$A$1:$P$519, 3, FALSE), ""), "")</f>
        <v/>
      </c>
      <c r="C537" s="76" t="str">
        <f>IF('Interactive Selection Sheet'!$T$2="", "", IF(B537="","",'Interactive Selection Sheet'!$T$2))</f>
        <v/>
      </c>
      <c r="D537" s="70" t="str">
        <f>IF(B537 = "", "", 'Interactive Selection Sheet'!$P$2)</f>
        <v/>
      </c>
      <c r="E537" s="70" t="str">
        <f>IF(B537="","", 'Interactive Selection Sheet'!$R$2)</f>
        <v/>
      </c>
      <c r="F537" s="69" t="str">
        <f>_xlfn.IFNA(IF('Interactive Selection Sheet'!F265= "", VLOOKUP('Interactive Selection Sheet'!Q14, 'Master List Import'!$A$1:$P$519, 4, FALSE), ""), "")</f>
        <v/>
      </c>
      <c r="G537" s="69" t="str">
        <f>_xlfn.IFNA(IF('Interactive Selection Sheet'!F265= "", VLOOKUP('Interactive Selection Sheet'!Q14, 'Master List Import'!$A$1:$P$519, 5, FALSE), ""), "")</f>
        <v/>
      </c>
      <c r="H537" s="69" t="str">
        <f>_xlfn.IFNA(IF('Interactive Selection Sheet'!F265= "", VLOOKUP('Interactive Selection Sheet'!Q14, 'Master List Import'!$A$1:$P$519, 6, FALSE), ""), "")</f>
        <v/>
      </c>
      <c r="I537" s="72" t="str">
        <f>_xlfn.IFNA(IF('Interactive Selection Sheet'!F265= "", VLOOKUP('Interactive Selection Sheet'!Q14, 'Master List Import'!$A$1:$P$519, 7, FALSE), ""), "")</f>
        <v/>
      </c>
      <c r="J537" s="69" t="str">
        <f>_xlfn.IFNA(IF('Interactive Selection Sheet'!F265= "", VLOOKUP('Interactive Selection Sheet'!Q14, 'Master List Import'!$A$1:$P$519, 8, FALSE), ""), "")</f>
        <v/>
      </c>
      <c r="K537" s="69" t="str">
        <f>_xlfn.IFNA(IF('Interactive Selection Sheet'!F265= "", VLOOKUP('Interactive Selection Sheet'!Q14, 'Master List Import'!$A$1:$P$519, 9, FALSE), ""), "")</f>
        <v/>
      </c>
      <c r="L537" s="69" t="str">
        <f>_xlfn.IFNA(IF('Interactive Selection Sheet'!F265= "", VLOOKUP('Interactive Selection Sheet'!Q14, 'Master List Import'!$A$1:$P$519, 10, FALSE), ""), "")</f>
        <v/>
      </c>
      <c r="M537" s="69" t="str">
        <f>_xlfn.IFNA(IF('Interactive Selection Sheet'!F265= "", VLOOKUP('Interactive Selection Sheet'!Q14, 'Master List Import'!$A$1:$P$519, 11, FALSE), ""), "")</f>
        <v/>
      </c>
      <c r="N537" s="69" t="str">
        <f>_xlfn.IFNA(IF('Interactive Selection Sheet'!F265= "", VLOOKUP('Interactive Selection Sheet'!Q14, 'Master List Import'!$A$1:$P$519, 12, FALSE), ""), "")</f>
        <v/>
      </c>
      <c r="O537" s="69" t="str">
        <f>_xlfn.IFNA(IF('Interactive Selection Sheet'!F265= "", VLOOKUP('Interactive Selection Sheet'!Q14, 'Master List Import'!$A$1:$P$519, 13, FALSE), ""), "")</f>
        <v/>
      </c>
      <c r="P537" s="69" t="str">
        <f>_xlfn.IFNA(IF('Interactive Selection Sheet'!F265= "", VLOOKUP('Interactive Selection Sheet'!Q14, 'Master List Import'!$A$1:$P$519, 14, FALSE), ""), "")</f>
        <v/>
      </c>
      <c r="Q537" s="69" t="str">
        <f>_xlfn.IFNA(IF('Interactive Selection Sheet'!F265= "", VLOOKUP('Interactive Selection Sheet'!Q14, 'Master List Import'!$A$1:$P$519, 15, FALSE), ""), "")</f>
        <v/>
      </c>
      <c r="R537" s="74" t="str">
        <f>_xlfn.IFNA(IF('Interactive Selection Sheet'!F265= "", VLOOKUP('Interactive Selection Sheet'!Q14, 'Master List Import'!$A$1:$P$519, 16, FALSE), ""), "")</f>
        <v/>
      </c>
    </row>
  </sheetData>
  <sheetProtection sort="0"/>
  <autoFilter ref="A1:R526" xr:uid="{70EF3902-A0D6-4B1D-8FB1-1185576CAF97}"/>
  <sortState xmlns:xlrd2="http://schemas.microsoft.com/office/spreadsheetml/2017/richdata2" ref="A2:R538">
    <sortCondition ref="A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980DE-EBA0-40C9-88C1-E49CEDD18DAE}">
  <dimension ref="A1:R519"/>
  <sheetViews>
    <sheetView topLeftCell="A506" workbookViewId="0">
      <selection activeCell="F528" sqref="F528"/>
    </sheetView>
  </sheetViews>
  <sheetFormatPr defaultRowHeight="15" x14ac:dyDescent="0.25"/>
  <cols>
    <col min="1" max="1" width="9.7109375" bestFit="1" customWidth="1"/>
    <col min="2" max="2" width="9.28515625" bestFit="1" customWidth="1"/>
    <col min="3" max="3" width="65.42578125" bestFit="1" customWidth="1"/>
    <col min="4" max="5" width="29" bestFit="1" customWidth="1"/>
    <col min="6" max="6" width="10" bestFit="1" customWidth="1"/>
    <col min="7" max="7" width="11" bestFit="1" customWidth="1"/>
    <col min="8" max="8" width="26.85546875" bestFit="1" customWidth="1"/>
    <col min="9" max="9" width="20.85546875" bestFit="1" customWidth="1"/>
    <col min="10" max="10" width="10.42578125" bestFit="1" customWidth="1"/>
    <col min="11" max="11" width="10.7109375" bestFit="1" customWidth="1"/>
    <col min="12" max="12" width="11" bestFit="1" customWidth="1"/>
    <col min="13" max="13" width="12.28515625" bestFit="1" customWidth="1"/>
    <col min="14" max="14" width="39.7109375" bestFit="1" customWidth="1"/>
    <col min="15" max="15" width="12.28515625" bestFit="1" customWidth="1"/>
    <col min="16" max="16" width="12.140625" style="82" bestFit="1" customWidth="1"/>
    <col min="17" max="18" width="11.140625" bestFit="1" customWidth="1"/>
  </cols>
  <sheetData>
    <row r="1" spans="1:18" x14ac:dyDescent="0.25">
      <c r="A1" s="78" t="s">
        <v>646</v>
      </c>
      <c r="B1" s="78" t="s">
        <v>647</v>
      </c>
      <c r="C1" s="78" t="s">
        <v>622</v>
      </c>
      <c r="D1" s="78" t="s">
        <v>648</v>
      </c>
      <c r="E1" s="78" t="s">
        <v>649</v>
      </c>
      <c r="F1" s="78" t="s">
        <v>650</v>
      </c>
      <c r="G1" s="78" t="s">
        <v>651</v>
      </c>
      <c r="H1" s="78" t="s">
        <v>652</v>
      </c>
      <c r="I1" s="78" t="s">
        <v>653</v>
      </c>
      <c r="J1" s="78" t="s">
        <v>654</v>
      </c>
      <c r="K1" s="78" t="s">
        <v>655</v>
      </c>
      <c r="L1" s="78" t="s">
        <v>656</v>
      </c>
      <c r="M1" s="78" t="s">
        <v>657</v>
      </c>
      <c r="N1" s="78" t="s">
        <v>658</v>
      </c>
      <c r="O1" s="78" t="s">
        <v>659</v>
      </c>
      <c r="P1" s="82" t="s">
        <v>1808</v>
      </c>
      <c r="Q1" t="s">
        <v>1832</v>
      </c>
      <c r="R1" t="s">
        <v>1833</v>
      </c>
    </row>
    <row r="2" spans="1:18" x14ac:dyDescent="0.25">
      <c r="A2" s="78">
        <v>1001</v>
      </c>
      <c r="B2" s="78">
        <v>1001</v>
      </c>
      <c r="C2" s="78" t="s">
        <v>7</v>
      </c>
      <c r="D2" s="78" t="s">
        <v>660</v>
      </c>
      <c r="E2" s="78" t="s">
        <v>660</v>
      </c>
      <c r="F2" s="78" t="s">
        <v>661</v>
      </c>
      <c r="G2" s="78">
        <v>4.96</v>
      </c>
      <c r="H2" s="78" t="s">
        <v>662</v>
      </c>
      <c r="I2" s="78" t="s">
        <v>663</v>
      </c>
      <c r="J2" s="78">
        <v>0</v>
      </c>
      <c r="K2" s="78">
        <v>0</v>
      </c>
      <c r="L2" s="78">
        <v>1</v>
      </c>
      <c r="M2" s="78">
        <v>1001</v>
      </c>
      <c r="N2" s="78" t="s">
        <v>664</v>
      </c>
      <c r="O2" s="78">
        <v>1</v>
      </c>
      <c r="P2" s="82">
        <v>17.399999999999999</v>
      </c>
    </row>
    <row r="3" spans="1:18" x14ac:dyDescent="0.25">
      <c r="A3" s="78">
        <v>1002</v>
      </c>
      <c r="B3" s="78">
        <v>1002</v>
      </c>
      <c r="C3" s="78" t="s">
        <v>10</v>
      </c>
      <c r="D3" s="78" t="s">
        <v>660</v>
      </c>
      <c r="E3" s="78" t="s">
        <v>660</v>
      </c>
      <c r="F3" s="78" t="s">
        <v>661</v>
      </c>
      <c r="G3" s="78">
        <v>4.96</v>
      </c>
      <c r="H3" s="78" t="s">
        <v>662</v>
      </c>
      <c r="I3" s="78" t="s">
        <v>665</v>
      </c>
      <c r="J3" s="78">
        <v>0</v>
      </c>
      <c r="K3" s="78">
        <v>0</v>
      </c>
      <c r="L3" s="78">
        <v>1</v>
      </c>
      <c r="M3" s="78">
        <v>1002</v>
      </c>
      <c r="N3" s="78" t="s">
        <v>666</v>
      </c>
      <c r="O3" s="78">
        <v>1</v>
      </c>
      <c r="P3" s="82">
        <v>17.399999999999999</v>
      </c>
    </row>
    <row r="4" spans="1:18" x14ac:dyDescent="0.25">
      <c r="A4" s="78">
        <v>1003</v>
      </c>
      <c r="B4" s="78">
        <v>1003</v>
      </c>
      <c r="C4" s="78" t="s">
        <v>13</v>
      </c>
      <c r="D4" s="78" t="s">
        <v>660</v>
      </c>
      <c r="E4" s="78" t="s">
        <v>660</v>
      </c>
      <c r="F4" s="78" t="s">
        <v>661</v>
      </c>
      <c r="G4" s="78">
        <v>4.96</v>
      </c>
      <c r="H4" s="78" t="s">
        <v>662</v>
      </c>
      <c r="I4" s="78" t="s">
        <v>667</v>
      </c>
      <c r="J4" s="78">
        <v>0</v>
      </c>
      <c r="K4" s="78">
        <v>0</v>
      </c>
      <c r="L4" s="78">
        <v>1</v>
      </c>
      <c r="M4" s="78">
        <v>1003</v>
      </c>
      <c r="N4" s="78" t="s">
        <v>668</v>
      </c>
      <c r="O4" s="78">
        <v>1</v>
      </c>
      <c r="P4" s="82">
        <v>17.399999999999999</v>
      </c>
    </row>
    <row r="5" spans="1:18" x14ac:dyDescent="0.25">
      <c r="A5" s="78">
        <v>1004</v>
      </c>
      <c r="B5" s="78">
        <v>1004</v>
      </c>
      <c r="C5" s="78" t="s">
        <v>16</v>
      </c>
      <c r="D5" s="78" t="s">
        <v>660</v>
      </c>
      <c r="E5" s="78" t="s">
        <v>660</v>
      </c>
      <c r="F5" s="78" t="s">
        <v>661</v>
      </c>
      <c r="G5" s="78">
        <v>4.96</v>
      </c>
      <c r="H5" s="78" t="s">
        <v>662</v>
      </c>
      <c r="I5" s="78" t="s">
        <v>669</v>
      </c>
      <c r="J5" s="78">
        <v>0</v>
      </c>
      <c r="K5" s="78">
        <v>0</v>
      </c>
      <c r="L5" s="78">
        <v>1</v>
      </c>
      <c r="M5" s="78">
        <v>1004</v>
      </c>
      <c r="N5" s="78" t="s">
        <v>670</v>
      </c>
      <c r="O5" s="78">
        <v>1</v>
      </c>
      <c r="P5" s="82">
        <v>17.399999999999999</v>
      </c>
    </row>
    <row r="6" spans="1:18" x14ac:dyDescent="0.25">
      <c r="A6" s="78">
        <v>1005</v>
      </c>
      <c r="B6" s="78">
        <v>1005</v>
      </c>
      <c r="C6" s="78" t="s">
        <v>19</v>
      </c>
      <c r="D6" s="78" t="s">
        <v>660</v>
      </c>
      <c r="E6" s="78" t="s">
        <v>660</v>
      </c>
      <c r="F6" s="78" t="s">
        <v>661</v>
      </c>
      <c r="G6" s="78">
        <v>5.84</v>
      </c>
      <c r="H6" s="78" t="s">
        <v>662</v>
      </c>
      <c r="I6" s="78" t="s">
        <v>671</v>
      </c>
      <c r="J6" s="78">
        <v>0</v>
      </c>
      <c r="K6" s="78">
        <v>0</v>
      </c>
      <c r="L6" s="78">
        <v>1</v>
      </c>
      <c r="M6" s="78">
        <v>1005</v>
      </c>
      <c r="N6" s="78" t="s">
        <v>672</v>
      </c>
      <c r="O6" s="78">
        <v>1</v>
      </c>
      <c r="P6" s="82">
        <v>20.399999999999999</v>
      </c>
    </row>
    <row r="7" spans="1:18" x14ac:dyDescent="0.25">
      <c r="A7" s="78">
        <v>1006</v>
      </c>
      <c r="B7" s="78">
        <v>1006</v>
      </c>
      <c r="C7" s="78" t="s">
        <v>22</v>
      </c>
      <c r="D7" s="78" t="s">
        <v>660</v>
      </c>
      <c r="E7" s="78" t="s">
        <v>660</v>
      </c>
      <c r="F7" s="78" t="s">
        <v>661</v>
      </c>
      <c r="G7" s="78">
        <v>6.24</v>
      </c>
      <c r="H7" s="78" t="s">
        <v>662</v>
      </c>
      <c r="I7" s="78" t="s">
        <v>673</v>
      </c>
      <c r="J7" s="78">
        <v>0</v>
      </c>
      <c r="K7" s="78">
        <v>0</v>
      </c>
      <c r="L7" s="78">
        <v>1</v>
      </c>
      <c r="M7" s="78">
        <v>1006</v>
      </c>
      <c r="N7" s="78" t="s">
        <v>674</v>
      </c>
      <c r="O7" s="78">
        <v>1</v>
      </c>
      <c r="P7" s="82">
        <v>21.8</v>
      </c>
    </row>
    <row r="8" spans="1:18" x14ac:dyDescent="0.25">
      <c r="A8" s="78">
        <v>1007</v>
      </c>
      <c r="B8" s="78">
        <v>1007</v>
      </c>
      <c r="C8" s="78" t="s">
        <v>25</v>
      </c>
      <c r="D8" s="78" t="s">
        <v>660</v>
      </c>
      <c r="E8" s="78" t="s">
        <v>660</v>
      </c>
      <c r="F8" s="78" t="s">
        <v>661</v>
      </c>
      <c r="G8" s="78">
        <v>6.64</v>
      </c>
      <c r="H8" s="78" t="s">
        <v>662</v>
      </c>
      <c r="I8" s="78" t="s">
        <v>675</v>
      </c>
      <c r="J8" s="78">
        <v>0</v>
      </c>
      <c r="K8" s="78">
        <v>0</v>
      </c>
      <c r="L8" s="78">
        <v>1</v>
      </c>
      <c r="M8" s="78">
        <v>1007</v>
      </c>
      <c r="N8" s="78" t="s">
        <v>676</v>
      </c>
      <c r="O8" s="78">
        <v>1</v>
      </c>
      <c r="P8" s="82">
        <v>23.2</v>
      </c>
    </row>
    <row r="9" spans="1:18" x14ac:dyDescent="0.25">
      <c r="A9" s="78">
        <v>1008</v>
      </c>
      <c r="B9" s="78">
        <v>1008</v>
      </c>
      <c r="C9" s="78" t="s">
        <v>28</v>
      </c>
      <c r="D9" s="78" t="s">
        <v>660</v>
      </c>
      <c r="E9" s="78" t="s">
        <v>660</v>
      </c>
      <c r="F9" s="78" t="s">
        <v>661</v>
      </c>
      <c r="G9" s="78">
        <v>7.2</v>
      </c>
      <c r="H9" s="78" t="s">
        <v>662</v>
      </c>
      <c r="I9" s="78" t="s">
        <v>677</v>
      </c>
      <c r="J9" s="78">
        <v>0</v>
      </c>
      <c r="K9" s="78">
        <v>0</v>
      </c>
      <c r="L9" s="78">
        <v>1</v>
      </c>
      <c r="M9" s="78">
        <v>1008</v>
      </c>
      <c r="N9" s="78" t="s">
        <v>678</v>
      </c>
      <c r="O9" s="78">
        <v>1</v>
      </c>
      <c r="P9" s="82">
        <v>25.2</v>
      </c>
    </row>
    <row r="10" spans="1:18" x14ac:dyDescent="0.25">
      <c r="A10" s="78">
        <v>1021</v>
      </c>
      <c r="B10" s="78">
        <v>1021</v>
      </c>
      <c r="C10" s="78" t="s">
        <v>5</v>
      </c>
      <c r="D10" s="78" t="s">
        <v>660</v>
      </c>
      <c r="E10" s="78" t="s">
        <v>660</v>
      </c>
      <c r="F10" s="78" t="s">
        <v>661</v>
      </c>
      <c r="G10" s="78">
        <v>2.48</v>
      </c>
      <c r="H10" s="78" t="s">
        <v>662</v>
      </c>
      <c r="I10" s="78" t="s">
        <v>679</v>
      </c>
      <c r="J10" s="78">
        <v>0</v>
      </c>
      <c r="K10" s="78">
        <v>0</v>
      </c>
      <c r="L10" s="78">
        <v>1</v>
      </c>
      <c r="M10" s="78">
        <v>1021</v>
      </c>
      <c r="N10" s="78" t="s">
        <v>680</v>
      </c>
      <c r="O10" s="78">
        <v>1</v>
      </c>
      <c r="P10" s="82">
        <v>8.6999999999999993</v>
      </c>
    </row>
    <row r="11" spans="1:18" x14ac:dyDescent="0.25">
      <c r="A11" s="78">
        <v>1022</v>
      </c>
      <c r="B11" s="78">
        <v>1022</v>
      </c>
      <c r="C11" s="78" t="s">
        <v>8</v>
      </c>
      <c r="D11" s="78" t="s">
        <v>660</v>
      </c>
      <c r="E11" s="78" t="s">
        <v>660</v>
      </c>
      <c r="F11" s="78" t="s">
        <v>661</v>
      </c>
      <c r="G11" s="78">
        <v>2.48</v>
      </c>
      <c r="H11" s="78" t="s">
        <v>662</v>
      </c>
      <c r="I11" s="78" t="s">
        <v>681</v>
      </c>
      <c r="J11" s="78">
        <v>0</v>
      </c>
      <c r="K11" s="78">
        <v>0</v>
      </c>
      <c r="L11" s="78">
        <v>1</v>
      </c>
      <c r="M11" s="78">
        <v>1022</v>
      </c>
      <c r="N11" s="78" t="s">
        <v>682</v>
      </c>
      <c r="O11" s="78">
        <v>1</v>
      </c>
      <c r="P11" s="82">
        <v>8.6999999999999993</v>
      </c>
    </row>
    <row r="12" spans="1:18" x14ac:dyDescent="0.25">
      <c r="A12" s="78">
        <v>1023</v>
      </c>
      <c r="B12" s="78">
        <v>1023</v>
      </c>
      <c r="C12" s="78" t="s">
        <v>11</v>
      </c>
      <c r="D12" s="78" t="s">
        <v>660</v>
      </c>
      <c r="E12" s="78" t="s">
        <v>660</v>
      </c>
      <c r="F12" s="78" t="s">
        <v>661</v>
      </c>
      <c r="G12" s="78">
        <v>2.48</v>
      </c>
      <c r="H12" s="78" t="s">
        <v>662</v>
      </c>
      <c r="I12" s="78" t="s">
        <v>683</v>
      </c>
      <c r="J12" s="78">
        <v>0</v>
      </c>
      <c r="K12" s="78">
        <v>0</v>
      </c>
      <c r="L12" s="78">
        <v>1</v>
      </c>
      <c r="M12" s="78">
        <v>1023</v>
      </c>
      <c r="N12" s="78" t="s">
        <v>684</v>
      </c>
      <c r="O12" s="78">
        <v>1</v>
      </c>
      <c r="P12" s="82">
        <v>8.6999999999999993</v>
      </c>
    </row>
    <row r="13" spans="1:18" x14ac:dyDescent="0.25">
      <c r="A13">
        <v>1024</v>
      </c>
      <c r="B13">
        <v>1024</v>
      </c>
      <c r="C13" s="78" t="s">
        <v>14</v>
      </c>
      <c r="D13" s="78" t="s">
        <v>660</v>
      </c>
      <c r="E13" s="78" t="s">
        <v>660</v>
      </c>
      <c r="F13" s="78" t="s">
        <v>661</v>
      </c>
      <c r="G13">
        <v>2.48</v>
      </c>
      <c r="H13" s="78" t="s">
        <v>662</v>
      </c>
      <c r="I13" s="78" t="s">
        <v>685</v>
      </c>
      <c r="J13">
        <v>0</v>
      </c>
      <c r="K13">
        <v>0</v>
      </c>
      <c r="L13">
        <v>1</v>
      </c>
      <c r="M13">
        <v>1024</v>
      </c>
      <c r="N13" s="78" t="s">
        <v>686</v>
      </c>
      <c r="O13">
        <v>1</v>
      </c>
      <c r="P13" s="82">
        <v>8.6999999999999993</v>
      </c>
    </row>
    <row r="14" spans="1:18" x14ac:dyDescent="0.25">
      <c r="A14">
        <v>1025</v>
      </c>
      <c r="B14">
        <v>1025</v>
      </c>
      <c r="C14" s="78" t="s">
        <v>17</v>
      </c>
      <c r="D14" s="78" t="s">
        <v>660</v>
      </c>
      <c r="E14" s="78" t="s">
        <v>660</v>
      </c>
      <c r="F14" s="78" t="s">
        <v>661</v>
      </c>
      <c r="G14">
        <v>2.92</v>
      </c>
      <c r="H14" s="78" t="s">
        <v>662</v>
      </c>
      <c r="I14" s="78" t="s">
        <v>687</v>
      </c>
      <c r="J14">
        <v>0</v>
      </c>
      <c r="K14">
        <v>0</v>
      </c>
      <c r="L14">
        <v>1</v>
      </c>
      <c r="M14">
        <v>1025</v>
      </c>
      <c r="N14" s="78" t="s">
        <v>688</v>
      </c>
      <c r="O14">
        <v>1</v>
      </c>
      <c r="P14" s="82">
        <v>10.199999999999999</v>
      </c>
    </row>
    <row r="15" spans="1:18" x14ac:dyDescent="0.25">
      <c r="A15">
        <v>1026</v>
      </c>
      <c r="B15">
        <v>1026</v>
      </c>
      <c r="C15" s="78" t="s">
        <v>20</v>
      </c>
      <c r="D15" s="78" t="s">
        <v>660</v>
      </c>
      <c r="E15" s="78" t="s">
        <v>660</v>
      </c>
      <c r="F15" s="78" t="s">
        <v>661</v>
      </c>
      <c r="G15">
        <v>3.12</v>
      </c>
      <c r="H15" s="78" t="s">
        <v>662</v>
      </c>
      <c r="I15" s="78" t="s">
        <v>689</v>
      </c>
      <c r="J15">
        <v>0</v>
      </c>
      <c r="K15">
        <v>0</v>
      </c>
      <c r="L15">
        <v>1</v>
      </c>
      <c r="M15">
        <v>1026</v>
      </c>
      <c r="N15" s="78" t="s">
        <v>690</v>
      </c>
      <c r="O15">
        <v>1</v>
      </c>
      <c r="P15" s="82">
        <v>10.9</v>
      </c>
    </row>
    <row r="16" spans="1:18" x14ac:dyDescent="0.25">
      <c r="A16">
        <v>1027</v>
      </c>
      <c r="B16">
        <v>1027</v>
      </c>
      <c r="C16" s="78" t="s">
        <v>23</v>
      </c>
      <c r="D16" s="78" t="s">
        <v>660</v>
      </c>
      <c r="E16" s="78" t="s">
        <v>660</v>
      </c>
      <c r="F16" s="78" t="s">
        <v>661</v>
      </c>
      <c r="G16">
        <v>3.32</v>
      </c>
      <c r="H16" s="78" t="s">
        <v>662</v>
      </c>
      <c r="I16" s="78" t="s">
        <v>691</v>
      </c>
      <c r="J16">
        <v>0</v>
      </c>
      <c r="K16">
        <v>0</v>
      </c>
      <c r="L16">
        <v>1</v>
      </c>
      <c r="M16">
        <v>1027</v>
      </c>
      <c r="N16" s="78" t="s">
        <v>692</v>
      </c>
      <c r="O16">
        <v>1</v>
      </c>
      <c r="P16" s="82">
        <v>11.6</v>
      </c>
    </row>
    <row r="17" spans="1:16" x14ac:dyDescent="0.25">
      <c r="A17">
        <v>1028</v>
      </c>
      <c r="B17">
        <v>1028</v>
      </c>
      <c r="C17" s="78" t="s">
        <v>26</v>
      </c>
      <c r="D17" s="78" t="s">
        <v>660</v>
      </c>
      <c r="E17" s="78" t="s">
        <v>660</v>
      </c>
      <c r="F17" s="78" t="s">
        <v>661</v>
      </c>
      <c r="G17">
        <v>3.6</v>
      </c>
      <c r="H17" s="78" t="s">
        <v>662</v>
      </c>
      <c r="I17" s="78" t="s">
        <v>693</v>
      </c>
      <c r="J17">
        <v>0</v>
      </c>
      <c r="K17">
        <v>0</v>
      </c>
      <c r="L17">
        <v>1</v>
      </c>
      <c r="M17">
        <v>1028</v>
      </c>
      <c r="N17" s="78" t="s">
        <v>694</v>
      </c>
      <c r="O17">
        <v>1</v>
      </c>
      <c r="P17" s="82">
        <v>12.6</v>
      </c>
    </row>
    <row r="18" spans="1:16" x14ac:dyDescent="0.25">
      <c r="A18">
        <v>1041</v>
      </c>
      <c r="B18">
        <v>1041</v>
      </c>
      <c r="C18" s="78" t="s">
        <v>6</v>
      </c>
      <c r="D18" s="78" t="s">
        <v>660</v>
      </c>
      <c r="E18" s="78" t="s">
        <v>660</v>
      </c>
      <c r="F18" s="78" t="s">
        <v>661</v>
      </c>
      <c r="G18">
        <v>2.48</v>
      </c>
      <c r="H18" s="78" t="s">
        <v>662</v>
      </c>
      <c r="I18" s="78" t="s">
        <v>695</v>
      </c>
      <c r="J18">
        <v>0</v>
      </c>
      <c r="K18">
        <v>0</v>
      </c>
      <c r="L18">
        <v>1</v>
      </c>
      <c r="M18">
        <v>1041</v>
      </c>
      <c r="N18" s="78" t="s">
        <v>696</v>
      </c>
      <c r="O18">
        <v>1</v>
      </c>
      <c r="P18" s="82">
        <v>8.6999999999999993</v>
      </c>
    </row>
    <row r="19" spans="1:16" x14ac:dyDescent="0.25">
      <c r="A19">
        <v>1042</v>
      </c>
      <c r="B19">
        <v>1042</v>
      </c>
      <c r="C19" s="78" t="s">
        <v>9</v>
      </c>
      <c r="D19" s="78" t="s">
        <v>660</v>
      </c>
      <c r="E19" s="78" t="s">
        <v>660</v>
      </c>
      <c r="F19" s="78" t="s">
        <v>661</v>
      </c>
      <c r="G19">
        <v>2.48</v>
      </c>
      <c r="H19" s="78" t="s">
        <v>662</v>
      </c>
      <c r="I19" s="78" t="s">
        <v>697</v>
      </c>
      <c r="J19">
        <v>0</v>
      </c>
      <c r="K19">
        <v>0</v>
      </c>
      <c r="L19">
        <v>1</v>
      </c>
      <c r="M19">
        <v>1042</v>
      </c>
      <c r="N19" s="78" t="s">
        <v>698</v>
      </c>
      <c r="O19">
        <v>1</v>
      </c>
      <c r="P19" s="82">
        <v>8.6999999999999993</v>
      </c>
    </row>
    <row r="20" spans="1:16" x14ac:dyDescent="0.25">
      <c r="A20">
        <v>1043</v>
      </c>
      <c r="B20">
        <v>1043</v>
      </c>
      <c r="C20" s="78" t="s">
        <v>12</v>
      </c>
      <c r="D20" s="78" t="s">
        <v>660</v>
      </c>
      <c r="E20" s="78" t="s">
        <v>660</v>
      </c>
      <c r="F20" s="78" t="s">
        <v>661</v>
      </c>
      <c r="G20">
        <v>2.48</v>
      </c>
      <c r="H20" s="78" t="s">
        <v>662</v>
      </c>
      <c r="I20" s="78" t="s">
        <v>699</v>
      </c>
      <c r="J20">
        <v>0</v>
      </c>
      <c r="K20">
        <v>0</v>
      </c>
      <c r="L20">
        <v>1</v>
      </c>
      <c r="M20">
        <v>1043</v>
      </c>
      <c r="N20" s="78" t="s">
        <v>700</v>
      </c>
      <c r="O20">
        <v>1</v>
      </c>
      <c r="P20" s="82">
        <v>8.6999999999999993</v>
      </c>
    </row>
    <row r="21" spans="1:16" x14ac:dyDescent="0.25">
      <c r="A21">
        <v>1044</v>
      </c>
      <c r="B21">
        <v>1044</v>
      </c>
      <c r="C21" s="78" t="s">
        <v>15</v>
      </c>
      <c r="D21" s="78" t="s">
        <v>660</v>
      </c>
      <c r="E21" s="78" t="s">
        <v>660</v>
      </c>
      <c r="F21" s="78" t="s">
        <v>661</v>
      </c>
      <c r="G21">
        <v>2.48</v>
      </c>
      <c r="H21" s="78" t="s">
        <v>662</v>
      </c>
      <c r="I21" s="78" t="s">
        <v>701</v>
      </c>
      <c r="J21">
        <v>0</v>
      </c>
      <c r="K21">
        <v>0</v>
      </c>
      <c r="L21">
        <v>1</v>
      </c>
      <c r="M21">
        <v>1044</v>
      </c>
      <c r="N21" s="78" t="s">
        <v>702</v>
      </c>
      <c r="O21">
        <v>1</v>
      </c>
      <c r="P21" s="82">
        <v>8.6999999999999993</v>
      </c>
    </row>
    <row r="22" spans="1:16" x14ac:dyDescent="0.25">
      <c r="A22">
        <v>1045</v>
      </c>
      <c r="B22">
        <v>1045</v>
      </c>
      <c r="C22" s="78" t="s">
        <v>18</v>
      </c>
      <c r="D22" s="78" t="s">
        <v>660</v>
      </c>
      <c r="E22" s="78" t="s">
        <v>660</v>
      </c>
      <c r="F22" s="78" t="s">
        <v>661</v>
      </c>
      <c r="G22">
        <v>2.92</v>
      </c>
      <c r="H22" s="78" t="s">
        <v>662</v>
      </c>
      <c r="I22" s="78" t="s">
        <v>703</v>
      </c>
      <c r="J22">
        <v>0</v>
      </c>
      <c r="K22">
        <v>0</v>
      </c>
      <c r="L22">
        <v>1</v>
      </c>
      <c r="M22">
        <v>1045</v>
      </c>
      <c r="N22" s="78" t="s">
        <v>704</v>
      </c>
      <c r="O22">
        <v>1</v>
      </c>
      <c r="P22" s="82">
        <v>10.199999999999999</v>
      </c>
    </row>
    <row r="23" spans="1:16" x14ac:dyDescent="0.25">
      <c r="A23">
        <v>1046</v>
      </c>
      <c r="B23">
        <v>1046</v>
      </c>
      <c r="C23" s="78" t="s">
        <v>21</v>
      </c>
      <c r="D23" s="78" t="s">
        <v>660</v>
      </c>
      <c r="E23" s="78" t="s">
        <v>660</v>
      </c>
      <c r="F23" s="78" t="s">
        <v>661</v>
      </c>
      <c r="G23">
        <v>3.12</v>
      </c>
      <c r="H23" s="78" t="s">
        <v>662</v>
      </c>
      <c r="I23" s="78" t="s">
        <v>705</v>
      </c>
      <c r="J23">
        <v>0</v>
      </c>
      <c r="K23">
        <v>0</v>
      </c>
      <c r="L23">
        <v>1</v>
      </c>
      <c r="M23">
        <v>1046</v>
      </c>
      <c r="N23" s="78" t="s">
        <v>706</v>
      </c>
      <c r="O23">
        <v>1</v>
      </c>
      <c r="P23" s="82">
        <v>10.9</v>
      </c>
    </row>
    <row r="24" spans="1:16" x14ac:dyDescent="0.25">
      <c r="A24">
        <v>1047</v>
      </c>
      <c r="B24">
        <v>1047</v>
      </c>
      <c r="C24" s="78" t="s">
        <v>24</v>
      </c>
      <c r="D24" s="78" t="s">
        <v>660</v>
      </c>
      <c r="E24" s="78" t="s">
        <v>660</v>
      </c>
      <c r="F24" s="78" t="s">
        <v>661</v>
      </c>
      <c r="G24">
        <v>3.32</v>
      </c>
      <c r="H24" s="78" t="s">
        <v>662</v>
      </c>
      <c r="I24" s="78" t="s">
        <v>707</v>
      </c>
      <c r="J24">
        <v>0</v>
      </c>
      <c r="K24">
        <v>0</v>
      </c>
      <c r="L24">
        <v>1</v>
      </c>
      <c r="M24">
        <v>1047</v>
      </c>
      <c r="N24" s="78" t="s">
        <v>708</v>
      </c>
      <c r="O24">
        <v>1</v>
      </c>
      <c r="P24" s="82">
        <v>11.6</v>
      </c>
    </row>
    <row r="25" spans="1:16" x14ac:dyDescent="0.25">
      <c r="A25">
        <v>1048</v>
      </c>
      <c r="B25">
        <v>1048</v>
      </c>
      <c r="C25" s="78" t="s">
        <v>27</v>
      </c>
      <c r="D25" s="78" t="s">
        <v>660</v>
      </c>
      <c r="E25" s="78" t="s">
        <v>660</v>
      </c>
      <c r="F25" s="78" t="s">
        <v>661</v>
      </c>
      <c r="G25">
        <v>3.6</v>
      </c>
      <c r="H25" s="78" t="s">
        <v>662</v>
      </c>
      <c r="I25" s="78" t="s">
        <v>709</v>
      </c>
      <c r="J25">
        <v>0</v>
      </c>
      <c r="K25">
        <v>0</v>
      </c>
      <c r="L25">
        <v>1</v>
      </c>
      <c r="M25">
        <v>1048</v>
      </c>
      <c r="N25" s="78" t="s">
        <v>710</v>
      </c>
      <c r="O25">
        <v>1</v>
      </c>
      <c r="P25" s="82">
        <v>12.6</v>
      </c>
    </row>
    <row r="26" spans="1:16" x14ac:dyDescent="0.25">
      <c r="A26">
        <v>1061</v>
      </c>
      <c r="B26">
        <v>1061</v>
      </c>
      <c r="C26" s="78" t="s">
        <v>711</v>
      </c>
      <c r="D26" s="78" t="s">
        <v>660</v>
      </c>
      <c r="E26" s="78" t="s">
        <v>660</v>
      </c>
      <c r="F26" s="78" t="s">
        <v>661</v>
      </c>
      <c r="G26">
        <v>6.75</v>
      </c>
      <c r="H26" s="78" t="s">
        <v>662</v>
      </c>
      <c r="I26" s="78" t="s">
        <v>712</v>
      </c>
      <c r="J26">
        <v>0</v>
      </c>
      <c r="K26">
        <v>0</v>
      </c>
      <c r="L26">
        <v>1</v>
      </c>
      <c r="M26">
        <v>1061</v>
      </c>
      <c r="N26" s="78" t="s">
        <v>713</v>
      </c>
      <c r="O26">
        <v>1</v>
      </c>
      <c r="P26" s="82">
        <v>21</v>
      </c>
    </row>
    <row r="27" spans="1:16" x14ac:dyDescent="0.25">
      <c r="A27">
        <v>1062</v>
      </c>
      <c r="B27">
        <v>1062</v>
      </c>
      <c r="C27" s="78" t="s">
        <v>714</v>
      </c>
      <c r="D27" s="78" t="s">
        <v>660</v>
      </c>
      <c r="E27" s="78" t="s">
        <v>660</v>
      </c>
      <c r="F27" s="78" t="s">
        <v>661</v>
      </c>
      <c r="G27">
        <v>6.75</v>
      </c>
      <c r="H27" s="78" t="s">
        <v>662</v>
      </c>
      <c r="I27" s="78" t="s">
        <v>715</v>
      </c>
      <c r="J27">
        <v>0</v>
      </c>
      <c r="K27">
        <v>0</v>
      </c>
      <c r="L27">
        <v>1</v>
      </c>
      <c r="M27">
        <v>1062</v>
      </c>
      <c r="N27" s="78" t="s">
        <v>716</v>
      </c>
      <c r="O27">
        <v>1</v>
      </c>
      <c r="P27" s="82">
        <v>21</v>
      </c>
    </row>
    <row r="28" spans="1:16" x14ac:dyDescent="0.25">
      <c r="A28">
        <v>1063</v>
      </c>
      <c r="B28">
        <v>1063</v>
      </c>
      <c r="C28" s="78" t="s">
        <v>717</v>
      </c>
      <c r="D28" s="78" t="s">
        <v>660</v>
      </c>
      <c r="E28" s="78" t="s">
        <v>660</v>
      </c>
      <c r="F28" s="78" t="s">
        <v>661</v>
      </c>
      <c r="G28">
        <v>6.75</v>
      </c>
      <c r="H28" s="78" t="s">
        <v>662</v>
      </c>
      <c r="I28" s="78" t="s">
        <v>718</v>
      </c>
      <c r="J28">
        <v>0</v>
      </c>
      <c r="K28">
        <v>0</v>
      </c>
      <c r="L28">
        <v>1</v>
      </c>
      <c r="M28">
        <v>1063</v>
      </c>
      <c r="N28" s="78" t="s">
        <v>719</v>
      </c>
      <c r="O28">
        <v>1</v>
      </c>
      <c r="P28" s="82">
        <v>21</v>
      </c>
    </row>
    <row r="29" spans="1:16" x14ac:dyDescent="0.25">
      <c r="A29">
        <v>1064</v>
      </c>
      <c r="B29">
        <v>1064</v>
      </c>
      <c r="C29" s="78" t="s">
        <v>720</v>
      </c>
      <c r="D29" s="78" t="s">
        <v>660</v>
      </c>
      <c r="E29" s="78" t="s">
        <v>660</v>
      </c>
      <c r="F29" s="78" t="s">
        <v>661</v>
      </c>
      <c r="G29">
        <v>7.75</v>
      </c>
      <c r="H29" s="78" t="s">
        <v>662</v>
      </c>
      <c r="I29" s="78" t="s">
        <v>721</v>
      </c>
      <c r="J29">
        <v>0</v>
      </c>
      <c r="K29">
        <v>0</v>
      </c>
      <c r="L29">
        <v>1</v>
      </c>
      <c r="M29">
        <v>1064</v>
      </c>
      <c r="N29" s="78" t="s">
        <v>722</v>
      </c>
      <c r="O29">
        <v>1</v>
      </c>
      <c r="P29" s="82">
        <v>24</v>
      </c>
    </row>
    <row r="30" spans="1:16" x14ac:dyDescent="0.25">
      <c r="A30">
        <v>1065</v>
      </c>
      <c r="B30">
        <v>1065</v>
      </c>
      <c r="C30" s="78" t="s">
        <v>723</v>
      </c>
      <c r="D30" s="78" t="s">
        <v>660</v>
      </c>
      <c r="E30" s="78" t="s">
        <v>660</v>
      </c>
      <c r="F30" s="78" t="s">
        <v>661</v>
      </c>
      <c r="G30">
        <v>9.25</v>
      </c>
      <c r="H30" s="78" t="s">
        <v>662</v>
      </c>
      <c r="I30" s="78" t="s">
        <v>724</v>
      </c>
      <c r="J30">
        <v>0</v>
      </c>
      <c r="K30">
        <v>0</v>
      </c>
      <c r="L30">
        <v>1</v>
      </c>
      <c r="M30">
        <v>1065</v>
      </c>
      <c r="N30" s="78" t="s">
        <v>725</v>
      </c>
      <c r="O30">
        <v>1</v>
      </c>
      <c r="P30" s="82">
        <v>28</v>
      </c>
    </row>
    <row r="31" spans="1:16" x14ac:dyDescent="0.25">
      <c r="A31">
        <v>1066</v>
      </c>
      <c r="B31">
        <v>1066</v>
      </c>
      <c r="C31" s="78" t="s">
        <v>726</v>
      </c>
      <c r="D31" s="78" t="s">
        <v>660</v>
      </c>
      <c r="E31" s="78" t="s">
        <v>660</v>
      </c>
      <c r="F31" s="78" t="s">
        <v>661</v>
      </c>
      <c r="G31">
        <v>10.5</v>
      </c>
      <c r="H31" s="78" t="s">
        <v>662</v>
      </c>
      <c r="I31" s="78" t="s">
        <v>727</v>
      </c>
      <c r="J31">
        <v>0</v>
      </c>
      <c r="K31">
        <v>0</v>
      </c>
      <c r="L31">
        <v>1</v>
      </c>
      <c r="M31">
        <v>1066</v>
      </c>
      <c r="N31" s="78" t="s">
        <v>728</v>
      </c>
      <c r="O31">
        <v>1</v>
      </c>
      <c r="P31" s="82">
        <v>32</v>
      </c>
    </row>
    <row r="32" spans="1:16" x14ac:dyDescent="0.25">
      <c r="A32">
        <v>1067</v>
      </c>
      <c r="B32">
        <v>1067</v>
      </c>
      <c r="C32" s="78" t="s">
        <v>729</v>
      </c>
      <c r="D32" s="78" t="s">
        <v>660</v>
      </c>
      <c r="E32" s="78" t="s">
        <v>660</v>
      </c>
      <c r="F32" s="78" t="s">
        <v>661</v>
      </c>
      <c r="G32">
        <v>16.8</v>
      </c>
      <c r="H32" s="78" t="s">
        <v>730</v>
      </c>
      <c r="I32" s="78" t="s">
        <v>731</v>
      </c>
      <c r="J32">
        <v>0</v>
      </c>
      <c r="K32">
        <v>0</v>
      </c>
      <c r="L32">
        <v>1</v>
      </c>
      <c r="M32">
        <v>1067</v>
      </c>
      <c r="N32" s="78" t="s">
        <v>732</v>
      </c>
      <c r="O32">
        <v>1</v>
      </c>
      <c r="P32" s="82">
        <v>33.5</v>
      </c>
    </row>
    <row r="33" spans="1:16" x14ac:dyDescent="0.25">
      <c r="A33">
        <v>1068</v>
      </c>
      <c r="B33">
        <v>1068</v>
      </c>
      <c r="C33" s="78" t="s">
        <v>733</v>
      </c>
      <c r="D33" s="78" t="s">
        <v>660</v>
      </c>
      <c r="E33" s="78" t="s">
        <v>660</v>
      </c>
      <c r="F33" s="78" t="s">
        <v>661</v>
      </c>
      <c r="G33">
        <v>16.8</v>
      </c>
      <c r="H33" s="78" t="s">
        <v>730</v>
      </c>
      <c r="I33" s="78" t="s">
        <v>734</v>
      </c>
      <c r="J33">
        <v>0</v>
      </c>
      <c r="K33">
        <v>0</v>
      </c>
      <c r="L33">
        <v>1</v>
      </c>
      <c r="M33">
        <v>1068</v>
      </c>
      <c r="N33" s="78" t="s">
        <v>735</v>
      </c>
      <c r="O33">
        <v>1</v>
      </c>
      <c r="P33" s="82">
        <v>36.5</v>
      </c>
    </row>
    <row r="34" spans="1:16" x14ac:dyDescent="0.25">
      <c r="A34">
        <v>1071</v>
      </c>
      <c r="B34">
        <v>1071</v>
      </c>
      <c r="C34" s="78" t="s">
        <v>736</v>
      </c>
      <c r="D34" s="78" t="s">
        <v>660</v>
      </c>
      <c r="E34" s="78" t="s">
        <v>660</v>
      </c>
      <c r="F34" s="78" t="s">
        <v>661</v>
      </c>
      <c r="G34">
        <v>8.15</v>
      </c>
      <c r="H34" s="78" t="s">
        <v>662</v>
      </c>
      <c r="I34" s="78" t="s">
        <v>737</v>
      </c>
      <c r="J34">
        <v>0</v>
      </c>
      <c r="K34">
        <v>0</v>
      </c>
      <c r="L34">
        <v>1</v>
      </c>
      <c r="M34">
        <v>1071</v>
      </c>
      <c r="N34" s="78" t="s">
        <v>738</v>
      </c>
      <c r="O34">
        <v>1</v>
      </c>
      <c r="P34" s="82">
        <v>25</v>
      </c>
    </row>
    <row r="35" spans="1:16" x14ac:dyDescent="0.25">
      <c r="A35">
        <v>1072</v>
      </c>
      <c r="B35">
        <v>1072</v>
      </c>
      <c r="C35" s="78" t="s">
        <v>739</v>
      </c>
      <c r="D35" s="78" t="s">
        <v>660</v>
      </c>
      <c r="E35" s="78" t="s">
        <v>660</v>
      </c>
      <c r="F35" s="78" t="s">
        <v>661</v>
      </c>
      <c r="G35">
        <v>8.15</v>
      </c>
      <c r="H35" s="78" t="s">
        <v>662</v>
      </c>
      <c r="I35" s="78" t="s">
        <v>740</v>
      </c>
      <c r="J35">
        <v>0</v>
      </c>
      <c r="K35">
        <v>0</v>
      </c>
      <c r="L35">
        <v>1</v>
      </c>
      <c r="M35">
        <v>1072</v>
      </c>
      <c r="N35" s="78" t="s">
        <v>741</v>
      </c>
      <c r="O35">
        <v>1</v>
      </c>
      <c r="P35" s="82">
        <v>25</v>
      </c>
    </row>
    <row r="36" spans="1:16" x14ac:dyDescent="0.25">
      <c r="A36">
        <v>1073</v>
      </c>
      <c r="B36">
        <v>1073</v>
      </c>
      <c r="C36" s="78" t="s">
        <v>742</v>
      </c>
      <c r="D36" s="78" t="s">
        <v>660</v>
      </c>
      <c r="E36" s="78" t="s">
        <v>660</v>
      </c>
      <c r="F36" s="78" t="s">
        <v>661</v>
      </c>
      <c r="G36">
        <v>8.15</v>
      </c>
      <c r="H36" s="78" t="s">
        <v>662</v>
      </c>
      <c r="I36" s="78" t="s">
        <v>743</v>
      </c>
      <c r="J36">
        <v>0</v>
      </c>
      <c r="K36">
        <v>0</v>
      </c>
      <c r="L36">
        <v>1</v>
      </c>
      <c r="M36">
        <v>1073</v>
      </c>
      <c r="N36" s="78" t="s">
        <v>744</v>
      </c>
      <c r="O36">
        <v>1</v>
      </c>
      <c r="P36" s="82">
        <v>25</v>
      </c>
    </row>
    <row r="37" spans="1:16" x14ac:dyDescent="0.25">
      <c r="A37">
        <v>1074</v>
      </c>
      <c r="B37">
        <v>1074</v>
      </c>
      <c r="C37" s="78" t="s">
        <v>745</v>
      </c>
      <c r="D37" s="78" t="s">
        <v>660</v>
      </c>
      <c r="E37" s="78" t="s">
        <v>660</v>
      </c>
      <c r="F37" s="78" t="s">
        <v>661</v>
      </c>
      <c r="G37">
        <v>9.25</v>
      </c>
      <c r="H37" s="78" t="s">
        <v>662</v>
      </c>
      <c r="I37" s="78" t="s">
        <v>746</v>
      </c>
      <c r="J37">
        <v>0</v>
      </c>
      <c r="K37">
        <v>0</v>
      </c>
      <c r="L37">
        <v>1</v>
      </c>
      <c r="M37">
        <v>1074</v>
      </c>
      <c r="N37" s="78" t="s">
        <v>747</v>
      </c>
      <c r="O37">
        <v>1</v>
      </c>
      <c r="P37" s="82">
        <v>28</v>
      </c>
    </row>
    <row r="38" spans="1:16" x14ac:dyDescent="0.25">
      <c r="A38">
        <v>1075</v>
      </c>
      <c r="B38">
        <v>1075</v>
      </c>
      <c r="C38" s="78" t="s">
        <v>748</v>
      </c>
      <c r="D38" s="78" t="s">
        <v>660</v>
      </c>
      <c r="E38" s="78" t="s">
        <v>660</v>
      </c>
      <c r="F38" s="78" t="s">
        <v>661</v>
      </c>
      <c r="G38">
        <v>10</v>
      </c>
      <c r="H38" s="78" t="s">
        <v>662</v>
      </c>
      <c r="I38" s="78" t="s">
        <v>749</v>
      </c>
      <c r="J38">
        <v>0</v>
      </c>
      <c r="K38">
        <v>0</v>
      </c>
      <c r="L38">
        <v>1</v>
      </c>
      <c r="M38">
        <v>1075</v>
      </c>
      <c r="N38" s="78" t="s">
        <v>750</v>
      </c>
      <c r="O38">
        <v>1</v>
      </c>
      <c r="P38" s="82">
        <v>32</v>
      </c>
    </row>
    <row r="39" spans="1:16" x14ac:dyDescent="0.25">
      <c r="A39">
        <v>1076</v>
      </c>
      <c r="B39">
        <v>1076</v>
      </c>
      <c r="C39" s="78" t="s">
        <v>751</v>
      </c>
      <c r="D39" s="78" t="s">
        <v>660</v>
      </c>
      <c r="E39" s="78" t="s">
        <v>660</v>
      </c>
      <c r="F39" s="78" t="s">
        <v>661</v>
      </c>
      <c r="G39">
        <v>11</v>
      </c>
      <c r="H39" s="78" t="s">
        <v>662</v>
      </c>
      <c r="I39" s="78" t="s">
        <v>752</v>
      </c>
      <c r="J39">
        <v>0</v>
      </c>
      <c r="K39">
        <v>0</v>
      </c>
      <c r="L39">
        <v>1</v>
      </c>
      <c r="M39">
        <v>1076</v>
      </c>
      <c r="N39" s="78" t="s">
        <v>753</v>
      </c>
      <c r="O39">
        <v>1</v>
      </c>
      <c r="P39" s="82">
        <v>34.5</v>
      </c>
    </row>
    <row r="40" spans="1:16" x14ac:dyDescent="0.25">
      <c r="A40">
        <v>1077</v>
      </c>
      <c r="B40">
        <v>1077</v>
      </c>
      <c r="C40" s="78" t="s">
        <v>754</v>
      </c>
      <c r="D40" s="78" t="s">
        <v>660</v>
      </c>
      <c r="E40" s="78" t="s">
        <v>660</v>
      </c>
      <c r="F40" s="78" t="s">
        <v>661</v>
      </c>
      <c r="G40">
        <v>16.78</v>
      </c>
      <c r="H40" s="78" t="s">
        <v>730</v>
      </c>
      <c r="I40" s="78" t="s">
        <v>755</v>
      </c>
      <c r="J40">
        <v>0</v>
      </c>
      <c r="K40">
        <v>0</v>
      </c>
      <c r="L40">
        <v>1</v>
      </c>
      <c r="M40">
        <v>1077</v>
      </c>
      <c r="N40" s="78" t="s">
        <v>756</v>
      </c>
      <c r="O40">
        <v>1</v>
      </c>
      <c r="P40" s="82">
        <v>35.5</v>
      </c>
    </row>
    <row r="41" spans="1:16" x14ac:dyDescent="0.25">
      <c r="A41">
        <v>1078</v>
      </c>
      <c r="B41">
        <v>1078</v>
      </c>
      <c r="C41" s="78" t="s">
        <v>757</v>
      </c>
      <c r="D41" s="78" t="s">
        <v>660</v>
      </c>
      <c r="E41" s="78" t="s">
        <v>660</v>
      </c>
      <c r="F41" s="78" t="s">
        <v>661</v>
      </c>
      <c r="G41">
        <v>16.78</v>
      </c>
      <c r="H41" s="78" t="s">
        <v>730</v>
      </c>
      <c r="I41" s="78" t="s">
        <v>758</v>
      </c>
      <c r="J41">
        <v>0</v>
      </c>
      <c r="K41">
        <v>0</v>
      </c>
      <c r="L41">
        <v>1</v>
      </c>
      <c r="M41">
        <v>1078</v>
      </c>
      <c r="N41" s="78" t="s">
        <v>759</v>
      </c>
      <c r="O41">
        <v>1</v>
      </c>
      <c r="P41" s="82">
        <v>38.5</v>
      </c>
    </row>
    <row r="42" spans="1:16" x14ac:dyDescent="0.25">
      <c r="A42">
        <v>1111</v>
      </c>
      <c r="B42">
        <v>1111</v>
      </c>
      <c r="C42" s="78" t="s">
        <v>760</v>
      </c>
      <c r="D42" s="78" t="s">
        <v>660</v>
      </c>
      <c r="E42" s="78" t="s">
        <v>660</v>
      </c>
      <c r="F42" s="78" t="s">
        <v>661</v>
      </c>
      <c r="G42">
        <v>0.47</v>
      </c>
      <c r="H42" s="78" t="s">
        <v>662</v>
      </c>
      <c r="I42" s="78" t="s">
        <v>761</v>
      </c>
      <c r="J42">
        <v>0</v>
      </c>
      <c r="K42">
        <v>0</v>
      </c>
      <c r="L42">
        <v>1</v>
      </c>
      <c r="M42">
        <v>1111</v>
      </c>
      <c r="N42" s="78" t="s">
        <v>762</v>
      </c>
      <c r="O42">
        <v>1</v>
      </c>
      <c r="P42" s="82">
        <v>2.1</v>
      </c>
    </row>
    <row r="43" spans="1:16" x14ac:dyDescent="0.25">
      <c r="A43">
        <v>1201</v>
      </c>
      <c r="B43">
        <v>1201</v>
      </c>
      <c r="C43" s="78" t="s">
        <v>34</v>
      </c>
      <c r="D43" s="78" t="s">
        <v>660</v>
      </c>
      <c r="E43" s="78" t="s">
        <v>660</v>
      </c>
      <c r="F43" s="78" t="s">
        <v>661</v>
      </c>
      <c r="G43">
        <v>1.59</v>
      </c>
      <c r="H43" s="78" t="s">
        <v>662</v>
      </c>
      <c r="I43" s="78" t="s">
        <v>763</v>
      </c>
      <c r="J43">
        <v>0</v>
      </c>
      <c r="K43">
        <v>0</v>
      </c>
      <c r="L43">
        <v>1</v>
      </c>
      <c r="M43">
        <v>1201</v>
      </c>
      <c r="N43" s="78" t="s">
        <v>764</v>
      </c>
      <c r="O43">
        <v>1</v>
      </c>
      <c r="P43" s="82">
        <v>5.05</v>
      </c>
    </row>
    <row r="44" spans="1:16" x14ac:dyDescent="0.25">
      <c r="A44">
        <v>1202</v>
      </c>
      <c r="B44">
        <v>1202</v>
      </c>
      <c r="C44" s="78" t="s">
        <v>37</v>
      </c>
      <c r="D44" s="78" t="s">
        <v>660</v>
      </c>
      <c r="E44" s="78" t="s">
        <v>660</v>
      </c>
      <c r="F44" s="78" t="s">
        <v>661</v>
      </c>
      <c r="G44">
        <v>1.59</v>
      </c>
      <c r="H44" s="78" t="s">
        <v>662</v>
      </c>
      <c r="I44" s="78" t="s">
        <v>765</v>
      </c>
      <c r="J44">
        <v>0</v>
      </c>
      <c r="K44">
        <v>0</v>
      </c>
      <c r="L44">
        <v>1</v>
      </c>
      <c r="M44">
        <v>1202</v>
      </c>
      <c r="N44" s="78" t="s">
        <v>766</v>
      </c>
      <c r="O44">
        <v>1</v>
      </c>
      <c r="P44" s="82">
        <v>5.05</v>
      </c>
    </row>
    <row r="45" spans="1:16" x14ac:dyDescent="0.25">
      <c r="A45">
        <v>1203</v>
      </c>
      <c r="B45">
        <v>1203</v>
      </c>
      <c r="C45" s="78" t="s">
        <v>40</v>
      </c>
      <c r="D45" s="78" t="s">
        <v>660</v>
      </c>
      <c r="E45" s="78" t="s">
        <v>660</v>
      </c>
      <c r="F45" s="78" t="s">
        <v>661</v>
      </c>
      <c r="G45">
        <v>1.59</v>
      </c>
      <c r="H45" s="78" t="s">
        <v>662</v>
      </c>
      <c r="I45" s="78" t="s">
        <v>767</v>
      </c>
      <c r="J45">
        <v>0</v>
      </c>
      <c r="K45">
        <v>0</v>
      </c>
      <c r="L45">
        <v>1</v>
      </c>
      <c r="M45">
        <v>1203</v>
      </c>
      <c r="N45" s="78" t="s">
        <v>768</v>
      </c>
      <c r="O45">
        <v>1</v>
      </c>
      <c r="P45" s="82">
        <v>5.05</v>
      </c>
    </row>
    <row r="46" spans="1:16" x14ac:dyDescent="0.25">
      <c r="A46">
        <v>1204</v>
      </c>
      <c r="B46">
        <v>1204</v>
      </c>
      <c r="C46" s="78" t="s">
        <v>43</v>
      </c>
      <c r="D46" s="78" t="s">
        <v>660</v>
      </c>
      <c r="E46" s="78" t="s">
        <v>660</v>
      </c>
      <c r="F46" s="78" t="s">
        <v>661</v>
      </c>
      <c r="G46">
        <v>1.59</v>
      </c>
      <c r="H46" s="78" t="s">
        <v>662</v>
      </c>
      <c r="I46" s="78" t="s">
        <v>769</v>
      </c>
      <c r="J46">
        <v>0</v>
      </c>
      <c r="K46">
        <v>0</v>
      </c>
      <c r="L46">
        <v>1</v>
      </c>
      <c r="M46">
        <v>1204</v>
      </c>
      <c r="N46" s="78" t="s">
        <v>770</v>
      </c>
      <c r="O46">
        <v>1</v>
      </c>
      <c r="P46" s="82">
        <v>5.05</v>
      </c>
    </row>
    <row r="47" spans="1:16" x14ac:dyDescent="0.25">
      <c r="A47">
        <v>1205</v>
      </c>
      <c r="B47">
        <v>1205</v>
      </c>
      <c r="C47" s="78" t="s">
        <v>46</v>
      </c>
      <c r="D47" s="78" t="s">
        <v>660</v>
      </c>
      <c r="E47" s="78" t="s">
        <v>660</v>
      </c>
      <c r="F47" s="78" t="s">
        <v>661</v>
      </c>
      <c r="G47">
        <v>2.35</v>
      </c>
      <c r="H47" s="78" t="s">
        <v>662</v>
      </c>
      <c r="I47" s="78" t="s">
        <v>771</v>
      </c>
      <c r="J47">
        <v>0</v>
      </c>
      <c r="K47">
        <v>0</v>
      </c>
      <c r="L47">
        <v>1</v>
      </c>
      <c r="M47">
        <v>1205</v>
      </c>
      <c r="N47" s="78" t="s">
        <v>772</v>
      </c>
      <c r="O47">
        <v>1</v>
      </c>
      <c r="P47" s="82">
        <v>7.25</v>
      </c>
    </row>
    <row r="48" spans="1:16" x14ac:dyDescent="0.25">
      <c r="A48">
        <v>1206</v>
      </c>
      <c r="B48">
        <v>1206</v>
      </c>
      <c r="C48" s="78" t="s">
        <v>49</v>
      </c>
      <c r="D48" s="78" t="s">
        <v>660</v>
      </c>
      <c r="E48" s="78" t="s">
        <v>660</v>
      </c>
      <c r="F48" s="78" t="s">
        <v>661</v>
      </c>
      <c r="G48">
        <v>2.35</v>
      </c>
      <c r="H48" s="78" t="s">
        <v>662</v>
      </c>
      <c r="I48" s="78" t="s">
        <v>773</v>
      </c>
      <c r="J48">
        <v>0</v>
      </c>
      <c r="K48">
        <v>0</v>
      </c>
      <c r="L48">
        <v>1</v>
      </c>
      <c r="M48">
        <v>1206</v>
      </c>
      <c r="N48" s="78" t="s">
        <v>774</v>
      </c>
      <c r="O48">
        <v>1</v>
      </c>
      <c r="P48" s="82">
        <v>7.25</v>
      </c>
    </row>
    <row r="49" spans="1:16" x14ac:dyDescent="0.25">
      <c r="A49">
        <v>1207</v>
      </c>
      <c r="B49">
        <v>1207</v>
      </c>
      <c r="C49" s="78" t="s">
        <v>52</v>
      </c>
      <c r="D49" s="78" t="s">
        <v>660</v>
      </c>
      <c r="E49" s="78" t="s">
        <v>660</v>
      </c>
      <c r="F49" s="78" t="s">
        <v>661</v>
      </c>
      <c r="G49">
        <v>2.7</v>
      </c>
      <c r="H49" s="78" t="s">
        <v>662</v>
      </c>
      <c r="I49" s="78" t="s">
        <v>775</v>
      </c>
      <c r="J49">
        <v>0</v>
      </c>
      <c r="K49">
        <v>0</v>
      </c>
      <c r="L49">
        <v>1</v>
      </c>
      <c r="M49">
        <v>1207</v>
      </c>
      <c r="N49" s="78" t="s">
        <v>776</v>
      </c>
      <c r="O49">
        <v>1</v>
      </c>
      <c r="P49" s="82">
        <v>8.25</v>
      </c>
    </row>
    <row r="50" spans="1:16" x14ac:dyDescent="0.25">
      <c r="A50">
        <v>1208</v>
      </c>
      <c r="B50">
        <v>1208</v>
      </c>
      <c r="C50" s="78" t="s">
        <v>55</v>
      </c>
      <c r="D50" s="78" t="s">
        <v>660</v>
      </c>
      <c r="E50" s="78" t="s">
        <v>660</v>
      </c>
      <c r="F50" s="78" t="s">
        <v>661</v>
      </c>
      <c r="G50">
        <v>3.35</v>
      </c>
      <c r="H50" s="78" t="s">
        <v>662</v>
      </c>
      <c r="I50" s="78" t="s">
        <v>777</v>
      </c>
      <c r="J50">
        <v>0</v>
      </c>
      <c r="K50">
        <v>0</v>
      </c>
      <c r="L50">
        <v>1</v>
      </c>
      <c r="M50">
        <v>1208</v>
      </c>
      <c r="N50" s="78" t="s">
        <v>778</v>
      </c>
      <c r="O50">
        <v>1</v>
      </c>
      <c r="P50" s="82">
        <v>10.15</v>
      </c>
    </row>
    <row r="51" spans="1:16" x14ac:dyDescent="0.25">
      <c r="A51">
        <v>1209</v>
      </c>
      <c r="B51">
        <v>1209</v>
      </c>
      <c r="C51" s="78" t="s">
        <v>56</v>
      </c>
      <c r="D51" s="78" t="s">
        <v>660</v>
      </c>
      <c r="E51" s="78" t="s">
        <v>660</v>
      </c>
      <c r="F51" s="78" t="s">
        <v>661</v>
      </c>
      <c r="G51">
        <v>4.0199999999999996</v>
      </c>
      <c r="H51" s="78" t="s">
        <v>662</v>
      </c>
      <c r="I51" s="78" t="s">
        <v>779</v>
      </c>
      <c r="J51">
        <v>0</v>
      </c>
      <c r="K51">
        <v>0</v>
      </c>
      <c r="L51">
        <v>1</v>
      </c>
      <c r="M51">
        <v>1209</v>
      </c>
      <c r="N51" s="78" t="s">
        <v>780</v>
      </c>
      <c r="O51">
        <v>1</v>
      </c>
      <c r="P51" s="82">
        <v>12.15</v>
      </c>
    </row>
    <row r="52" spans="1:16" x14ac:dyDescent="0.25">
      <c r="A52">
        <v>1301</v>
      </c>
      <c r="B52">
        <v>1301</v>
      </c>
      <c r="C52" s="78" t="s">
        <v>61</v>
      </c>
      <c r="D52" s="78" t="s">
        <v>660</v>
      </c>
      <c r="E52" s="78" t="s">
        <v>660</v>
      </c>
      <c r="F52" s="78" t="s">
        <v>661</v>
      </c>
      <c r="G52">
        <v>1.1499999999999999</v>
      </c>
      <c r="H52" s="78" t="s">
        <v>662</v>
      </c>
      <c r="I52" s="78" t="s">
        <v>781</v>
      </c>
      <c r="J52">
        <v>0</v>
      </c>
      <c r="K52">
        <v>0</v>
      </c>
      <c r="L52">
        <v>1</v>
      </c>
      <c r="M52">
        <v>1301</v>
      </c>
      <c r="N52" s="78" t="s">
        <v>782</v>
      </c>
      <c r="O52">
        <v>1</v>
      </c>
      <c r="P52" s="82">
        <v>4.3</v>
      </c>
    </row>
    <row r="53" spans="1:16" x14ac:dyDescent="0.25">
      <c r="A53">
        <v>1302</v>
      </c>
      <c r="B53">
        <v>1302</v>
      </c>
      <c r="C53" s="78" t="s">
        <v>63</v>
      </c>
      <c r="D53" s="78" t="s">
        <v>660</v>
      </c>
      <c r="E53" s="78" t="s">
        <v>660</v>
      </c>
      <c r="F53" s="78" t="s">
        <v>661</v>
      </c>
      <c r="G53">
        <v>1.1499999999999999</v>
      </c>
      <c r="H53" s="78" t="s">
        <v>662</v>
      </c>
      <c r="I53" s="78" t="s">
        <v>783</v>
      </c>
      <c r="J53">
        <v>0</v>
      </c>
      <c r="K53">
        <v>0</v>
      </c>
      <c r="L53">
        <v>1</v>
      </c>
      <c r="M53">
        <v>1302</v>
      </c>
      <c r="N53" s="78" t="s">
        <v>784</v>
      </c>
      <c r="O53">
        <v>1</v>
      </c>
      <c r="P53" s="82">
        <v>4.3</v>
      </c>
    </row>
    <row r="54" spans="1:16" x14ac:dyDescent="0.25">
      <c r="A54">
        <v>1303</v>
      </c>
      <c r="B54">
        <v>1303</v>
      </c>
      <c r="C54" s="78" t="s">
        <v>66</v>
      </c>
      <c r="D54" s="78" t="s">
        <v>660</v>
      </c>
      <c r="E54" s="78" t="s">
        <v>660</v>
      </c>
      <c r="F54" s="78" t="s">
        <v>661</v>
      </c>
      <c r="G54">
        <v>1.1499999999999999</v>
      </c>
      <c r="H54" s="78" t="s">
        <v>662</v>
      </c>
      <c r="I54" s="78" t="s">
        <v>785</v>
      </c>
      <c r="J54">
        <v>0</v>
      </c>
      <c r="K54">
        <v>0</v>
      </c>
      <c r="L54">
        <v>1</v>
      </c>
      <c r="M54">
        <v>1303</v>
      </c>
      <c r="N54" s="78" t="s">
        <v>786</v>
      </c>
      <c r="O54">
        <v>1</v>
      </c>
      <c r="P54" s="82">
        <v>4.3</v>
      </c>
    </row>
    <row r="55" spans="1:16" x14ac:dyDescent="0.25">
      <c r="A55">
        <v>1304</v>
      </c>
      <c r="B55">
        <v>1304</v>
      </c>
      <c r="C55" s="78" t="s">
        <v>69</v>
      </c>
      <c r="D55" s="78" t="s">
        <v>660</v>
      </c>
      <c r="E55" s="78" t="s">
        <v>660</v>
      </c>
      <c r="F55" s="78" t="s">
        <v>661</v>
      </c>
      <c r="G55">
        <v>1.1499999999999999</v>
      </c>
      <c r="H55" s="78" t="s">
        <v>662</v>
      </c>
      <c r="I55" s="78" t="s">
        <v>787</v>
      </c>
      <c r="J55">
        <v>0</v>
      </c>
      <c r="K55">
        <v>0</v>
      </c>
      <c r="L55">
        <v>1</v>
      </c>
      <c r="M55">
        <v>1304</v>
      </c>
      <c r="N55" s="78" t="s">
        <v>788</v>
      </c>
      <c r="O55">
        <v>1</v>
      </c>
      <c r="P55" s="82">
        <v>4.3</v>
      </c>
    </row>
    <row r="56" spans="1:16" x14ac:dyDescent="0.25">
      <c r="A56">
        <v>1305</v>
      </c>
      <c r="B56">
        <v>1305</v>
      </c>
      <c r="C56" s="78" t="s">
        <v>72</v>
      </c>
      <c r="D56" s="78" t="s">
        <v>660</v>
      </c>
      <c r="E56" s="78" t="s">
        <v>660</v>
      </c>
      <c r="F56" s="78" t="s">
        <v>661</v>
      </c>
      <c r="G56">
        <v>1.35</v>
      </c>
      <c r="H56" s="78" t="s">
        <v>662</v>
      </c>
      <c r="I56" s="78" t="s">
        <v>789</v>
      </c>
      <c r="J56">
        <v>0</v>
      </c>
      <c r="K56">
        <v>0</v>
      </c>
      <c r="L56">
        <v>1</v>
      </c>
      <c r="M56">
        <v>1305</v>
      </c>
      <c r="N56" s="78" t="s">
        <v>790</v>
      </c>
      <c r="O56">
        <v>1</v>
      </c>
      <c r="P56" s="82">
        <v>4.8</v>
      </c>
    </row>
    <row r="57" spans="1:16" x14ac:dyDescent="0.25">
      <c r="A57">
        <v>1306</v>
      </c>
      <c r="B57">
        <v>1306</v>
      </c>
      <c r="C57" s="78" t="s">
        <v>75</v>
      </c>
      <c r="D57" s="78" t="s">
        <v>660</v>
      </c>
      <c r="E57" s="78" t="s">
        <v>660</v>
      </c>
      <c r="F57" s="78" t="s">
        <v>661</v>
      </c>
      <c r="G57">
        <v>1.35</v>
      </c>
      <c r="H57" s="78" t="s">
        <v>662</v>
      </c>
      <c r="I57" s="78" t="s">
        <v>791</v>
      </c>
      <c r="J57">
        <v>0</v>
      </c>
      <c r="K57">
        <v>0</v>
      </c>
      <c r="L57">
        <v>1</v>
      </c>
      <c r="M57">
        <v>1306</v>
      </c>
      <c r="N57" s="78" t="s">
        <v>792</v>
      </c>
      <c r="O57">
        <v>1</v>
      </c>
      <c r="P57" s="82">
        <v>5.8</v>
      </c>
    </row>
    <row r="58" spans="1:16" x14ac:dyDescent="0.25">
      <c r="A58">
        <v>1307</v>
      </c>
      <c r="B58">
        <v>1307</v>
      </c>
      <c r="C58" s="78" t="s">
        <v>78</v>
      </c>
      <c r="D58" s="78" t="s">
        <v>660</v>
      </c>
      <c r="E58" s="78" t="s">
        <v>660</v>
      </c>
      <c r="F58" s="78" t="s">
        <v>661</v>
      </c>
      <c r="G58">
        <v>1.5</v>
      </c>
      <c r="H58" s="78" t="s">
        <v>662</v>
      </c>
      <c r="I58" s="78" t="s">
        <v>793</v>
      </c>
      <c r="J58">
        <v>0</v>
      </c>
      <c r="K58">
        <v>0</v>
      </c>
      <c r="L58">
        <v>1</v>
      </c>
      <c r="M58">
        <v>1307</v>
      </c>
      <c r="N58" s="78" t="s">
        <v>794</v>
      </c>
      <c r="O58">
        <v>1</v>
      </c>
      <c r="P58" s="82">
        <v>6.05</v>
      </c>
    </row>
    <row r="59" spans="1:16" x14ac:dyDescent="0.25">
      <c r="A59">
        <v>1308</v>
      </c>
      <c r="B59">
        <v>1308</v>
      </c>
      <c r="C59" s="78" t="s">
        <v>81</v>
      </c>
      <c r="D59" s="78" t="s">
        <v>660</v>
      </c>
      <c r="E59" s="78" t="s">
        <v>660</v>
      </c>
      <c r="F59" s="78" t="s">
        <v>661</v>
      </c>
      <c r="G59">
        <v>1.9</v>
      </c>
      <c r="H59" s="78" t="s">
        <v>662</v>
      </c>
      <c r="I59" s="78" t="s">
        <v>795</v>
      </c>
      <c r="J59">
        <v>0</v>
      </c>
      <c r="K59">
        <v>0</v>
      </c>
      <c r="L59">
        <v>1</v>
      </c>
      <c r="M59">
        <v>1308</v>
      </c>
      <c r="N59" s="78" t="s">
        <v>796</v>
      </c>
      <c r="O59">
        <v>1</v>
      </c>
      <c r="P59" s="82">
        <v>6.8</v>
      </c>
    </row>
    <row r="60" spans="1:16" x14ac:dyDescent="0.25">
      <c r="A60">
        <v>1309</v>
      </c>
      <c r="B60">
        <v>1309</v>
      </c>
      <c r="C60" s="78" t="s">
        <v>84</v>
      </c>
      <c r="D60" s="78" t="s">
        <v>660</v>
      </c>
      <c r="E60" s="78" t="s">
        <v>660</v>
      </c>
      <c r="F60" s="78" t="s">
        <v>661</v>
      </c>
      <c r="G60">
        <v>1.9</v>
      </c>
      <c r="H60" s="78" t="s">
        <v>662</v>
      </c>
      <c r="I60" s="78" t="s">
        <v>797</v>
      </c>
      <c r="J60">
        <v>0</v>
      </c>
      <c r="K60">
        <v>0</v>
      </c>
      <c r="L60">
        <v>1</v>
      </c>
      <c r="M60">
        <v>1309</v>
      </c>
      <c r="N60" s="78" t="s">
        <v>798</v>
      </c>
      <c r="O60">
        <v>1</v>
      </c>
      <c r="P60" s="82">
        <v>7.5</v>
      </c>
    </row>
    <row r="61" spans="1:16" x14ac:dyDescent="0.25">
      <c r="A61">
        <v>1400</v>
      </c>
      <c r="B61">
        <v>1400</v>
      </c>
      <c r="C61" s="78" t="s">
        <v>90</v>
      </c>
      <c r="D61" s="78" t="s">
        <v>660</v>
      </c>
      <c r="E61" s="78" t="s">
        <v>660</v>
      </c>
      <c r="F61" s="78" t="s">
        <v>661</v>
      </c>
      <c r="G61">
        <v>0.87</v>
      </c>
      <c r="H61" s="78" t="s">
        <v>662</v>
      </c>
      <c r="I61" s="78" t="s">
        <v>799</v>
      </c>
      <c r="J61">
        <v>0</v>
      </c>
      <c r="K61">
        <v>0</v>
      </c>
      <c r="L61">
        <v>1</v>
      </c>
      <c r="M61">
        <v>1400</v>
      </c>
      <c r="N61" s="78" t="s">
        <v>800</v>
      </c>
      <c r="O61">
        <v>1</v>
      </c>
      <c r="P61" s="82">
        <v>2.95</v>
      </c>
    </row>
    <row r="62" spans="1:16" x14ac:dyDescent="0.25">
      <c r="A62">
        <v>1401</v>
      </c>
      <c r="B62">
        <v>1401</v>
      </c>
      <c r="C62" s="78" t="s">
        <v>92</v>
      </c>
      <c r="D62" s="78" t="s">
        <v>660</v>
      </c>
      <c r="E62" s="78" t="s">
        <v>660</v>
      </c>
      <c r="F62" s="78" t="s">
        <v>661</v>
      </c>
      <c r="G62">
        <v>0.87</v>
      </c>
      <c r="H62" s="78" t="s">
        <v>662</v>
      </c>
      <c r="I62" s="78" t="s">
        <v>801</v>
      </c>
      <c r="J62">
        <v>0</v>
      </c>
      <c r="K62">
        <v>0</v>
      </c>
      <c r="L62">
        <v>1</v>
      </c>
      <c r="M62">
        <v>1401</v>
      </c>
      <c r="N62" s="78" t="s">
        <v>802</v>
      </c>
      <c r="O62">
        <v>1</v>
      </c>
      <c r="P62" s="82">
        <v>2.95</v>
      </c>
    </row>
    <row r="63" spans="1:16" x14ac:dyDescent="0.25">
      <c r="A63">
        <v>1402</v>
      </c>
      <c r="B63">
        <v>1402</v>
      </c>
      <c r="C63" s="78" t="s">
        <v>94</v>
      </c>
      <c r="D63" s="78" t="s">
        <v>660</v>
      </c>
      <c r="E63" s="78" t="s">
        <v>660</v>
      </c>
      <c r="F63" s="78" t="s">
        <v>661</v>
      </c>
      <c r="G63">
        <v>1.43</v>
      </c>
      <c r="H63" s="78" t="s">
        <v>730</v>
      </c>
      <c r="I63" s="78" t="s">
        <v>803</v>
      </c>
      <c r="J63">
        <v>0</v>
      </c>
      <c r="K63">
        <v>0</v>
      </c>
      <c r="L63">
        <v>1</v>
      </c>
      <c r="M63">
        <v>1402</v>
      </c>
      <c r="N63" s="78" t="s">
        <v>804</v>
      </c>
      <c r="O63">
        <v>1</v>
      </c>
      <c r="P63" s="82">
        <v>2.95</v>
      </c>
    </row>
    <row r="64" spans="1:16" x14ac:dyDescent="0.25">
      <c r="A64">
        <v>1403</v>
      </c>
      <c r="B64">
        <v>1403</v>
      </c>
      <c r="C64" s="78" t="s">
        <v>96</v>
      </c>
      <c r="D64" s="78" t="s">
        <v>660</v>
      </c>
      <c r="E64" s="78" t="s">
        <v>660</v>
      </c>
      <c r="F64" s="78" t="s">
        <v>661</v>
      </c>
      <c r="G64">
        <v>1.43</v>
      </c>
      <c r="H64" s="78" t="s">
        <v>805</v>
      </c>
      <c r="I64" s="78" t="s">
        <v>806</v>
      </c>
      <c r="J64">
        <v>0</v>
      </c>
      <c r="K64">
        <v>0</v>
      </c>
      <c r="L64">
        <v>1</v>
      </c>
      <c r="M64">
        <v>1403</v>
      </c>
      <c r="N64" s="78" t="s">
        <v>807</v>
      </c>
      <c r="O64">
        <v>1</v>
      </c>
      <c r="P64" s="82">
        <v>2.95</v>
      </c>
    </row>
    <row r="65" spans="1:16" x14ac:dyDescent="0.25">
      <c r="A65">
        <v>1404</v>
      </c>
      <c r="B65">
        <v>1404</v>
      </c>
      <c r="C65" s="78" t="s">
        <v>98</v>
      </c>
      <c r="D65" s="78" t="s">
        <v>660</v>
      </c>
      <c r="E65" s="78" t="s">
        <v>660</v>
      </c>
      <c r="F65" s="78" t="s">
        <v>661</v>
      </c>
      <c r="G65">
        <v>0.87</v>
      </c>
      <c r="H65" s="78" t="s">
        <v>662</v>
      </c>
      <c r="I65" s="78" t="s">
        <v>808</v>
      </c>
      <c r="J65">
        <v>0</v>
      </c>
      <c r="K65">
        <v>0</v>
      </c>
      <c r="L65">
        <v>1</v>
      </c>
      <c r="M65">
        <v>1404</v>
      </c>
      <c r="N65" s="78" t="s">
        <v>809</v>
      </c>
      <c r="O65">
        <v>1</v>
      </c>
      <c r="P65" s="82">
        <v>3.05</v>
      </c>
    </row>
    <row r="66" spans="1:16" x14ac:dyDescent="0.25">
      <c r="A66">
        <v>1405</v>
      </c>
      <c r="B66">
        <v>1405</v>
      </c>
      <c r="C66" s="78" t="s">
        <v>100</v>
      </c>
      <c r="D66" s="78" t="s">
        <v>660</v>
      </c>
      <c r="E66" s="78" t="s">
        <v>660</v>
      </c>
      <c r="F66" s="78" t="s">
        <v>661</v>
      </c>
      <c r="G66">
        <v>2.4700000000000002</v>
      </c>
      <c r="H66" s="78" t="s">
        <v>730</v>
      </c>
      <c r="I66" s="78" t="s">
        <v>810</v>
      </c>
      <c r="J66">
        <v>0</v>
      </c>
      <c r="K66">
        <v>0</v>
      </c>
      <c r="L66">
        <v>1</v>
      </c>
      <c r="M66">
        <v>1405</v>
      </c>
      <c r="N66" s="78" t="s">
        <v>811</v>
      </c>
      <c r="O66">
        <v>1</v>
      </c>
      <c r="P66" s="82">
        <v>3.3</v>
      </c>
    </row>
    <row r="67" spans="1:16" x14ac:dyDescent="0.25">
      <c r="A67">
        <v>1406</v>
      </c>
      <c r="B67">
        <v>1406</v>
      </c>
      <c r="C67" s="78" t="s">
        <v>102</v>
      </c>
      <c r="D67" s="78" t="s">
        <v>660</v>
      </c>
      <c r="E67" s="78" t="s">
        <v>660</v>
      </c>
      <c r="F67" s="78" t="s">
        <v>661</v>
      </c>
      <c r="G67">
        <v>1</v>
      </c>
      <c r="H67" s="78" t="s">
        <v>662</v>
      </c>
      <c r="I67" s="78" t="s">
        <v>1834</v>
      </c>
      <c r="J67">
        <v>0</v>
      </c>
      <c r="K67">
        <v>0</v>
      </c>
      <c r="L67">
        <v>1</v>
      </c>
      <c r="M67">
        <v>1406</v>
      </c>
      <c r="N67" s="78" t="s">
        <v>1835</v>
      </c>
      <c r="O67">
        <v>1</v>
      </c>
      <c r="P67" s="82">
        <v>3.3</v>
      </c>
    </row>
    <row r="68" spans="1:16" x14ac:dyDescent="0.25">
      <c r="A68">
        <v>1407</v>
      </c>
      <c r="B68">
        <v>1407</v>
      </c>
      <c r="C68" s="78" t="s">
        <v>104</v>
      </c>
      <c r="D68" s="78" t="s">
        <v>660</v>
      </c>
      <c r="E68" s="78" t="s">
        <v>660</v>
      </c>
      <c r="F68" s="78" t="s">
        <v>661</v>
      </c>
      <c r="G68">
        <v>1</v>
      </c>
      <c r="H68" s="78" t="s">
        <v>662</v>
      </c>
      <c r="I68" s="78" t="s">
        <v>812</v>
      </c>
      <c r="J68">
        <v>0</v>
      </c>
      <c r="K68">
        <v>0</v>
      </c>
      <c r="L68">
        <v>1</v>
      </c>
      <c r="M68">
        <v>1407</v>
      </c>
      <c r="N68" s="78" t="s">
        <v>813</v>
      </c>
      <c r="O68">
        <v>1</v>
      </c>
      <c r="P68" s="82">
        <v>3.3</v>
      </c>
    </row>
    <row r="69" spans="1:16" x14ac:dyDescent="0.25">
      <c r="A69">
        <v>1408</v>
      </c>
      <c r="B69">
        <v>1408</v>
      </c>
      <c r="C69" s="78" t="s">
        <v>106</v>
      </c>
      <c r="D69" s="78" t="s">
        <v>660</v>
      </c>
      <c r="E69" s="78" t="s">
        <v>660</v>
      </c>
      <c r="F69" s="78" t="s">
        <v>661</v>
      </c>
      <c r="G69">
        <v>1.49</v>
      </c>
      <c r="H69" s="78" t="s">
        <v>805</v>
      </c>
      <c r="I69" s="78" t="s">
        <v>814</v>
      </c>
      <c r="J69">
        <v>0</v>
      </c>
      <c r="K69">
        <v>0</v>
      </c>
      <c r="L69">
        <v>1</v>
      </c>
      <c r="M69">
        <v>1408</v>
      </c>
      <c r="N69" s="78" t="s">
        <v>815</v>
      </c>
      <c r="O69">
        <v>1</v>
      </c>
      <c r="P69" s="82">
        <v>4.5</v>
      </c>
    </row>
    <row r="70" spans="1:16" x14ac:dyDescent="0.25">
      <c r="A70">
        <v>1409</v>
      </c>
      <c r="B70">
        <v>1409</v>
      </c>
      <c r="C70" s="78" t="s">
        <v>108</v>
      </c>
      <c r="D70" s="78" t="s">
        <v>660</v>
      </c>
      <c r="E70" s="78" t="s">
        <v>660</v>
      </c>
      <c r="F70" s="78" t="s">
        <v>661</v>
      </c>
      <c r="G70">
        <v>3.98</v>
      </c>
      <c r="H70" s="78" t="s">
        <v>730</v>
      </c>
      <c r="I70" s="78" t="s">
        <v>816</v>
      </c>
      <c r="J70">
        <v>0</v>
      </c>
      <c r="K70">
        <v>0</v>
      </c>
      <c r="L70">
        <v>1</v>
      </c>
      <c r="M70">
        <v>1409</v>
      </c>
      <c r="N70" s="78" t="s">
        <v>817</v>
      </c>
      <c r="O70">
        <v>1</v>
      </c>
      <c r="P70" s="82">
        <v>5.5</v>
      </c>
    </row>
    <row r="71" spans="1:16" x14ac:dyDescent="0.25">
      <c r="A71">
        <v>1500</v>
      </c>
      <c r="B71">
        <v>1500</v>
      </c>
      <c r="C71" s="78" t="s">
        <v>110</v>
      </c>
      <c r="D71" s="78" t="s">
        <v>660</v>
      </c>
      <c r="E71" s="78" t="s">
        <v>660</v>
      </c>
      <c r="F71" s="78" t="s">
        <v>661</v>
      </c>
      <c r="G71">
        <v>2.25</v>
      </c>
      <c r="H71" s="78" t="s">
        <v>662</v>
      </c>
      <c r="I71" s="78" t="s">
        <v>818</v>
      </c>
      <c r="J71">
        <v>0</v>
      </c>
      <c r="K71">
        <v>0</v>
      </c>
      <c r="L71">
        <v>1</v>
      </c>
      <c r="M71">
        <v>1500</v>
      </c>
      <c r="N71" s="78" t="s">
        <v>819</v>
      </c>
      <c r="O71">
        <v>1</v>
      </c>
      <c r="P71" s="82">
        <v>8.3000000000000007</v>
      </c>
    </row>
    <row r="72" spans="1:16" x14ac:dyDescent="0.25">
      <c r="A72">
        <v>1501</v>
      </c>
      <c r="B72">
        <v>1501</v>
      </c>
      <c r="C72" s="78" t="s">
        <v>112</v>
      </c>
      <c r="D72" s="78" t="s">
        <v>660</v>
      </c>
      <c r="E72" s="78" t="s">
        <v>660</v>
      </c>
      <c r="F72" s="78" t="s">
        <v>661</v>
      </c>
      <c r="G72">
        <v>2.25</v>
      </c>
      <c r="H72" s="78" t="s">
        <v>662</v>
      </c>
      <c r="I72" s="78" t="s">
        <v>820</v>
      </c>
      <c r="J72">
        <v>0</v>
      </c>
      <c r="K72">
        <v>0</v>
      </c>
      <c r="L72">
        <v>1</v>
      </c>
      <c r="M72">
        <v>1501</v>
      </c>
      <c r="N72" s="78" t="s">
        <v>821</v>
      </c>
      <c r="O72">
        <v>1</v>
      </c>
      <c r="P72" s="82">
        <v>8.3000000000000007</v>
      </c>
    </row>
    <row r="73" spans="1:16" x14ac:dyDescent="0.25">
      <c r="A73">
        <v>1502</v>
      </c>
      <c r="B73">
        <v>1502</v>
      </c>
      <c r="C73" s="78" t="s">
        <v>114</v>
      </c>
      <c r="D73" s="78" t="s">
        <v>660</v>
      </c>
      <c r="E73" s="78" t="s">
        <v>660</v>
      </c>
      <c r="F73" s="78" t="s">
        <v>661</v>
      </c>
      <c r="G73">
        <v>2.25</v>
      </c>
      <c r="H73" s="78" t="s">
        <v>662</v>
      </c>
      <c r="I73" s="78" t="s">
        <v>822</v>
      </c>
      <c r="J73">
        <v>0</v>
      </c>
      <c r="K73">
        <v>0</v>
      </c>
      <c r="L73">
        <v>1</v>
      </c>
      <c r="M73">
        <v>1502</v>
      </c>
      <c r="N73" s="78" t="s">
        <v>823</v>
      </c>
      <c r="O73">
        <v>1</v>
      </c>
      <c r="P73" s="82">
        <v>8.3000000000000007</v>
      </c>
    </row>
    <row r="74" spans="1:16" x14ac:dyDescent="0.25">
      <c r="A74">
        <v>1503</v>
      </c>
      <c r="B74">
        <v>1503</v>
      </c>
      <c r="C74" s="78" t="s">
        <v>116</v>
      </c>
      <c r="D74" s="78" t="s">
        <v>660</v>
      </c>
      <c r="E74" s="78" t="s">
        <v>660</v>
      </c>
      <c r="F74" s="78" t="s">
        <v>661</v>
      </c>
      <c r="G74">
        <v>2.25</v>
      </c>
      <c r="H74" s="78" t="s">
        <v>662</v>
      </c>
      <c r="I74" s="78" t="s">
        <v>824</v>
      </c>
      <c r="J74">
        <v>0</v>
      </c>
      <c r="K74">
        <v>0</v>
      </c>
      <c r="L74">
        <v>1</v>
      </c>
      <c r="M74">
        <v>1503</v>
      </c>
      <c r="N74" s="78" t="s">
        <v>825</v>
      </c>
      <c r="O74">
        <v>1</v>
      </c>
      <c r="P74" s="82">
        <v>8.3000000000000007</v>
      </c>
    </row>
    <row r="75" spans="1:16" x14ac:dyDescent="0.25">
      <c r="A75">
        <v>1504</v>
      </c>
      <c r="B75">
        <v>1504</v>
      </c>
      <c r="C75" s="78" t="s">
        <v>118</v>
      </c>
      <c r="D75" s="78" t="s">
        <v>660</v>
      </c>
      <c r="E75" s="78" t="s">
        <v>660</v>
      </c>
      <c r="F75" s="78" t="s">
        <v>661</v>
      </c>
      <c r="G75">
        <v>2.25</v>
      </c>
      <c r="H75" s="78" t="s">
        <v>662</v>
      </c>
      <c r="I75" s="78" t="s">
        <v>826</v>
      </c>
      <c r="J75">
        <v>0</v>
      </c>
      <c r="K75">
        <v>0</v>
      </c>
      <c r="L75">
        <v>1</v>
      </c>
      <c r="M75">
        <v>1504</v>
      </c>
      <c r="N75" s="78" t="s">
        <v>827</v>
      </c>
      <c r="O75">
        <v>1</v>
      </c>
      <c r="P75" s="82">
        <v>9.4</v>
      </c>
    </row>
    <row r="76" spans="1:16" x14ac:dyDescent="0.25">
      <c r="A76">
        <v>1506</v>
      </c>
      <c r="B76">
        <v>1506</v>
      </c>
      <c r="C76" s="78" t="s">
        <v>120</v>
      </c>
      <c r="D76" s="78" t="s">
        <v>660</v>
      </c>
      <c r="E76" s="78" t="s">
        <v>660</v>
      </c>
      <c r="F76" s="78" t="s">
        <v>661</v>
      </c>
      <c r="G76">
        <v>2.5499999999999998</v>
      </c>
      <c r="H76" s="78" t="s">
        <v>662</v>
      </c>
      <c r="I76" s="78" t="s">
        <v>828</v>
      </c>
      <c r="J76">
        <v>0</v>
      </c>
      <c r="K76">
        <v>0</v>
      </c>
      <c r="L76">
        <v>1</v>
      </c>
      <c r="M76">
        <v>1506</v>
      </c>
      <c r="N76" s="78" t="s">
        <v>829</v>
      </c>
      <c r="O76">
        <v>1</v>
      </c>
      <c r="P76" s="82">
        <v>9.4</v>
      </c>
    </row>
    <row r="77" spans="1:16" x14ac:dyDescent="0.25">
      <c r="A77">
        <v>1509</v>
      </c>
      <c r="B77">
        <v>1509</v>
      </c>
      <c r="C77" s="78" t="s">
        <v>122</v>
      </c>
      <c r="D77" s="78" t="s">
        <v>660</v>
      </c>
      <c r="E77" s="78" t="s">
        <v>660</v>
      </c>
      <c r="F77" s="78" t="s">
        <v>661</v>
      </c>
      <c r="G77">
        <v>4.78</v>
      </c>
      <c r="H77" s="78" t="s">
        <v>662</v>
      </c>
      <c r="I77" s="78" t="s">
        <v>830</v>
      </c>
      <c r="J77">
        <v>0</v>
      </c>
      <c r="K77">
        <v>0</v>
      </c>
      <c r="L77">
        <v>1</v>
      </c>
      <c r="M77">
        <v>1509</v>
      </c>
      <c r="N77" s="78" t="s">
        <v>831</v>
      </c>
      <c r="O77">
        <v>1</v>
      </c>
      <c r="P77" s="82">
        <v>10.5</v>
      </c>
    </row>
    <row r="78" spans="1:16" x14ac:dyDescent="0.25">
      <c r="A78">
        <v>1602</v>
      </c>
      <c r="B78">
        <v>1602</v>
      </c>
      <c r="C78" s="78" t="s">
        <v>832</v>
      </c>
      <c r="D78" s="78" t="s">
        <v>833</v>
      </c>
      <c r="E78" s="78" t="s">
        <v>833</v>
      </c>
      <c r="F78" s="78" t="s">
        <v>661</v>
      </c>
      <c r="G78">
        <v>4.68</v>
      </c>
      <c r="H78" s="78" t="s">
        <v>662</v>
      </c>
      <c r="I78" s="78" t="s">
        <v>834</v>
      </c>
      <c r="J78">
        <v>0</v>
      </c>
      <c r="K78">
        <v>0</v>
      </c>
      <c r="L78">
        <v>1</v>
      </c>
      <c r="M78">
        <v>1602</v>
      </c>
      <c r="N78" s="78" t="s">
        <v>68</v>
      </c>
      <c r="O78">
        <v>1</v>
      </c>
      <c r="P78" s="82">
        <v>15.55</v>
      </c>
    </row>
    <row r="79" spans="1:16" x14ac:dyDescent="0.25">
      <c r="A79">
        <v>1603</v>
      </c>
      <c r="B79">
        <v>1603</v>
      </c>
      <c r="C79" s="78" t="s">
        <v>835</v>
      </c>
      <c r="D79" s="78" t="s">
        <v>833</v>
      </c>
      <c r="E79" s="78" t="s">
        <v>833</v>
      </c>
      <c r="F79" s="78" t="s">
        <v>661</v>
      </c>
      <c r="G79">
        <v>4.68</v>
      </c>
      <c r="H79" s="78" t="s">
        <v>662</v>
      </c>
      <c r="I79" s="78" t="s">
        <v>836</v>
      </c>
      <c r="J79">
        <v>0</v>
      </c>
      <c r="K79">
        <v>0</v>
      </c>
      <c r="L79">
        <v>1</v>
      </c>
      <c r="M79">
        <v>1603</v>
      </c>
      <c r="N79" s="78" t="s">
        <v>71</v>
      </c>
      <c r="O79">
        <v>1</v>
      </c>
      <c r="P79" s="82">
        <v>15.55</v>
      </c>
    </row>
    <row r="80" spans="1:16" x14ac:dyDescent="0.25">
      <c r="A80">
        <v>1604</v>
      </c>
      <c r="B80">
        <v>1604</v>
      </c>
      <c r="C80" s="78" t="s">
        <v>837</v>
      </c>
      <c r="D80" s="78" t="s">
        <v>833</v>
      </c>
      <c r="E80" s="78" t="s">
        <v>833</v>
      </c>
      <c r="F80" s="78" t="s">
        <v>661</v>
      </c>
      <c r="G80">
        <v>4.68</v>
      </c>
      <c r="H80" s="78" t="s">
        <v>662</v>
      </c>
      <c r="I80" s="78" t="s">
        <v>838</v>
      </c>
      <c r="J80">
        <v>0</v>
      </c>
      <c r="K80">
        <v>0</v>
      </c>
      <c r="L80">
        <v>1</v>
      </c>
      <c r="M80">
        <v>1604</v>
      </c>
      <c r="N80" s="78" t="s">
        <v>74</v>
      </c>
      <c r="O80">
        <v>1</v>
      </c>
      <c r="P80" s="82">
        <v>15.55</v>
      </c>
    </row>
    <row r="81" spans="1:16" x14ac:dyDescent="0.25">
      <c r="A81">
        <v>1605</v>
      </c>
      <c r="B81">
        <v>1605</v>
      </c>
      <c r="C81" s="78" t="s">
        <v>839</v>
      </c>
      <c r="D81" s="78" t="s">
        <v>833</v>
      </c>
      <c r="E81" s="78" t="s">
        <v>833</v>
      </c>
      <c r="F81" s="78" t="s">
        <v>661</v>
      </c>
      <c r="G81">
        <v>4.68</v>
      </c>
      <c r="H81" s="78" t="s">
        <v>662</v>
      </c>
      <c r="I81" s="78" t="s">
        <v>840</v>
      </c>
      <c r="J81">
        <v>0</v>
      </c>
      <c r="K81">
        <v>0</v>
      </c>
      <c r="L81">
        <v>1</v>
      </c>
      <c r="M81">
        <v>1605</v>
      </c>
      <c r="N81" s="78" t="s">
        <v>77</v>
      </c>
      <c r="O81">
        <v>1</v>
      </c>
      <c r="P81" s="82">
        <v>15.55</v>
      </c>
    </row>
    <row r="82" spans="1:16" x14ac:dyDescent="0.25">
      <c r="A82">
        <v>1606</v>
      </c>
      <c r="B82">
        <v>1606</v>
      </c>
      <c r="C82" s="78" t="s">
        <v>841</v>
      </c>
      <c r="D82" s="78" t="s">
        <v>833</v>
      </c>
      <c r="E82" s="78" t="s">
        <v>833</v>
      </c>
      <c r="F82" s="78" t="s">
        <v>661</v>
      </c>
      <c r="G82">
        <v>4.68</v>
      </c>
      <c r="H82" s="78" t="s">
        <v>662</v>
      </c>
      <c r="I82" s="78" t="s">
        <v>842</v>
      </c>
      <c r="J82">
        <v>0</v>
      </c>
      <c r="K82">
        <v>0</v>
      </c>
      <c r="L82">
        <v>1</v>
      </c>
      <c r="M82">
        <v>1606</v>
      </c>
      <c r="N82" s="78" t="s">
        <v>80</v>
      </c>
      <c r="O82">
        <v>1</v>
      </c>
      <c r="P82" s="82">
        <v>15.55</v>
      </c>
    </row>
    <row r="83" spans="1:16" x14ac:dyDescent="0.25">
      <c r="A83">
        <v>1607</v>
      </c>
      <c r="B83">
        <v>1607</v>
      </c>
      <c r="C83" s="78" t="s">
        <v>843</v>
      </c>
      <c r="D83" s="78" t="s">
        <v>833</v>
      </c>
      <c r="E83" s="78" t="s">
        <v>833</v>
      </c>
      <c r="F83" s="78" t="s">
        <v>661</v>
      </c>
      <c r="G83">
        <v>4.68</v>
      </c>
      <c r="H83" s="78" t="s">
        <v>662</v>
      </c>
      <c r="I83" s="78" t="s">
        <v>844</v>
      </c>
      <c r="J83">
        <v>0</v>
      </c>
      <c r="K83">
        <v>0</v>
      </c>
      <c r="L83">
        <v>1</v>
      </c>
      <c r="M83">
        <v>1607</v>
      </c>
      <c r="N83" s="78" t="s">
        <v>83</v>
      </c>
      <c r="O83">
        <v>1</v>
      </c>
      <c r="P83" s="82">
        <v>15.55</v>
      </c>
    </row>
    <row r="84" spans="1:16" x14ac:dyDescent="0.25">
      <c r="A84">
        <v>1608</v>
      </c>
      <c r="B84">
        <v>1608</v>
      </c>
      <c r="C84" s="78" t="s">
        <v>845</v>
      </c>
      <c r="D84" s="78" t="s">
        <v>833</v>
      </c>
      <c r="E84" s="78" t="s">
        <v>833</v>
      </c>
      <c r="F84" s="78" t="s">
        <v>661</v>
      </c>
      <c r="G84">
        <v>4.68</v>
      </c>
      <c r="H84" s="78" t="s">
        <v>662</v>
      </c>
      <c r="I84" s="78" t="s">
        <v>846</v>
      </c>
      <c r="J84">
        <v>0</v>
      </c>
      <c r="K84">
        <v>0</v>
      </c>
      <c r="L84">
        <v>1</v>
      </c>
      <c r="M84">
        <v>1608</v>
      </c>
      <c r="N84" s="78" t="s">
        <v>85</v>
      </c>
      <c r="O84">
        <v>1</v>
      </c>
      <c r="P84" s="82">
        <v>15.55</v>
      </c>
    </row>
    <row r="85" spans="1:16" x14ac:dyDescent="0.25">
      <c r="A85">
        <v>1609</v>
      </c>
      <c r="B85">
        <v>1609</v>
      </c>
      <c r="C85" s="78" t="s">
        <v>1788</v>
      </c>
      <c r="D85" s="78" t="s">
        <v>833</v>
      </c>
      <c r="E85" s="78" t="s">
        <v>833</v>
      </c>
      <c r="F85" s="78" t="s">
        <v>661</v>
      </c>
      <c r="G85">
        <v>4.68</v>
      </c>
      <c r="H85" s="78" t="s">
        <v>662</v>
      </c>
      <c r="I85" s="78" t="s">
        <v>847</v>
      </c>
      <c r="J85">
        <v>0</v>
      </c>
      <c r="K85">
        <v>0</v>
      </c>
      <c r="L85">
        <v>1</v>
      </c>
      <c r="M85">
        <v>1609</v>
      </c>
      <c r="N85" s="78" t="s">
        <v>86</v>
      </c>
      <c r="O85">
        <v>1</v>
      </c>
      <c r="P85" s="82">
        <v>15.55</v>
      </c>
    </row>
    <row r="86" spans="1:16" x14ac:dyDescent="0.25">
      <c r="A86">
        <v>1610</v>
      </c>
      <c r="B86">
        <v>1610</v>
      </c>
      <c r="C86" s="78" t="s">
        <v>1789</v>
      </c>
      <c r="D86" s="78" t="s">
        <v>833</v>
      </c>
      <c r="E86" s="78" t="s">
        <v>833</v>
      </c>
      <c r="F86" s="78" t="s">
        <v>661</v>
      </c>
      <c r="G86">
        <v>4.68</v>
      </c>
      <c r="H86" s="78" t="s">
        <v>662</v>
      </c>
      <c r="I86" s="78" t="s">
        <v>848</v>
      </c>
      <c r="J86">
        <v>0</v>
      </c>
      <c r="K86">
        <v>0</v>
      </c>
      <c r="L86">
        <v>1</v>
      </c>
      <c r="M86">
        <v>1610</v>
      </c>
      <c r="N86" s="78" t="s">
        <v>87</v>
      </c>
      <c r="O86">
        <v>1</v>
      </c>
      <c r="P86" s="82">
        <v>15.55</v>
      </c>
    </row>
    <row r="87" spans="1:16" x14ac:dyDescent="0.25">
      <c r="A87">
        <v>1622</v>
      </c>
      <c r="B87">
        <v>1622</v>
      </c>
      <c r="C87" s="78" t="s">
        <v>849</v>
      </c>
      <c r="D87" s="78" t="s">
        <v>833</v>
      </c>
      <c r="E87" s="78" t="s">
        <v>833</v>
      </c>
      <c r="F87" s="78" t="s">
        <v>661</v>
      </c>
      <c r="G87">
        <v>4.68</v>
      </c>
      <c r="H87" s="78" t="s">
        <v>662</v>
      </c>
      <c r="I87" s="78" t="s">
        <v>850</v>
      </c>
      <c r="J87">
        <v>0</v>
      </c>
      <c r="K87">
        <v>0</v>
      </c>
      <c r="L87">
        <v>1</v>
      </c>
      <c r="M87">
        <v>1622</v>
      </c>
      <c r="N87" s="78" t="s">
        <v>99</v>
      </c>
      <c r="O87">
        <v>1</v>
      </c>
      <c r="P87" s="82">
        <v>15.55</v>
      </c>
    </row>
    <row r="88" spans="1:16" x14ac:dyDescent="0.25">
      <c r="A88">
        <v>1623</v>
      </c>
      <c r="B88">
        <v>1623</v>
      </c>
      <c r="C88" s="78" t="s">
        <v>851</v>
      </c>
      <c r="D88" s="78" t="s">
        <v>833</v>
      </c>
      <c r="E88" s="78" t="s">
        <v>833</v>
      </c>
      <c r="F88" s="78" t="s">
        <v>661</v>
      </c>
      <c r="G88">
        <v>4.68</v>
      </c>
      <c r="H88" s="78" t="s">
        <v>662</v>
      </c>
      <c r="I88" s="78" t="s">
        <v>852</v>
      </c>
      <c r="J88">
        <v>0</v>
      </c>
      <c r="K88">
        <v>0</v>
      </c>
      <c r="L88">
        <v>1</v>
      </c>
      <c r="M88">
        <v>1623</v>
      </c>
      <c r="N88" s="78" t="s">
        <v>101</v>
      </c>
      <c r="O88">
        <v>1</v>
      </c>
      <c r="P88" s="82">
        <v>15.55</v>
      </c>
    </row>
    <row r="89" spans="1:16" x14ac:dyDescent="0.25">
      <c r="A89">
        <v>1624</v>
      </c>
      <c r="B89">
        <v>1624</v>
      </c>
      <c r="C89" s="78" t="s">
        <v>853</v>
      </c>
      <c r="D89" s="78" t="s">
        <v>833</v>
      </c>
      <c r="E89" s="78" t="s">
        <v>833</v>
      </c>
      <c r="F89" s="78" t="s">
        <v>661</v>
      </c>
      <c r="G89">
        <v>4.68</v>
      </c>
      <c r="H89" s="78" t="s">
        <v>662</v>
      </c>
      <c r="I89" s="78" t="s">
        <v>854</v>
      </c>
      <c r="J89">
        <v>0</v>
      </c>
      <c r="K89">
        <v>0</v>
      </c>
      <c r="L89">
        <v>1</v>
      </c>
      <c r="M89">
        <v>1624</v>
      </c>
      <c r="N89" s="78" t="s">
        <v>103</v>
      </c>
      <c r="O89">
        <v>1</v>
      </c>
      <c r="P89" s="82">
        <v>15.55</v>
      </c>
    </row>
    <row r="90" spans="1:16" x14ac:dyDescent="0.25">
      <c r="A90">
        <v>1625</v>
      </c>
      <c r="B90">
        <v>1625</v>
      </c>
      <c r="C90" s="78" t="s">
        <v>855</v>
      </c>
      <c r="D90" s="78" t="s">
        <v>833</v>
      </c>
      <c r="E90" s="78" t="s">
        <v>833</v>
      </c>
      <c r="F90" s="78" t="s">
        <v>661</v>
      </c>
      <c r="G90">
        <v>4.68</v>
      </c>
      <c r="H90" s="78" t="s">
        <v>662</v>
      </c>
      <c r="I90" s="78" t="s">
        <v>856</v>
      </c>
      <c r="J90">
        <v>0</v>
      </c>
      <c r="K90">
        <v>0</v>
      </c>
      <c r="L90">
        <v>1</v>
      </c>
      <c r="M90">
        <v>1625</v>
      </c>
      <c r="N90" s="78" t="s">
        <v>105</v>
      </c>
      <c r="O90">
        <v>1</v>
      </c>
      <c r="P90" s="82">
        <v>15.55</v>
      </c>
    </row>
    <row r="91" spans="1:16" x14ac:dyDescent="0.25">
      <c r="A91">
        <v>1626</v>
      </c>
      <c r="B91">
        <v>1626</v>
      </c>
      <c r="C91" s="78" t="s">
        <v>857</v>
      </c>
      <c r="D91" s="78" t="s">
        <v>833</v>
      </c>
      <c r="E91" s="78" t="s">
        <v>833</v>
      </c>
      <c r="F91" s="78" t="s">
        <v>661</v>
      </c>
      <c r="G91">
        <v>4.68</v>
      </c>
      <c r="H91" s="78" t="s">
        <v>662</v>
      </c>
      <c r="I91" s="78" t="s">
        <v>858</v>
      </c>
      <c r="J91">
        <v>0</v>
      </c>
      <c r="K91">
        <v>0</v>
      </c>
      <c r="L91">
        <v>1</v>
      </c>
      <c r="M91">
        <v>1626</v>
      </c>
      <c r="N91" s="78" t="s">
        <v>107</v>
      </c>
      <c r="O91">
        <v>1</v>
      </c>
      <c r="P91" s="82">
        <v>15.55</v>
      </c>
    </row>
    <row r="92" spans="1:16" x14ac:dyDescent="0.25">
      <c r="A92">
        <v>1627</v>
      </c>
      <c r="B92">
        <v>1627</v>
      </c>
      <c r="C92" s="78" t="s">
        <v>859</v>
      </c>
      <c r="D92" s="78" t="s">
        <v>833</v>
      </c>
      <c r="E92" s="78" t="s">
        <v>833</v>
      </c>
      <c r="F92" s="78" t="s">
        <v>661</v>
      </c>
      <c r="G92">
        <v>4.68</v>
      </c>
      <c r="H92" s="78" t="s">
        <v>662</v>
      </c>
      <c r="I92" s="78" t="s">
        <v>860</v>
      </c>
      <c r="J92">
        <v>0</v>
      </c>
      <c r="K92">
        <v>0</v>
      </c>
      <c r="L92">
        <v>1</v>
      </c>
      <c r="M92">
        <v>1627</v>
      </c>
      <c r="N92" s="78" t="s">
        <v>109</v>
      </c>
      <c r="O92">
        <v>1</v>
      </c>
      <c r="P92" s="82">
        <v>15.55</v>
      </c>
    </row>
    <row r="93" spans="1:16" x14ac:dyDescent="0.25">
      <c r="A93">
        <v>1628</v>
      </c>
      <c r="B93">
        <v>1628</v>
      </c>
      <c r="C93" s="78" t="s">
        <v>861</v>
      </c>
      <c r="D93" s="78" t="s">
        <v>833</v>
      </c>
      <c r="E93" s="78" t="s">
        <v>833</v>
      </c>
      <c r="F93" s="78" t="s">
        <v>661</v>
      </c>
      <c r="G93">
        <v>4.68</v>
      </c>
      <c r="H93" s="78" t="s">
        <v>662</v>
      </c>
      <c r="I93" s="78" t="s">
        <v>862</v>
      </c>
      <c r="J93">
        <v>0</v>
      </c>
      <c r="K93">
        <v>0</v>
      </c>
      <c r="L93">
        <v>1</v>
      </c>
      <c r="M93">
        <v>1628</v>
      </c>
      <c r="N93" s="78" t="s">
        <v>111</v>
      </c>
      <c r="O93">
        <v>1</v>
      </c>
      <c r="P93" s="82">
        <v>15.55</v>
      </c>
    </row>
    <row r="94" spans="1:16" x14ac:dyDescent="0.25">
      <c r="A94">
        <v>1630</v>
      </c>
      <c r="B94">
        <v>1630</v>
      </c>
      <c r="C94" s="78" t="s">
        <v>863</v>
      </c>
      <c r="D94" s="78" t="s">
        <v>833</v>
      </c>
      <c r="E94" s="78" t="s">
        <v>833</v>
      </c>
      <c r="F94" s="78" t="s">
        <v>661</v>
      </c>
      <c r="G94">
        <v>16</v>
      </c>
      <c r="H94" s="78" t="s">
        <v>662</v>
      </c>
      <c r="I94" s="78" t="s">
        <v>864</v>
      </c>
      <c r="J94">
        <v>0</v>
      </c>
      <c r="K94">
        <v>0</v>
      </c>
      <c r="L94">
        <v>1</v>
      </c>
      <c r="M94">
        <v>1630</v>
      </c>
      <c r="N94" s="78" t="s">
        <v>865</v>
      </c>
      <c r="O94">
        <v>1</v>
      </c>
      <c r="P94" s="82">
        <v>40</v>
      </c>
    </row>
    <row r="95" spans="1:16" x14ac:dyDescent="0.25">
      <c r="A95">
        <v>1632</v>
      </c>
      <c r="B95">
        <v>1632</v>
      </c>
      <c r="C95" s="78" t="s">
        <v>866</v>
      </c>
      <c r="D95" s="78" t="s">
        <v>833</v>
      </c>
      <c r="E95" s="78" t="s">
        <v>833</v>
      </c>
      <c r="F95" s="78" t="s">
        <v>661</v>
      </c>
      <c r="G95">
        <v>16</v>
      </c>
      <c r="H95" s="78" t="s">
        <v>662</v>
      </c>
      <c r="I95" s="78" t="s">
        <v>867</v>
      </c>
      <c r="J95">
        <v>0</v>
      </c>
      <c r="K95">
        <v>0</v>
      </c>
      <c r="L95">
        <v>1</v>
      </c>
      <c r="M95">
        <v>1632</v>
      </c>
      <c r="N95" s="78" t="s">
        <v>868</v>
      </c>
      <c r="O95">
        <v>1</v>
      </c>
      <c r="P95" s="82">
        <v>40</v>
      </c>
    </row>
    <row r="96" spans="1:16" x14ac:dyDescent="0.25">
      <c r="A96">
        <v>1634</v>
      </c>
      <c r="B96">
        <v>1634</v>
      </c>
      <c r="C96" s="78" t="s">
        <v>869</v>
      </c>
      <c r="D96" s="78" t="s">
        <v>833</v>
      </c>
      <c r="E96" s="78" t="s">
        <v>833</v>
      </c>
      <c r="F96" s="78" t="s">
        <v>661</v>
      </c>
      <c r="G96">
        <v>16</v>
      </c>
      <c r="H96" s="78" t="s">
        <v>662</v>
      </c>
      <c r="I96" s="78" t="s">
        <v>870</v>
      </c>
      <c r="J96">
        <v>0</v>
      </c>
      <c r="K96">
        <v>0</v>
      </c>
      <c r="L96">
        <v>1</v>
      </c>
      <c r="M96">
        <v>1634</v>
      </c>
      <c r="N96" s="78" t="s">
        <v>871</v>
      </c>
      <c r="O96">
        <v>1</v>
      </c>
      <c r="P96" s="82">
        <v>40</v>
      </c>
    </row>
    <row r="97" spans="1:16" x14ac:dyDescent="0.25">
      <c r="A97">
        <v>1636</v>
      </c>
      <c r="B97">
        <v>1636</v>
      </c>
      <c r="C97" s="78" t="s">
        <v>872</v>
      </c>
      <c r="D97" s="78" t="s">
        <v>833</v>
      </c>
      <c r="E97" s="78" t="s">
        <v>833</v>
      </c>
      <c r="F97" s="78" t="s">
        <v>661</v>
      </c>
      <c r="G97">
        <v>16</v>
      </c>
      <c r="H97" s="78" t="s">
        <v>662</v>
      </c>
      <c r="I97" s="78" t="s">
        <v>873</v>
      </c>
      <c r="J97">
        <v>0</v>
      </c>
      <c r="K97">
        <v>0</v>
      </c>
      <c r="L97">
        <v>1</v>
      </c>
      <c r="M97">
        <v>1636</v>
      </c>
      <c r="N97" s="78" t="s">
        <v>874</v>
      </c>
      <c r="O97">
        <v>1</v>
      </c>
      <c r="P97" s="82">
        <v>40</v>
      </c>
    </row>
    <row r="98" spans="1:16" x14ac:dyDescent="0.25">
      <c r="A98">
        <v>1638</v>
      </c>
      <c r="B98">
        <v>1638</v>
      </c>
      <c r="C98" s="78" t="s">
        <v>875</v>
      </c>
      <c r="D98" s="78" t="s">
        <v>833</v>
      </c>
      <c r="E98" s="78" t="s">
        <v>833</v>
      </c>
      <c r="F98" s="78" t="s">
        <v>661</v>
      </c>
      <c r="G98">
        <v>16</v>
      </c>
      <c r="H98" s="78" t="s">
        <v>662</v>
      </c>
      <c r="I98" s="78" t="s">
        <v>876</v>
      </c>
      <c r="J98">
        <v>0</v>
      </c>
      <c r="K98">
        <v>0</v>
      </c>
      <c r="L98">
        <v>1</v>
      </c>
      <c r="M98">
        <v>1638</v>
      </c>
      <c r="N98" s="78" t="s">
        <v>877</v>
      </c>
      <c r="O98">
        <v>1</v>
      </c>
      <c r="P98" s="82">
        <v>40</v>
      </c>
    </row>
    <row r="99" spans="1:16" x14ac:dyDescent="0.25">
      <c r="A99">
        <v>1703</v>
      </c>
      <c r="B99">
        <v>1703</v>
      </c>
      <c r="C99" s="78" t="s">
        <v>878</v>
      </c>
      <c r="D99" s="78" t="s">
        <v>833</v>
      </c>
      <c r="E99" s="78" t="s">
        <v>833</v>
      </c>
      <c r="F99" s="78" t="s">
        <v>661</v>
      </c>
      <c r="G99">
        <v>2.59</v>
      </c>
      <c r="H99" s="78" t="s">
        <v>662</v>
      </c>
      <c r="I99" s="78" t="s">
        <v>879</v>
      </c>
      <c r="J99">
        <v>0</v>
      </c>
      <c r="K99">
        <v>0</v>
      </c>
      <c r="L99">
        <v>1</v>
      </c>
      <c r="M99">
        <v>1703</v>
      </c>
      <c r="N99" s="78" t="s">
        <v>89</v>
      </c>
      <c r="O99">
        <v>1</v>
      </c>
      <c r="P99" s="82">
        <v>8</v>
      </c>
    </row>
    <row r="100" spans="1:16" x14ac:dyDescent="0.25">
      <c r="A100">
        <v>1705</v>
      </c>
      <c r="B100">
        <v>1705</v>
      </c>
      <c r="C100" s="78" t="s">
        <v>880</v>
      </c>
      <c r="D100" s="78" t="s">
        <v>833</v>
      </c>
      <c r="E100" s="78" t="s">
        <v>833</v>
      </c>
      <c r="F100" s="78" t="s">
        <v>661</v>
      </c>
      <c r="G100">
        <v>2.59</v>
      </c>
      <c r="H100" s="78" t="s">
        <v>662</v>
      </c>
      <c r="I100" s="78" t="s">
        <v>881</v>
      </c>
      <c r="J100">
        <v>0</v>
      </c>
      <c r="K100">
        <v>0</v>
      </c>
      <c r="L100">
        <v>1</v>
      </c>
      <c r="M100">
        <v>1705</v>
      </c>
      <c r="N100" s="78" t="s">
        <v>91</v>
      </c>
      <c r="O100">
        <v>1</v>
      </c>
      <c r="P100" s="82">
        <v>8</v>
      </c>
    </row>
    <row r="101" spans="1:16" x14ac:dyDescent="0.25">
      <c r="A101">
        <v>1707</v>
      </c>
      <c r="B101">
        <v>1707</v>
      </c>
      <c r="C101" s="78" t="s">
        <v>882</v>
      </c>
      <c r="D101" s="78" t="s">
        <v>833</v>
      </c>
      <c r="E101" s="78" t="s">
        <v>833</v>
      </c>
      <c r="F101" s="78" t="s">
        <v>661</v>
      </c>
      <c r="G101">
        <v>2.59</v>
      </c>
      <c r="H101" s="78" t="s">
        <v>662</v>
      </c>
      <c r="I101" s="78" t="s">
        <v>883</v>
      </c>
      <c r="J101">
        <v>0</v>
      </c>
      <c r="K101">
        <v>0</v>
      </c>
      <c r="L101">
        <v>1</v>
      </c>
      <c r="M101">
        <v>1707</v>
      </c>
      <c r="N101" s="78" t="s">
        <v>93</v>
      </c>
      <c r="O101">
        <v>1</v>
      </c>
      <c r="P101" s="82">
        <v>8</v>
      </c>
    </row>
    <row r="102" spans="1:16" x14ac:dyDescent="0.25">
      <c r="A102">
        <v>1708</v>
      </c>
      <c r="B102">
        <v>1708</v>
      </c>
      <c r="C102" s="78" t="s">
        <v>884</v>
      </c>
      <c r="D102" s="78" t="s">
        <v>833</v>
      </c>
      <c r="E102" s="78" t="s">
        <v>833</v>
      </c>
      <c r="F102" s="78" t="s">
        <v>661</v>
      </c>
      <c r="G102">
        <v>2.59</v>
      </c>
      <c r="H102" s="78" t="s">
        <v>662</v>
      </c>
      <c r="I102" s="78" t="s">
        <v>885</v>
      </c>
      <c r="J102">
        <v>0</v>
      </c>
      <c r="K102">
        <v>0</v>
      </c>
      <c r="L102">
        <v>1</v>
      </c>
      <c r="M102">
        <v>1708</v>
      </c>
      <c r="N102" s="78" t="s">
        <v>95</v>
      </c>
      <c r="O102">
        <v>1</v>
      </c>
      <c r="P102" s="82">
        <v>8</v>
      </c>
    </row>
    <row r="103" spans="1:16" x14ac:dyDescent="0.25">
      <c r="A103">
        <v>1710</v>
      </c>
      <c r="B103">
        <v>1710</v>
      </c>
      <c r="C103" s="78" t="s">
        <v>886</v>
      </c>
      <c r="D103" s="78" t="s">
        <v>833</v>
      </c>
      <c r="E103" s="78" t="s">
        <v>833</v>
      </c>
      <c r="F103" s="78" t="s">
        <v>661</v>
      </c>
      <c r="G103">
        <v>2.59</v>
      </c>
      <c r="H103" s="78" t="s">
        <v>662</v>
      </c>
      <c r="I103" s="78" t="s">
        <v>887</v>
      </c>
      <c r="J103">
        <v>0</v>
      </c>
      <c r="K103">
        <v>0</v>
      </c>
      <c r="L103">
        <v>1</v>
      </c>
      <c r="M103">
        <v>1710</v>
      </c>
      <c r="N103" s="78" t="s">
        <v>97</v>
      </c>
      <c r="O103">
        <v>1</v>
      </c>
      <c r="P103" s="82">
        <v>8</v>
      </c>
    </row>
    <row r="104" spans="1:16" x14ac:dyDescent="0.25">
      <c r="A104">
        <v>1800</v>
      </c>
      <c r="B104">
        <v>1800</v>
      </c>
      <c r="C104" s="78" t="s">
        <v>888</v>
      </c>
      <c r="D104" s="78" t="s">
        <v>889</v>
      </c>
      <c r="E104" s="78" t="s">
        <v>889</v>
      </c>
      <c r="F104" s="78" t="s">
        <v>661</v>
      </c>
      <c r="G104">
        <v>0.24</v>
      </c>
      <c r="H104" s="78" t="s">
        <v>662</v>
      </c>
      <c r="I104" s="78" t="s">
        <v>890</v>
      </c>
      <c r="J104">
        <v>0</v>
      </c>
      <c r="K104">
        <v>0</v>
      </c>
      <c r="L104">
        <v>12</v>
      </c>
      <c r="M104">
        <v>1800</v>
      </c>
      <c r="N104" s="78" t="s">
        <v>73</v>
      </c>
      <c r="O104">
        <v>1</v>
      </c>
      <c r="P104" s="82">
        <v>1</v>
      </c>
    </row>
    <row r="105" spans="1:16" x14ac:dyDescent="0.25">
      <c r="A105">
        <v>1810</v>
      </c>
      <c r="B105">
        <v>1810</v>
      </c>
      <c r="C105" s="78" t="s">
        <v>891</v>
      </c>
      <c r="D105" s="78" t="s">
        <v>889</v>
      </c>
      <c r="E105" s="78" t="s">
        <v>889</v>
      </c>
      <c r="F105" s="78" t="s">
        <v>661</v>
      </c>
      <c r="G105">
        <v>0.74909999999999999</v>
      </c>
      <c r="H105" s="78" t="s">
        <v>892</v>
      </c>
      <c r="I105" s="78" t="s">
        <v>893</v>
      </c>
      <c r="J105">
        <v>0</v>
      </c>
      <c r="K105">
        <v>0</v>
      </c>
      <c r="L105">
        <v>12</v>
      </c>
      <c r="M105">
        <v>1810</v>
      </c>
      <c r="N105" s="78" t="s">
        <v>76</v>
      </c>
      <c r="O105">
        <v>1</v>
      </c>
      <c r="P105" s="82">
        <v>5</v>
      </c>
    </row>
    <row r="106" spans="1:16" x14ac:dyDescent="0.25">
      <c r="A106">
        <v>1820</v>
      </c>
      <c r="B106">
        <v>1820</v>
      </c>
      <c r="C106" s="78" t="s">
        <v>79</v>
      </c>
      <c r="D106" s="78" t="s">
        <v>889</v>
      </c>
      <c r="E106" s="78" t="s">
        <v>889</v>
      </c>
      <c r="F106" s="78" t="s">
        <v>661</v>
      </c>
      <c r="G106">
        <v>0.6</v>
      </c>
      <c r="H106" s="78" t="s">
        <v>662</v>
      </c>
      <c r="I106" s="78" t="s">
        <v>894</v>
      </c>
      <c r="J106">
        <v>0</v>
      </c>
      <c r="K106">
        <v>0</v>
      </c>
      <c r="L106">
        <v>1</v>
      </c>
      <c r="M106">
        <v>1820</v>
      </c>
      <c r="N106" s="78" t="s">
        <v>79</v>
      </c>
      <c r="O106">
        <v>1</v>
      </c>
      <c r="P106" s="82">
        <v>2.1</v>
      </c>
    </row>
    <row r="107" spans="1:16" x14ac:dyDescent="0.25">
      <c r="A107">
        <v>1850</v>
      </c>
      <c r="B107">
        <v>1850</v>
      </c>
      <c r="C107" s="78" t="s">
        <v>1790</v>
      </c>
      <c r="D107" s="78" t="s">
        <v>895</v>
      </c>
      <c r="E107" s="78" t="s">
        <v>895</v>
      </c>
      <c r="F107" s="78" t="s">
        <v>661</v>
      </c>
      <c r="G107">
        <v>0.75</v>
      </c>
      <c r="H107" s="78" t="s">
        <v>662</v>
      </c>
      <c r="I107" s="78" t="s">
        <v>896</v>
      </c>
      <c r="J107">
        <v>0</v>
      </c>
      <c r="K107">
        <v>0</v>
      </c>
      <c r="L107">
        <v>12</v>
      </c>
      <c r="M107">
        <v>1850</v>
      </c>
      <c r="N107" s="78" t="s">
        <v>1791</v>
      </c>
      <c r="O107">
        <v>1</v>
      </c>
      <c r="P107" s="82">
        <v>2.75</v>
      </c>
    </row>
    <row r="108" spans="1:16" x14ac:dyDescent="0.25">
      <c r="A108">
        <v>1900</v>
      </c>
      <c r="B108">
        <v>1900</v>
      </c>
      <c r="C108" s="78" t="s">
        <v>897</v>
      </c>
      <c r="D108" s="78" t="s">
        <v>889</v>
      </c>
      <c r="E108" s="78" t="s">
        <v>889</v>
      </c>
      <c r="F108" s="78" t="s">
        <v>661</v>
      </c>
      <c r="G108">
        <v>1.4</v>
      </c>
      <c r="H108" s="78" t="s">
        <v>662</v>
      </c>
      <c r="I108" s="78" t="s">
        <v>898</v>
      </c>
      <c r="J108">
        <v>0</v>
      </c>
      <c r="K108">
        <v>0</v>
      </c>
      <c r="L108">
        <v>1</v>
      </c>
      <c r="M108">
        <v>1900</v>
      </c>
      <c r="N108" s="78" t="s">
        <v>62</v>
      </c>
      <c r="O108">
        <v>1</v>
      </c>
      <c r="P108" s="82">
        <v>5.6</v>
      </c>
    </row>
    <row r="109" spans="1:16" x14ac:dyDescent="0.25">
      <c r="A109">
        <v>1901</v>
      </c>
      <c r="B109">
        <v>1901</v>
      </c>
      <c r="C109" s="78" t="s">
        <v>899</v>
      </c>
      <c r="D109" s="78" t="s">
        <v>889</v>
      </c>
      <c r="E109" s="78" t="s">
        <v>889</v>
      </c>
      <c r="F109" s="78" t="s">
        <v>661</v>
      </c>
      <c r="G109">
        <v>1.5</v>
      </c>
      <c r="H109" s="78" t="s">
        <v>662</v>
      </c>
      <c r="I109" s="78" t="s">
        <v>900</v>
      </c>
      <c r="J109">
        <v>0</v>
      </c>
      <c r="K109">
        <v>0</v>
      </c>
      <c r="L109">
        <v>1</v>
      </c>
      <c r="M109">
        <v>1901</v>
      </c>
      <c r="N109" s="78" t="s">
        <v>64</v>
      </c>
      <c r="O109">
        <v>1</v>
      </c>
      <c r="P109" s="82">
        <v>5.8</v>
      </c>
    </row>
    <row r="110" spans="1:16" x14ac:dyDescent="0.25">
      <c r="A110">
        <v>1910</v>
      </c>
      <c r="B110">
        <v>1910</v>
      </c>
      <c r="C110" s="78" t="s">
        <v>901</v>
      </c>
      <c r="D110" s="78" t="s">
        <v>889</v>
      </c>
      <c r="E110" s="78" t="s">
        <v>889</v>
      </c>
      <c r="F110" s="78" t="s">
        <v>661</v>
      </c>
      <c r="G110">
        <v>3.75</v>
      </c>
      <c r="H110" s="78" t="s">
        <v>662</v>
      </c>
      <c r="I110" s="78" t="s">
        <v>902</v>
      </c>
      <c r="J110">
        <v>0</v>
      </c>
      <c r="K110">
        <v>0</v>
      </c>
      <c r="L110">
        <v>1</v>
      </c>
      <c r="M110">
        <v>1910</v>
      </c>
      <c r="N110" s="78" t="s">
        <v>67</v>
      </c>
      <c r="O110">
        <v>1</v>
      </c>
      <c r="P110" s="82">
        <v>11</v>
      </c>
    </row>
    <row r="111" spans="1:16" x14ac:dyDescent="0.25">
      <c r="A111">
        <v>1920</v>
      </c>
      <c r="B111">
        <v>1920</v>
      </c>
      <c r="C111" s="78" t="s">
        <v>903</v>
      </c>
      <c r="D111" s="78" t="s">
        <v>889</v>
      </c>
      <c r="E111" s="78" t="s">
        <v>889</v>
      </c>
      <c r="F111" s="78" t="s">
        <v>661</v>
      </c>
      <c r="G111">
        <v>3</v>
      </c>
      <c r="H111" s="78" t="s">
        <v>662</v>
      </c>
      <c r="I111" s="78" t="s">
        <v>904</v>
      </c>
      <c r="J111">
        <v>0</v>
      </c>
      <c r="K111">
        <v>0</v>
      </c>
      <c r="L111">
        <v>1</v>
      </c>
      <c r="M111">
        <v>1920</v>
      </c>
      <c r="N111" s="78" t="s">
        <v>70</v>
      </c>
      <c r="O111">
        <v>1</v>
      </c>
      <c r="P111" s="82">
        <v>10.5</v>
      </c>
    </row>
    <row r="112" spans="1:16" x14ac:dyDescent="0.25">
      <c r="A112">
        <v>2000</v>
      </c>
      <c r="B112">
        <v>2000</v>
      </c>
      <c r="C112" s="78" t="s">
        <v>905</v>
      </c>
      <c r="D112" s="78" t="s">
        <v>889</v>
      </c>
      <c r="E112" s="78" t="s">
        <v>889</v>
      </c>
      <c r="F112" s="78" t="s">
        <v>661</v>
      </c>
      <c r="G112">
        <v>2.48</v>
      </c>
      <c r="H112" s="78" t="s">
        <v>662</v>
      </c>
      <c r="I112" s="78" t="s">
        <v>906</v>
      </c>
      <c r="J112">
        <v>0</v>
      </c>
      <c r="K112">
        <v>0</v>
      </c>
      <c r="L112">
        <v>1</v>
      </c>
      <c r="M112">
        <v>2000</v>
      </c>
      <c r="N112" s="78" t="s">
        <v>82</v>
      </c>
      <c r="O112">
        <v>1</v>
      </c>
      <c r="P112" s="82">
        <v>7.5</v>
      </c>
    </row>
    <row r="113" spans="1:16" x14ac:dyDescent="0.25">
      <c r="A113">
        <v>2100</v>
      </c>
      <c r="B113">
        <v>2100</v>
      </c>
      <c r="C113" s="78" t="s">
        <v>907</v>
      </c>
      <c r="D113" s="78" t="s">
        <v>908</v>
      </c>
      <c r="E113" s="78" t="s">
        <v>908</v>
      </c>
      <c r="F113" s="78" t="s">
        <v>661</v>
      </c>
      <c r="G113">
        <v>6.82</v>
      </c>
      <c r="H113" s="78" t="s">
        <v>662</v>
      </c>
      <c r="I113" s="78" t="s">
        <v>909</v>
      </c>
      <c r="J113">
        <v>0</v>
      </c>
      <c r="K113">
        <v>0</v>
      </c>
      <c r="L113">
        <v>1</v>
      </c>
      <c r="M113">
        <v>2100</v>
      </c>
      <c r="N113" s="78" t="s">
        <v>333</v>
      </c>
      <c r="O113">
        <v>1</v>
      </c>
      <c r="P113" s="82">
        <v>20</v>
      </c>
    </row>
    <row r="114" spans="1:16" x14ac:dyDescent="0.25">
      <c r="A114">
        <v>2101</v>
      </c>
      <c r="B114">
        <v>2101</v>
      </c>
      <c r="C114" s="78" t="s">
        <v>1821</v>
      </c>
      <c r="D114" s="78" t="s">
        <v>908</v>
      </c>
      <c r="E114" s="78" t="s">
        <v>908</v>
      </c>
      <c r="F114" s="78" t="s">
        <v>661</v>
      </c>
      <c r="G114">
        <v>1.75</v>
      </c>
      <c r="H114" s="78" t="s">
        <v>662</v>
      </c>
      <c r="I114" s="78" t="s">
        <v>1822</v>
      </c>
      <c r="J114">
        <v>0</v>
      </c>
      <c r="K114">
        <v>0</v>
      </c>
      <c r="L114">
        <v>72</v>
      </c>
      <c r="M114">
        <v>2101</v>
      </c>
      <c r="N114" s="78" t="s">
        <v>1823</v>
      </c>
      <c r="O114">
        <v>1</v>
      </c>
      <c r="P114" s="82">
        <v>7</v>
      </c>
    </row>
    <row r="115" spans="1:16" x14ac:dyDescent="0.25">
      <c r="A115">
        <v>2200</v>
      </c>
      <c r="B115">
        <v>2200</v>
      </c>
      <c r="C115" s="78" t="s">
        <v>910</v>
      </c>
      <c r="D115" s="78" t="s">
        <v>911</v>
      </c>
      <c r="E115" s="78" t="s">
        <v>911</v>
      </c>
      <c r="F115" s="78" t="s">
        <v>661</v>
      </c>
      <c r="G115">
        <v>0.41799999999999998</v>
      </c>
      <c r="H115" s="78" t="s">
        <v>662</v>
      </c>
      <c r="I115" s="78" t="s">
        <v>912</v>
      </c>
      <c r="J115">
        <v>0</v>
      </c>
      <c r="K115">
        <v>0</v>
      </c>
      <c r="L115">
        <v>150</v>
      </c>
      <c r="M115">
        <v>2200</v>
      </c>
      <c r="N115" s="78" t="s">
        <v>242</v>
      </c>
      <c r="O115">
        <v>1</v>
      </c>
      <c r="P115" s="82">
        <v>3.15</v>
      </c>
    </row>
    <row r="116" spans="1:16" x14ac:dyDescent="0.25">
      <c r="A116">
        <v>2201</v>
      </c>
      <c r="B116">
        <v>2201</v>
      </c>
      <c r="C116" s="78" t="s">
        <v>913</v>
      </c>
      <c r="D116" s="78" t="s">
        <v>911</v>
      </c>
      <c r="E116" s="78" t="s">
        <v>911</v>
      </c>
      <c r="F116" s="78" t="s">
        <v>661</v>
      </c>
      <c r="G116">
        <v>0.27</v>
      </c>
      <c r="H116" s="78" t="s">
        <v>662</v>
      </c>
      <c r="I116" s="78" t="s">
        <v>914</v>
      </c>
      <c r="J116">
        <v>0</v>
      </c>
      <c r="K116">
        <v>0</v>
      </c>
      <c r="L116">
        <v>100</v>
      </c>
      <c r="M116">
        <v>2201</v>
      </c>
      <c r="N116" s="78" t="s">
        <v>245</v>
      </c>
      <c r="O116">
        <v>1</v>
      </c>
      <c r="P116" s="82">
        <v>0.9</v>
      </c>
    </row>
    <row r="117" spans="1:16" x14ac:dyDescent="0.25">
      <c r="A117">
        <v>2202</v>
      </c>
      <c r="B117">
        <v>2202</v>
      </c>
      <c r="C117" s="78" t="s">
        <v>915</v>
      </c>
      <c r="D117" s="78" t="s">
        <v>911</v>
      </c>
      <c r="E117" s="78" t="s">
        <v>911</v>
      </c>
      <c r="F117" s="78" t="s">
        <v>661</v>
      </c>
      <c r="G117">
        <v>0.5</v>
      </c>
      <c r="H117" s="78" t="s">
        <v>662</v>
      </c>
      <c r="I117" s="78" t="s">
        <v>916</v>
      </c>
      <c r="J117">
        <v>0</v>
      </c>
      <c r="K117">
        <v>0</v>
      </c>
      <c r="L117">
        <v>48</v>
      </c>
      <c r="M117">
        <v>2202</v>
      </c>
      <c r="N117" s="78" t="s">
        <v>248</v>
      </c>
      <c r="O117">
        <v>1</v>
      </c>
      <c r="P117" s="82">
        <v>1.5</v>
      </c>
    </row>
    <row r="118" spans="1:16" x14ac:dyDescent="0.25">
      <c r="A118">
        <v>2230</v>
      </c>
      <c r="B118">
        <v>2230</v>
      </c>
      <c r="C118" s="78" t="s">
        <v>917</v>
      </c>
      <c r="D118" s="78" t="s">
        <v>911</v>
      </c>
      <c r="E118" s="78" t="s">
        <v>911</v>
      </c>
      <c r="F118" s="78" t="s">
        <v>661</v>
      </c>
      <c r="G118">
        <v>9.5000000000000001E-2</v>
      </c>
      <c r="H118" s="78" t="s">
        <v>662</v>
      </c>
      <c r="I118" s="78" t="s">
        <v>918</v>
      </c>
      <c r="J118">
        <v>0</v>
      </c>
      <c r="K118">
        <v>0</v>
      </c>
      <c r="L118">
        <v>144</v>
      </c>
      <c r="M118">
        <v>2230</v>
      </c>
      <c r="N118" s="78" t="s">
        <v>251</v>
      </c>
      <c r="O118">
        <v>1</v>
      </c>
      <c r="P118" s="82">
        <v>0.35</v>
      </c>
    </row>
    <row r="119" spans="1:16" x14ac:dyDescent="0.25">
      <c r="A119">
        <v>2231</v>
      </c>
      <c r="B119">
        <v>2231</v>
      </c>
      <c r="C119" s="78" t="s">
        <v>919</v>
      </c>
      <c r="D119" s="78" t="s">
        <v>911</v>
      </c>
      <c r="E119" s="78" t="s">
        <v>911</v>
      </c>
      <c r="F119" s="78" t="s">
        <v>661</v>
      </c>
      <c r="G119">
        <v>1.7999999999999999E-2</v>
      </c>
      <c r="H119" s="78" t="s">
        <v>662</v>
      </c>
      <c r="I119" s="78" t="s">
        <v>920</v>
      </c>
      <c r="J119">
        <v>0</v>
      </c>
      <c r="K119">
        <v>0</v>
      </c>
      <c r="L119">
        <v>1000</v>
      </c>
      <c r="M119">
        <v>2231</v>
      </c>
      <c r="N119" s="78" t="s">
        <v>254</v>
      </c>
      <c r="O119">
        <v>1</v>
      </c>
      <c r="P119" s="82">
        <v>0.15</v>
      </c>
    </row>
    <row r="120" spans="1:16" x14ac:dyDescent="0.25">
      <c r="A120">
        <v>2240</v>
      </c>
      <c r="B120">
        <v>2240</v>
      </c>
      <c r="C120" s="78" t="s">
        <v>921</v>
      </c>
      <c r="D120" s="78" t="s">
        <v>911</v>
      </c>
      <c r="E120" s="78" t="s">
        <v>911</v>
      </c>
      <c r="F120" s="78" t="s">
        <v>661</v>
      </c>
      <c r="G120">
        <v>18</v>
      </c>
      <c r="H120" s="78" t="s">
        <v>662</v>
      </c>
      <c r="I120" s="78" t="s">
        <v>922</v>
      </c>
      <c r="J120">
        <v>0</v>
      </c>
      <c r="K120">
        <v>0</v>
      </c>
      <c r="L120">
        <v>4</v>
      </c>
      <c r="M120">
        <v>2240</v>
      </c>
      <c r="N120" s="78" t="s">
        <v>923</v>
      </c>
      <c r="O120">
        <v>1</v>
      </c>
      <c r="P120" s="82">
        <v>20</v>
      </c>
    </row>
    <row r="121" spans="1:16" x14ac:dyDescent="0.25">
      <c r="A121">
        <v>2300</v>
      </c>
      <c r="B121">
        <v>2300</v>
      </c>
      <c r="C121" s="78" t="s">
        <v>924</v>
      </c>
      <c r="D121" s="78" t="s">
        <v>925</v>
      </c>
      <c r="E121" s="78" t="s">
        <v>925</v>
      </c>
      <c r="F121" s="78" t="s">
        <v>661</v>
      </c>
      <c r="G121">
        <v>0.34</v>
      </c>
      <c r="H121" s="78" t="s">
        <v>662</v>
      </c>
      <c r="I121" s="78" t="s">
        <v>926</v>
      </c>
      <c r="J121">
        <v>0</v>
      </c>
      <c r="K121">
        <v>0</v>
      </c>
      <c r="L121">
        <v>48</v>
      </c>
      <c r="M121">
        <v>2300</v>
      </c>
      <c r="N121" s="78" t="s">
        <v>262</v>
      </c>
      <c r="O121">
        <v>2</v>
      </c>
      <c r="P121" s="82">
        <v>2.8</v>
      </c>
    </row>
    <row r="122" spans="1:16" x14ac:dyDescent="0.25">
      <c r="A122">
        <v>2301</v>
      </c>
      <c r="B122">
        <v>2301</v>
      </c>
      <c r="C122" s="78" t="s">
        <v>927</v>
      </c>
      <c r="D122" s="78" t="s">
        <v>925</v>
      </c>
      <c r="E122" s="78" t="s">
        <v>925</v>
      </c>
      <c r="F122" s="78" t="s">
        <v>661</v>
      </c>
      <c r="G122">
        <v>1.1000000000000001</v>
      </c>
      <c r="H122" s="78" t="s">
        <v>662</v>
      </c>
      <c r="I122" s="78" t="s">
        <v>928</v>
      </c>
      <c r="J122">
        <v>0</v>
      </c>
      <c r="K122">
        <v>0</v>
      </c>
      <c r="L122">
        <v>12</v>
      </c>
      <c r="M122">
        <v>2301</v>
      </c>
      <c r="N122" s="78" t="s">
        <v>265</v>
      </c>
      <c r="O122">
        <v>1</v>
      </c>
      <c r="P122" s="82">
        <v>3.75</v>
      </c>
    </row>
    <row r="123" spans="1:16" x14ac:dyDescent="0.25">
      <c r="A123">
        <v>2310</v>
      </c>
      <c r="B123">
        <v>2310</v>
      </c>
      <c r="C123" s="78" t="s">
        <v>929</v>
      </c>
      <c r="D123" s="78" t="s">
        <v>925</v>
      </c>
      <c r="E123" s="78" t="s">
        <v>925</v>
      </c>
      <c r="F123" s="78" t="s">
        <v>661</v>
      </c>
      <c r="G123">
        <v>0.34</v>
      </c>
      <c r="H123" s="78" t="s">
        <v>662</v>
      </c>
      <c r="I123" s="78" t="s">
        <v>930</v>
      </c>
      <c r="J123">
        <v>0</v>
      </c>
      <c r="K123">
        <v>0</v>
      </c>
      <c r="L123">
        <v>48</v>
      </c>
      <c r="M123">
        <v>2310</v>
      </c>
      <c r="N123" s="78" t="s">
        <v>267</v>
      </c>
      <c r="O123">
        <v>2</v>
      </c>
      <c r="P123" s="82">
        <v>2.8</v>
      </c>
    </row>
    <row r="124" spans="1:16" x14ac:dyDescent="0.25">
      <c r="A124">
        <v>2400</v>
      </c>
      <c r="B124">
        <v>2400</v>
      </c>
      <c r="C124" s="78" t="s">
        <v>931</v>
      </c>
      <c r="D124" s="78" t="s">
        <v>925</v>
      </c>
      <c r="E124" s="78" t="s">
        <v>925</v>
      </c>
      <c r="F124" s="78" t="s">
        <v>661</v>
      </c>
      <c r="G124">
        <v>13.5</v>
      </c>
      <c r="H124" s="78" t="s">
        <v>662</v>
      </c>
      <c r="I124" s="78" t="s">
        <v>932</v>
      </c>
      <c r="J124">
        <v>0</v>
      </c>
      <c r="K124">
        <v>0</v>
      </c>
      <c r="L124">
        <v>1</v>
      </c>
      <c r="M124">
        <v>2400</v>
      </c>
      <c r="N124" s="78" t="s">
        <v>270</v>
      </c>
      <c r="O124">
        <v>1</v>
      </c>
      <c r="P124" s="82">
        <v>40.5</v>
      </c>
    </row>
    <row r="125" spans="1:16" x14ac:dyDescent="0.25">
      <c r="A125">
        <v>2500</v>
      </c>
      <c r="B125">
        <v>2500</v>
      </c>
      <c r="C125" s="78" t="s">
        <v>933</v>
      </c>
      <c r="D125" s="78" t="s">
        <v>925</v>
      </c>
      <c r="E125" s="78" t="s">
        <v>925</v>
      </c>
      <c r="F125" s="78" t="s">
        <v>661</v>
      </c>
      <c r="G125">
        <v>1.25</v>
      </c>
      <c r="H125" s="78" t="s">
        <v>662</v>
      </c>
      <c r="I125" s="78" t="s">
        <v>934</v>
      </c>
      <c r="J125">
        <v>0</v>
      </c>
      <c r="K125">
        <v>0</v>
      </c>
      <c r="L125">
        <v>1</v>
      </c>
      <c r="M125">
        <v>2500</v>
      </c>
      <c r="N125" s="78" t="s">
        <v>273</v>
      </c>
      <c r="O125">
        <v>1</v>
      </c>
      <c r="P125" s="82">
        <v>4.3</v>
      </c>
    </row>
    <row r="126" spans="1:16" x14ac:dyDescent="0.25">
      <c r="A126">
        <v>2501</v>
      </c>
      <c r="B126">
        <v>2501</v>
      </c>
      <c r="C126" s="78" t="s">
        <v>276</v>
      </c>
      <c r="D126" s="78" t="s">
        <v>925</v>
      </c>
      <c r="E126" s="78" t="s">
        <v>925</v>
      </c>
      <c r="F126" s="78" t="s">
        <v>661</v>
      </c>
      <c r="G126">
        <v>2.75</v>
      </c>
      <c r="H126" s="78" t="s">
        <v>662</v>
      </c>
      <c r="I126" s="78" t="s">
        <v>935</v>
      </c>
      <c r="J126">
        <v>0</v>
      </c>
      <c r="K126">
        <v>0</v>
      </c>
      <c r="L126">
        <v>1</v>
      </c>
      <c r="M126">
        <v>2501</v>
      </c>
      <c r="N126" s="78" t="s">
        <v>276</v>
      </c>
      <c r="O126">
        <v>1</v>
      </c>
      <c r="P126" s="82">
        <v>8.6</v>
      </c>
    </row>
    <row r="127" spans="1:16" x14ac:dyDescent="0.25">
      <c r="A127">
        <v>2510</v>
      </c>
      <c r="B127">
        <v>2510</v>
      </c>
      <c r="C127" s="78" t="s">
        <v>278</v>
      </c>
      <c r="D127" s="78" t="s">
        <v>925</v>
      </c>
      <c r="E127" s="78" t="s">
        <v>925</v>
      </c>
      <c r="F127" s="78" t="s">
        <v>661</v>
      </c>
      <c r="G127">
        <v>0.59</v>
      </c>
      <c r="H127" s="78" t="s">
        <v>936</v>
      </c>
      <c r="I127" s="78" t="s">
        <v>937</v>
      </c>
      <c r="J127">
        <v>0</v>
      </c>
      <c r="K127">
        <v>0</v>
      </c>
      <c r="L127">
        <v>1</v>
      </c>
      <c r="M127">
        <v>2510</v>
      </c>
      <c r="N127" s="78" t="s">
        <v>278</v>
      </c>
      <c r="O127">
        <v>1</v>
      </c>
      <c r="P127" s="82">
        <v>5</v>
      </c>
    </row>
    <row r="128" spans="1:16" x14ac:dyDescent="0.25">
      <c r="A128">
        <v>2520</v>
      </c>
      <c r="B128">
        <v>2520</v>
      </c>
      <c r="C128" s="78" t="s">
        <v>281</v>
      </c>
      <c r="D128" s="78" t="s">
        <v>925</v>
      </c>
      <c r="E128" s="78" t="s">
        <v>925</v>
      </c>
      <c r="F128" s="78" t="s">
        <v>661</v>
      </c>
      <c r="G128">
        <v>6.75</v>
      </c>
      <c r="H128" s="78" t="s">
        <v>662</v>
      </c>
      <c r="I128" s="78" t="s">
        <v>938</v>
      </c>
      <c r="J128">
        <v>0</v>
      </c>
      <c r="K128">
        <v>0</v>
      </c>
      <c r="L128">
        <v>1</v>
      </c>
      <c r="M128">
        <v>2520</v>
      </c>
      <c r="N128" s="78" t="s">
        <v>1820</v>
      </c>
      <c r="O128">
        <v>1</v>
      </c>
      <c r="P128" s="82">
        <v>20</v>
      </c>
    </row>
    <row r="129" spans="1:16" x14ac:dyDescent="0.25">
      <c r="A129">
        <v>2600</v>
      </c>
      <c r="B129">
        <v>2600</v>
      </c>
      <c r="C129" s="78" t="s">
        <v>939</v>
      </c>
      <c r="D129" s="78" t="s">
        <v>940</v>
      </c>
      <c r="E129" s="78" t="s">
        <v>940</v>
      </c>
      <c r="F129" s="78" t="s">
        <v>661</v>
      </c>
      <c r="G129">
        <v>0.43</v>
      </c>
      <c r="H129" s="78" t="s">
        <v>662</v>
      </c>
      <c r="I129" s="78" t="s">
        <v>941</v>
      </c>
      <c r="J129">
        <v>0</v>
      </c>
      <c r="K129">
        <v>0</v>
      </c>
      <c r="L129">
        <v>12</v>
      </c>
      <c r="M129">
        <v>2600</v>
      </c>
      <c r="N129" s="78" t="s">
        <v>289</v>
      </c>
      <c r="O129">
        <v>1</v>
      </c>
      <c r="P129" s="82">
        <v>1.85</v>
      </c>
    </row>
    <row r="130" spans="1:16" x14ac:dyDescent="0.25">
      <c r="A130">
        <v>2601</v>
      </c>
      <c r="B130">
        <v>2601</v>
      </c>
      <c r="C130" s="78" t="s">
        <v>942</v>
      </c>
      <c r="D130" s="78" t="s">
        <v>940</v>
      </c>
      <c r="E130" s="78" t="s">
        <v>940</v>
      </c>
      <c r="F130" s="78" t="s">
        <v>661</v>
      </c>
      <c r="G130">
        <v>1.7050000000000001</v>
      </c>
      <c r="H130" s="78" t="s">
        <v>662</v>
      </c>
      <c r="I130" s="78" t="s">
        <v>943</v>
      </c>
      <c r="J130">
        <v>0</v>
      </c>
      <c r="K130">
        <v>0</v>
      </c>
      <c r="L130">
        <v>12</v>
      </c>
      <c r="M130">
        <v>2601</v>
      </c>
      <c r="N130" s="78" t="s">
        <v>292</v>
      </c>
      <c r="O130">
        <v>1</v>
      </c>
      <c r="P130" s="82">
        <v>5.25</v>
      </c>
    </row>
    <row r="131" spans="1:16" x14ac:dyDescent="0.25">
      <c r="A131">
        <v>2602</v>
      </c>
      <c r="B131">
        <v>2602</v>
      </c>
      <c r="C131" s="78" t="s">
        <v>944</v>
      </c>
      <c r="D131" s="78" t="s">
        <v>940</v>
      </c>
      <c r="E131" s="78" t="s">
        <v>940</v>
      </c>
      <c r="F131" s="78" t="s">
        <v>661</v>
      </c>
      <c r="G131">
        <v>7.99</v>
      </c>
      <c r="H131" s="78" t="s">
        <v>945</v>
      </c>
      <c r="I131" s="78" t="s">
        <v>946</v>
      </c>
      <c r="J131">
        <v>0</v>
      </c>
      <c r="K131">
        <v>0</v>
      </c>
      <c r="L131">
        <v>1</v>
      </c>
      <c r="M131">
        <v>2602</v>
      </c>
      <c r="N131" s="78" t="s">
        <v>307</v>
      </c>
      <c r="O131">
        <v>1</v>
      </c>
      <c r="P131" s="82">
        <v>22</v>
      </c>
    </row>
    <row r="132" spans="1:16" x14ac:dyDescent="0.25">
      <c r="A132">
        <v>2603</v>
      </c>
      <c r="B132">
        <v>2603</v>
      </c>
      <c r="C132" s="78" t="s">
        <v>947</v>
      </c>
      <c r="D132" s="78" t="s">
        <v>940</v>
      </c>
      <c r="E132" s="78" t="s">
        <v>940</v>
      </c>
      <c r="F132" s="78" t="s">
        <v>661</v>
      </c>
      <c r="G132">
        <v>4.3899999999999997</v>
      </c>
      <c r="H132" s="78" t="s">
        <v>945</v>
      </c>
      <c r="I132" s="78" t="s">
        <v>948</v>
      </c>
      <c r="J132">
        <v>0</v>
      </c>
      <c r="K132">
        <v>0</v>
      </c>
      <c r="L132">
        <v>1</v>
      </c>
      <c r="M132">
        <v>2603</v>
      </c>
      <c r="N132" s="78" t="s">
        <v>310</v>
      </c>
      <c r="O132">
        <v>1</v>
      </c>
      <c r="P132" s="82">
        <v>13</v>
      </c>
    </row>
    <row r="133" spans="1:16" x14ac:dyDescent="0.25">
      <c r="A133">
        <v>2604</v>
      </c>
      <c r="B133">
        <v>2604</v>
      </c>
      <c r="C133" s="78" t="s">
        <v>949</v>
      </c>
      <c r="D133" s="78" t="s">
        <v>940</v>
      </c>
      <c r="E133" s="78" t="s">
        <v>940</v>
      </c>
      <c r="F133" s="78" t="s">
        <v>661</v>
      </c>
      <c r="G133">
        <v>5.49</v>
      </c>
      <c r="H133" s="78" t="s">
        <v>945</v>
      </c>
      <c r="I133" s="78" t="s">
        <v>950</v>
      </c>
      <c r="J133">
        <v>0</v>
      </c>
      <c r="K133">
        <v>0</v>
      </c>
      <c r="L133">
        <v>1</v>
      </c>
      <c r="M133">
        <v>2604</v>
      </c>
      <c r="N133" s="78" t="s">
        <v>313</v>
      </c>
      <c r="O133">
        <v>1</v>
      </c>
      <c r="P133" s="82">
        <v>15</v>
      </c>
    </row>
    <row r="134" spans="1:16" x14ac:dyDescent="0.25">
      <c r="A134">
        <v>2605</v>
      </c>
      <c r="B134">
        <v>2605</v>
      </c>
      <c r="C134" s="78" t="s">
        <v>951</v>
      </c>
      <c r="D134" s="78" t="s">
        <v>940</v>
      </c>
      <c r="E134" s="78" t="s">
        <v>940</v>
      </c>
      <c r="F134" s="78" t="s">
        <v>661</v>
      </c>
      <c r="G134">
        <v>6.95</v>
      </c>
      <c r="H134" s="78" t="s">
        <v>945</v>
      </c>
      <c r="I134" s="78" t="s">
        <v>952</v>
      </c>
      <c r="J134">
        <v>0</v>
      </c>
      <c r="K134">
        <v>0</v>
      </c>
      <c r="L134">
        <v>1</v>
      </c>
      <c r="M134">
        <v>2605</v>
      </c>
      <c r="N134" s="78" t="s">
        <v>315</v>
      </c>
      <c r="O134">
        <v>1</v>
      </c>
      <c r="P134" s="82">
        <v>21</v>
      </c>
    </row>
    <row r="135" spans="1:16" x14ac:dyDescent="0.25">
      <c r="A135">
        <v>2606</v>
      </c>
      <c r="B135">
        <v>2606</v>
      </c>
      <c r="C135" s="78" t="s">
        <v>953</v>
      </c>
      <c r="D135" s="78" t="s">
        <v>940</v>
      </c>
      <c r="E135" s="78" t="s">
        <v>940</v>
      </c>
      <c r="F135" s="78" t="s">
        <v>661</v>
      </c>
      <c r="G135">
        <v>6.87</v>
      </c>
      <c r="H135" s="78" t="s">
        <v>945</v>
      </c>
      <c r="I135" s="78" t="s">
        <v>954</v>
      </c>
      <c r="J135">
        <v>0</v>
      </c>
      <c r="K135">
        <v>0</v>
      </c>
      <c r="L135">
        <v>1</v>
      </c>
      <c r="M135">
        <v>2606</v>
      </c>
      <c r="N135" s="78" t="s">
        <v>318</v>
      </c>
      <c r="O135">
        <v>1</v>
      </c>
      <c r="P135" s="82">
        <v>20</v>
      </c>
    </row>
    <row r="136" spans="1:16" x14ac:dyDescent="0.25">
      <c r="A136">
        <v>2610</v>
      </c>
      <c r="B136">
        <v>2610</v>
      </c>
      <c r="C136" s="78" t="s">
        <v>955</v>
      </c>
      <c r="D136" s="78" t="s">
        <v>940</v>
      </c>
      <c r="E136" s="78" t="s">
        <v>940</v>
      </c>
      <c r="F136" s="78" t="s">
        <v>661</v>
      </c>
      <c r="G136">
        <v>2.86</v>
      </c>
      <c r="H136" s="78" t="s">
        <v>662</v>
      </c>
      <c r="I136" s="78" t="s">
        <v>956</v>
      </c>
      <c r="J136">
        <v>0</v>
      </c>
      <c r="K136">
        <v>0</v>
      </c>
      <c r="L136">
        <v>12</v>
      </c>
      <c r="M136">
        <v>2610</v>
      </c>
      <c r="N136" s="78" t="s">
        <v>295</v>
      </c>
      <c r="O136">
        <v>1</v>
      </c>
      <c r="P136" s="82">
        <v>8.75</v>
      </c>
    </row>
    <row r="137" spans="1:16" x14ac:dyDescent="0.25">
      <c r="A137">
        <v>2611</v>
      </c>
      <c r="B137">
        <v>2611</v>
      </c>
      <c r="C137" s="78" t="s">
        <v>957</v>
      </c>
      <c r="D137" s="78" t="s">
        <v>940</v>
      </c>
      <c r="E137" s="78" t="s">
        <v>940</v>
      </c>
      <c r="F137" s="78" t="s">
        <v>661</v>
      </c>
      <c r="G137">
        <v>3.4</v>
      </c>
      <c r="H137" s="78" t="s">
        <v>662</v>
      </c>
      <c r="I137" s="78" t="s">
        <v>958</v>
      </c>
      <c r="J137">
        <v>0</v>
      </c>
      <c r="K137">
        <v>0</v>
      </c>
      <c r="L137">
        <v>12</v>
      </c>
      <c r="M137">
        <v>2611</v>
      </c>
      <c r="N137" s="78" t="s">
        <v>298</v>
      </c>
      <c r="O137">
        <v>1</v>
      </c>
      <c r="P137" s="82">
        <v>10.5</v>
      </c>
    </row>
    <row r="138" spans="1:16" x14ac:dyDescent="0.25">
      <c r="A138">
        <v>2620</v>
      </c>
      <c r="B138">
        <v>2620</v>
      </c>
      <c r="C138" s="78" t="s">
        <v>959</v>
      </c>
      <c r="D138" s="78" t="s">
        <v>940</v>
      </c>
      <c r="E138" s="78" t="s">
        <v>940</v>
      </c>
      <c r="F138" s="78" t="s">
        <v>661</v>
      </c>
      <c r="G138">
        <v>0.95</v>
      </c>
      <c r="H138" s="78" t="s">
        <v>662</v>
      </c>
      <c r="I138" s="78" t="s">
        <v>960</v>
      </c>
      <c r="J138">
        <v>0</v>
      </c>
      <c r="K138">
        <v>0</v>
      </c>
      <c r="L138">
        <v>1</v>
      </c>
      <c r="M138">
        <v>2620</v>
      </c>
      <c r="N138" s="78" t="s">
        <v>301</v>
      </c>
      <c r="O138">
        <v>1</v>
      </c>
      <c r="P138" s="82">
        <v>2.85</v>
      </c>
    </row>
    <row r="139" spans="1:16" x14ac:dyDescent="0.25">
      <c r="A139">
        <v>2621</v>
      </c>
      <c r="B139">
        <v>2621</v>
      </c>
      <c r="C139" s="78" t="s">
        <v>304</v>
      </c>
      <c r="D139" s="78" t="s">
        <v>940</v>
      </c>
      <c r="E139" s="78" t="s">
        <v>940</v>
      </c>
      <c r="F139" s="78" t="s">
        <v>661</v>
      </c>
      <c r="G139">
        <v>0.93</v>
      </c>
      <c r="H139" s="78" t="s">
        <v>662</v>
      </c>
      <c r="I139" s="78" t="s">
        <v>961</v>
      </c>
      <c r="J139">
        <v>0</v>
      </c>
      <c r="K139">
        <v>0</v>
      </c>
      <c r="L139">
        <v>1</v>
      </c>
      <c r="M139">
        <v>2621</v>
      </c>
      <c r="N139" s="78" t="s">
        <v>304</v>
      </c>
      <c r="O139">
        <v>1</v>
      </c>
      <c r="P139" s="82">
        <v>2.85</v>
      </c>
    </row>
    <row r="140" spans="1:16" x14ac:dyDescent="0.25">
      <c r="A140">
        <v>2622</v>
      </c>
      <c r="B140">
        <v>2622</v>
      </c>
      <c r="C140" s="78" t="s">
        <v>962</v>
      </c>
      <c r="D140" s="78" t="s">
        <v>940</v>
      </c>
      <c r="E140" s="78" t="s">
        <v>940</v>
      </c>
      <c r="F140" s="78" t="s">
        <v>661</v>
      </c>
      <c r="G140">
        <v>0.98329999999999995</v>
      </c>
      <c r="H140" s="78" t="s">
        <v>662</v>
      </c>
      <c r="I140" s="78" t="s">
        <v>963</v>
      </c>
      <c r="J140">
        <v>0</v>
      </c>
      <c r="K140">
        <v>0</v>
      </c>
      <c r="L140">
        <v>72</v>
      </c>
      <c r="M140">
        <v>2622</v>
      </c>
      <c r="N140" s="78" t="s">
        <v>323</v>
      </c>
      <c r="O140">
        <v>1</v>
      </c>
      <c r="P140" s="82">
        <v>3.5</v>
      </c>
    </row>
    <row r="141" spans="1:16" x14ac:dyDescent="0.25">
      <c r="A141">
        <v>2650</v>
      </c>
      <c r="B141">
        <v>2650</v>
      </c>
      <c r="C141" s="78" t="s">
        <v>964</v>
      </c>
      <c r="D141" s="78" t="s">
        <v>965</v>
      </c>
      <c r="E141" s="78" t="s">
        <v>965</v>
      </c>
      <c r="F141" s="78" t="s">
        <v>661</v>
      </c>
      <c r="G141">
        <v>0.95</v>
      </c>
      <c r="H141" s="78" t="s">
        <v>662</v>
      </c>
      <c r="I141" s="78" t="s">
        <v>966</v>
      </c>
      <c r="J141">
        <v>0</v>
      </c>
      <c r="K141">
        <v>0</v>
      </c>
      <c r="L141">
        <v>1</v>
      </c>
      <c r="M141">
        <v>2650</v>
      </c>
      <c r="N141" s="78" t="s">
        <v>244</v>
      </c>
      <c r="O141">
        <v>1</v>
      </c>
      <c r="P141" s="82">
        <v>3.5</v>
      </c>
    </row>
    <row r="142" spans="1:16" x14ac:dyDescent="0.25">
      <c r="A142">
        <v>3000</v>
      </c>
      <c r="B142">
        <v>3000</v>
      </c>
      <c r="C142" s="78" t="s">
        <v>967</v>
      </c>
      <c r="D142" s="78" t="s">
        <v>965</v>
      </c>
      <c r="E142" s="78" t="s">
        <v>965</v>
      </c>
      <c r="F142" s="78" t="s">
        <v>661</v>
      </c>
      <c r="G142">
        <v>0.66</v>
      </c>
      <c r="H142" s="78" t="s">
        <v>662</v>
      </c>
      <c r="I142" s="78" t="s">
        <v>968</v>
      </c>
      <c r="J142">
        <v>0</v>
      </c>
      <c r="K142">
        <v>0</v>
      </c>
      <c r="L142">
        <v>72</v>
      </c>
      <c r="M142">
        <v>3000</v>
      </c>
      <c r="N142" s="78" t="s">
        <v>247</v>
      </c>
      <c r="O142">
        <v>1</v>
      </c>
      <c r="P142" s="82">
        <v>2.1</v>
      </c>
    </row>
    <row r="143" spans="1:16" x14ac:dyDescent="0.25">
      <c r="A143">
        <v>3001</v>
      </c>
      <c r="B143">
        <v>3001</v>
      </c>
      <c r="C143" s="78" t="s">
        <v>969</v>
      </c>
      <c r="D143" s="78" t="s">
        <v>965</v>
      </c>
      <c r="E143" s="78" t="s">
        <v>965</v>
      </c>
      <c r="F143" s="78" t="s">
        <v>661</v>
      </c>
      <c r="G143">
        <v>0.82</v>
      </c>
      <c r="H143" s="78" t="s">
        <v>662</v>
      </c>
      <c r="I143" s="78" t="s">
        <v>970</v>
      </c>
      <c r="J143">
        <v>0</v>
      </c>
      <c r="K143">
        <v>0</v>
      </c>
      <c r="L143">
        <v>72</v>
      </c>
      <c r="M143">
        <v>3001</v>
      </c>
      <c r="N143" s="78" t="s">
        <v>250</v>
      </c>
      <c r="O143">
        <v>1</v>
      </c>
      <c r="P143" s="82">
        <v>2.5</v>
      </c>
    </row>
    <row r="144" spans="1:16" x14ac:dyDescent="0.25">
      <c r="A144">
        <v>3020</v>
      </c>
      <c r="B144">
        <v>3020</v>
      </c>
      <c r="C144" s="78" t="s">
        <v>971</v>
      </c>
      <c r="D144" s="78" t="s">
        <v>965</v>
      </c>
      <c r="E144" s="78" t="s">
        <v>965</v>
      </c>
      <c r="F144" s="78" t="s">
        <v>661</v>
      </c>
      <c r="G144">
        <v>0.69</v>
      </c>
      <c r="H144" s="78" t="s">
        <v>662</v>
      </c>
      <c r="I144" s="78" t="s">
        <v>972</v>
      </c>
      <c r="J144">
        <v>0</v>
      </c>
      <c r="K144">
        <v>0</v>
      </c>
      <c r="L144">
        <v>72</v>
      </c>
      <c r="M144">
        <v>3020</v>
      </c>
      <c r="N144" s="78" t="s">
        <v>973</v>
      </c>
      <c r="O144">
        <v>1</v>
      </c>
      <c r="P144" s="82">
        <v>2.8</v>
      </c>
    </row>
    <row r="145" spans="1:16" x14ac:dyDescent="0.25">
      <c r="A145">
        <v>3030</v>
      </c>
      <c r="B145">
        <v>3030</v>
      </c>
      <c r="C145" s="78" t="s">
        <v>256</v>
      </c>
      <c r="D145" s="78" t="s">
        <v>965</v>
      </c>
      <c r="E145" s="78" t="s">
        <v>965</v>
      </c>
      <c r="F145" s="78" t="s">
        <v>661</v>
      </c>
      <c r="G145">
        <v>3.5000000000000003E-2</v>
      </c>
      <c r="H145" s="78" t="s">
        <v>662</v>
      </c>
      <c r="I145" s="78" t="s">
        <v>974</v>
      </c>
      <c r="J145">
        <v>0</v>
      </c>
      <c r="K145">
        <v>0</v>
      </c>
      <c r="L145">
        <v>144</v>
      </c>
      <c r="M145">
        <v>3030</v>
      </c>
      <c r="N145" s="78" t="s">
        <v>256</v>
      </c>
      <c r="O145">
        <v>1</v>
      </c>
      <c r="P145" s="82">
        <v>0.25</v>
      </c>
    </row>
    <row r="146" spans="1:16" x14ac:dyDescent="0.25">
      <c r="A146">
        <v>3031</v>
      </c>
      <c r="B146">
        <v>3031</v>
      </c>
      <c r="C146" s="78" t="s">
        <v>1792</v>
      </c>
      <c r="D146" s="78" t="s">
        <v>965</v>
      </c>
      <c r="E146" s="78" t="s">
        <v>965</v>
      </c>
      <c r="F146" s="78" t="s">
        <v>661</v>
      </c>
      <c r="G146">
        <v>0.08</v>
      </c>
      <c r="H146" s="78" t="s">
        <v>662</v>
      </c>
      <c r="I146" s="78" t="s">
        <v>975</v>
      </c>
      <c r="J146">
        <v>0</v>
      </c>
      <c r="K146">
        <v>0</v>
      </c>
      <c r="L146">
        <v>20</v>
      </c>
      <c r="M146">
        <v>3031</v>
      </c>
      <c r="N146" s="78" t="s">
        <v>258</v>
      </c>
      <c r="O146">
        <v>1</v>
      </c>
      <c r="P146" s="82">
        <v>0.5</v>
      </c>
    </row>
    <row r="147" spans="1:16" x14ac:dyDescent="0.25">
      <c r="A147">
        <v>3035</v>
      </c>
      <c r="B147">
        <v>3035</v>
      </c>
      <c r="C147" s="78" t="s">
        <v>976</v>
      </c>
      <c r="D147" s="78" t="s">
        <v>965</v>
      </c>
      <c r="E147" s="78" t="s">
        <v>965</v>
      </c>
      <c r="F147" s="78" t="s">
        <v>661</v>
      </c>
      <c r="G147">
        <v>1.35</v>
      </c>
      <c r="H147" s="78" t="s">
        <v>662</v>
      </c>
      <c r="I147" s="78" t="s">
        <v>977</v>
      </c>
      <c r="J147">
        <v>0</v>
      </c>
      <c r="K147">
        <v>0</v>
      </c>
      <c r="L147">
        <v>12</v>
      </c>
      <c r="M147">
        <v>3035</v>
      </c>
      <c r="N147" s="78" t="s">
        <v>261</v>
      </c>
      <c r="O147">
        <v>1</v>
      </c>
      <c r="P147" s="82">
        <v>5</v>
      </c>
    </row>
    <row r="148" spans="1:16" x14ac:dyDescent="0.25">
      <c r="A148">
        <v>3040</v>
      </c>
      <c r="B148">
        <v>3040</v>
      </c>
      <c r="C148" s="78" t="s">
        <v>978</v>
      </c>
      <c r="D148" s="78" t="s">
        <v>965</v>
      </c>
      <c r="E148" s="78" t="s">
        <v>965</v>
      </c>
      <c r="F148" s="78" t="s">
        <v>661</v>
      </c>
      <c r="G148">
        <v>0.05</v>
      </c>
      <c r="H148" s="78" t="s">
        <v>662</v>
      </c>
      <c r="I148" s="78" t="s">
        <v>979</v>
      </c>
      <c r="J148">
        <v>0</v>
      </c>
      <c r="K148">
        <v>0</v>
      </c>
      <c r="L148">
        <v>50</v>
      </c>
      <c r="M148">
        <v>3040</v>
      </c>
      <c r="N148" s="78" t="s">
        <v>264</v>
      </c>
      <c r="O148">
        <v>1</v>
      </c>
      <c r="P148" s="82">
        <v>0.15</v>
      </c>
    </row>
    <row r="149" spans="1:16" x14ac:dyDescent="0.25">
      <c r="A149">
        <v>3050</v>
      </c>
      <c r="B149">
        <v>3050</v>
      </c>
      <c r="C149" s="78" t="s">
        <v>980</v>
      </c>
      <c r="D149" s="78" t="s">
        <v>965</v>
      </c>
      <c r="E149" s="78" t="s">
        <v>965</v>
      </c>
      <c r="F149" s="78" t="s">
        <v>661</v>
      </c>
      <c r="G149">
        <v>0.14000000000000001</v>
      </c>
      <c r="H149" s="78" t="s">
        <v>662</v>
      </c>
      <c r="I149" s="78" t="s">
        <v>981</v>
      </c>
      <c r="J149">
        <v>0</v>
      </c>
      <c r="K149">
        <v>0</v>
      </c>
      <c r="L149">
        <v>144</v>
      </c>
      <c r="M149">
        <v>3050</v>
      </c>
      <c r="N149" s="78" t="s">
        <v>266</v>
      </c>
      <c r="O149">
        <v>1</v>
      </c>
      <c r="P149" s="82">
        <v>0.55000000000000004</v>
      </c>
    </row>
    <row r="150" spans="1:16" x14ac:dyDescent="0.25">
      <c r="A150">
        <v>3051</v>
      </c>
      <c r="B150">
        <v>3051</v>
      </c>
      <c r="C150" s="78" t="s">
        <v>982</v>
      </c>
      <c r="D150" s="78" t="s">
        <v>965</v>
      </c>
      <c r="E150" s="78" t="s">
        <v>965</v>
      </c>
      <c r="F150" s="78" t="s">
        <v>661</v>
      </c>
      <c r="G150">
        <v>0.09</v>
      </c>
      <c r="H150" s="78" t="s">
        <v>662</v>
      </c>
      <c r="I150" s="78" t="s">
        <v>983</v>
      </c>
      <c r="J150">
        <v>0</v>
      </c>
      <c r="K150">
        <v>0</v>
      </c>
      <c r="L150">
        <v>60</v>
      </c>
      <c r="M150">
        <v>3051</v>
      </c>
      <c r="N150" s="78" t="s">
        <v>984</v>
      </c>
      <c r="O150">
        <v>1</v>
      </c>
      <c r="P150" s="82">
        <v>1</v>
      </c>
    </row>
    <row r="151" spans="1:16" x14ac:dyDescent="0.25">
      <c r="A151">
        <v>3052</v>
      </c>
      <c r="B151">
        <v>3052</v>
      </c>
      <c r="C151" s="78" t="s">
        <v>985</v>
      </c>
      <c r="D151" s="78" t="s">
        <v>965</v>
      </c>
      <c r="E151" s="78" t="s">
        <v>965</v>
      </c>
      <c r="F151" s="78" t="s">
        <v>661</v>
      </c>
      <c r="G151">
        <v>0.21</v>
      </c>
      <c r="H151" s="78" t="s">
        <v>662</v>
      </c>
      <c r="I151" s="78" t="s">
        <v>986</v>
      </c>
      <c r="J151">
        <v>0</v>
      </c>
      <c r="K151">
        <v>0</v>
      </c>
      <c r="L151">
        <v>120</v>
      </c>
      <c r="M151">
        <v>3052</v>
      </c>
      <c r="N151" s="78" t="s">
        <v>987</v>
      </c>
      <c r="O151">
        <v>1</v>
      </c>
      <c r="P151" s="82">
        <v>1</v>
      </c>
    </row>
    <row r="152" spans="1:16" x14ac:dyDescent="0.25">
      <c r="A152">
        <v>3060</v>
      </c>
      <c r="B152">
        <v>3060</v>
      </c>
      <c r="C152" s="78" t="s">
        <v>988</v>
      </c>
      <c r="D152" s="78" t="s">
        <v>965</v>
      </c>
      <c r="E152" s="78" t="s">
        <v>965</v>
      </c>
      <c r="F152" s="78" t="s">
        <v>661</v>
      </c>
      <c r="G152">
        <v>0.1</v>
      </c>
      <c r="H152" s="78" t="s">
        <v>662</v>
      </c>
      <c r="I152" s="78" t="s">
        <v>989</v>
      </c>
      <c r="J152">
        <v>0</v>
      </c>
      <c r="K152">
        <v>0</v>
      </c>
      <c r="L152">
        <v>20</v>
      </c>
      <c r="M152">
        <v>3060</v>
      </c>
      <c r="N152" s="78" t="s">
        <v>275</v>
      </c>
      <c r="O152">
        <v>1</v>
      </c>
      <c r="P152" s="82">
        <v>0.5</v>
      </c>
    </row>
    <row r="153" spans="1:16" x14ac:dyDescent="0.25">
      <c r="A153">
        <v>3100</v>
      </c>
      <c r="B153">
        <v>3100</v>
      </c>
      <c r="C153" s="78" t="s">
        <v>280</v>
      </c>
      <c r="D153" s="78" t="s">
        <v>990</v>
      </c>
      <c r="E153" s="78" t="s">
        <v>990</v>
      </c>
      <c r="F153" s="78" t="s">
        <v>661</v>
      </c>
      <c r="G153">
        <v>0.30330000000000001</v>
      </c>
      <c r="H153" s="78" t="s">
        <v>662</v>
      </c>
      <c r="I153" s="78" t="s">
        <v>991</v>
      </c>
      <c r="J153">
        <v>0</v>
      </c>
      <c r="K153">
        <v>0</v>
      </c>
      <c r="L153">
        <v>6</v>
      </c>
      <c r="M153">
        <v>3100</v>
      </c>
      <c r="N153" s="78" t="s">
        <v>992</v>
      </c>
      <c r="O153">
        <v>1</v>
      </c>
      <c r="P153" s="82">
        <v>1.05</v>
      </c>
    </row>
    <row r="154" spans="1:16" x14ac:dyDescent="0.25">
      <c r="A154">
        <v>3101</v>
      </c>
      <c r="B154">
        <v>3101</v>
      </c>
      <c r="C154" s="78" t="s">
        <v>283</v>
      </c>
      <c r="D154" s="78" t="s">
        <v>990</v>
      </c>
      <c r="E154" s="78" t="s">
        <v>990</v>
      </c>
      <c r="F154" s="78" t="s">
        <v>661</v>
      </c>
      <c r="G154">
        <v>0.30330000000000001</v>
      </c>
      <c r="H154" s="78" t="s">
        <v>662</v>
      </c>
      <c r="I154" s="78" t="s">
        <v>993</v>
      </c>
      <c r="J154">
        <v>0</v>
      </c>
      <c r="K154">
        <v>0</v>
      </c>
      <c r="L154">
        <v>6</v>
      </c>
      <c r="M154">
        <v>3101</v>
      </c>
      <c r="N154" s="78" t="s">
        <v>994</v>
      </c>
      <c r="O154">
        <v>1</v>
      </c>
      <c r="P154" s="82">
        <v>1.05</v>
      </c>
    </row>
    <row r="155" spans="1:16" x14ac:dyDescent="0.25">
      <c r="A155">
        <v>3102</v>
      </c>
      <c r="B155">
        <v>3102</v>
      </c>
      <c r="C155" s="78" t="s">
        <v>285</v>
      </c>
      <c r="D155" s="78" t="s">
        <v>990</v>
      </c>
      <c r="E155" s="78" t="s">
        <v>990</v>
      </c>
      <c r="F155" s="78" t="s">
        <v>661</v>
      </c>
      <c r="G155">
        <v>0.30330000000000001</v>
      </c>
      <c r="H155" s="78" t="s">
        <v>662</v>
      </c>
      <c r="I155" s="78" t="s">
        <v>995</v>
      </c>
      <c r="J155">
        <v>0</v>
      </c>
      <c r="K155">
        <v>0</v>
      </c>
      <c r="L155">
        <v>6</v>
      </c>
      <c r="M155">
        <v>3102</v>
      </c>
      <c r="N155" s="78" t="s">
        <v>996</v>
      </c>
      <c r="O155">
        <v>1</v>
      </c>
      <c r="P155" s="82">
        <v>1.05</v>
      </c>
    </row>
    <row r="156" spans="1:16" x14ac:dyDescent="0.25">
      <c r="A156">
        <v>3103</v>
      </c>
      <c r="B156">
        <v>3103</v>
      </c>
      <c r="C156" s="78" t="s">
        <v>997</v>
      </c>
      <c r="D156" s="78" t="s">
        <v>990</v>
      </c>
      <c r="E156" s="78" t="s">
        <v>990</v>
      </c>
      <c r="F156" s="78" t="s">
        <v>661</v>
      </c>
      <c r="G156">
        <v>0.30330000000000001</v>
      </c>
      <c r="H156" s="78" t="s">
        <v>662</v>
      </c>
      <c r="I156" s="78" t="s">
        <v>998</v>
      </c>
      <c r="J156">
        <v>0</v>
      </c>
      <c r="K156">
        <v>0</v>
      </c>
      <c r="L156">
        <v>6</v>
      </c>
      <c r="M156">
        <v>3103</v>
      </c>
      <c r="N156" s="78" t="s">
        <v>999</v>
      </c>
      <c r="O156">
        <v>1</v>
      </c>
      <c r="P156" s="82">
        <v>1.05</v>
      </c>
    </row>
    <row r="157" spans="1:16" x14ac:dyDescent="0.25">
      <c r="A157">
        <v>3104</v>
      </c>
      <c r="B157">
        <v>3104</v>
      </c>
      <c r="C157" s="78" t="s">
        <v>291</v>
      </c>
      <c r="D157" s="78" t="s">
        <v>990</v>
      </c>
      <c r="E157" s="78" t="s">
        <v>990</v>
      </c>
      <c r="F157" s="78" t="s">
        <v>661</v>
      </c>
      <c r="G157">
        <v>0.67</v>
      </c>
      <c r="H157" s="78" t="s">
        <v>662</v>
      </c>
      <c r="I157" s="78" t="s">
        <v>1000</v>
      </c>
      <c r="J157">
        <v>0</v>
      </c>
      <c r="K157">
        <v>0</v>
      </c>
      <c r="L157">
        <v>6</v>
      </c>
      <c r="M157">
        <v>3104</v>
      </c>
      <c r="N157" s="78" t="s">
        <v>1001</v>
      </c>
      <c r="O157">
        <v>1</v>
      </c>
      <c r="P157" s="82">
        <v>1.05</v>
      </c>
    </row>
    <row r="158" spans="1:16" x14ac:dyDescent="0.25">
      <c r="A158">
        <v>3105</v>
      </c>
      <c r="B158">
        <v>3105</v>
      </c>
      <c r="C158" s="78" t="s">
        <v>294</v>
      </c>
      <c r="D158" s="78" t="s">
        <v>990</v>
      </c>
      <c r="E158" s="78" t="s">
        <v>990</v>
      </c>
      <c r="F158" s="78" t="s">
        <v>661</v>
      </c>
      <c r="G158">
        <v>0.30330000000000001</v>
      </c>
      <c r="H158" s="78" t="s">
        <v>662</v>
      </c>
      <c r="I158" s="78" t="s">
        <v>1002</v>
      </c>
      <c r="J158">
        <v>0</v>
      </c>
      <c r="K158">
        <v>0</v>
      </c>
      <c r="L158">
        <v>6</v>
      </c>
      <c r="M158">
        <v>3105</v>
      </c>
      <c r="N158" s="78" t="s">
        <v>1003</v>
      </c>
      <c r="O158">
        <v>1</v>
      </c>
      <c r="P158" s="82">
        <v>1.05</v>
      </c>
    </row>
    <row r="159" spans="1:16" x14ac:dyDescent="0.25">
      <c r="A159">
        <v>3106</v>
      </c>
      <c r="B159">
        <v>3106</v>
      </c>
      <c r="C159" s="78" t="s">
        <v>297</v>
      </c>
      <c r="D159" s="78" t="s">
        <v>990</v>
      </c>
      <c r="E159" s="78" t="s">
        <v>990</v>
      </c>
      <c r="F159" s="78" t="s">
        <v>661</v>
      </c>
      <c r="G159">
        <v>0.30330000000000001</v>
      </c>
      <c r="H159" s="78" t="s">
        <v>662</v>
      </c>
      <c r="I159" s="78" t="s">
        <v>1004</v>
      </c>
      <c r="J159">
        <v>0</v>
      </c>
      <c r="K159">
        <v>0</v>
      </c>
      <c r="L159">
        <v>6</v>
      </c>
      <c r="M159">
        <v>3106</v>
      </c>
      <c r="N159" s="78" t="s">
        <v>1005</v>
      </c>
      <c r="O159">
        <v>1</v>
      </c>
      <c r="P159" s="82">
        <v>1.05</v>
      </c>
    </row>
    <row r="160" spans="1:16" x14ac:dyDescent="0.25">
      <c r="A160">
        <v>3107</v>
      </c>
      <c r="B160">
        <v>3107</v>
      </c>
      <c r="C160" s="78" t="s">
        <v>300</v>
      </c>
      <c r="D160" s="78" t="s">
        <v>990</v>
      </c>
      <c r="E160" s="78" t="s">
        <v>990</v>
      </c>
      <c r="F160" s="78" t="s">
        <v>661</v>
      </c>
      <c r="G160">
        <v>0.30330000000000001</v>
      </c>
      <c r="H160" s="78" t="s">
        <v>662</v>
      </c>
      <c r="I160" s="78" t="s">
        <v>1006</v>
      </c>
      <c r="J160">
        <v>0</v>
      </c>
      <c r="K160">
        <v>0</v>
      </c>
      <c r="L160">
        <v>6</v>
      </c>
      <c r="M160">
        <v>3107</v>
      </c>
      <c r="N160" s="78" t="s">
        <v>1007</v>
      </c>
      <c r="O160">
        <v>1</v>
      </c>
      <c r="P160" s="82">
        <v>1.05</v>
      </c>
    </row>
    <row r="161" spans="1:16" x14ac:dyDescent="0.25">
      <c r="A161">
        <v>3108</v>
      </c>
      <c r="B161">
        <v>3108</v>
      </c>
      <c r="C161" s="78" t="s">
        <v>1008</v>
      </c>
      <c r="D161" s="78" t="s">
        <v>990</v>
      </c>
      <c r="E161" s="78" t="s">
        <v>990</v>
      </c>
      <c r="F161" s="78" t="s">
        <v>661</v>
      </c>
      <c r="G161">
        <v>0.30330000000000001</v>
      </c>
      <c r="H161" s="78" t="s">
        <v>662</v>
      </c>
      <c r="I161" s="78" t="s">
        <v>1009</v>
      </c>
      <c r="J161">
        <v>0</v>
      </c>
      <c r="K161">
        <v>0</v>
      </c>
      <c r="L161">
        <v>6</v>
      </c>
      <c r="M161">
        <v>3108</v>
      </c>
      <c r="N161" s="78" t="s">
        <v>1010</v>
      </c>
      <c r="O161">
        <v>1</v>
      </c>
      <c r="P161" s="82">
        <v>1.05</v>
      </c>
    </row>
    <row r="162" spans="1:16" x14ac:dyDescent="0.25">
      <c r="A162">
        <v>3110</v>
      </c>
      <c r="B162">
        <v>3110</v>
      </c>
      <c r="C162" s="78" t="s">
        <v>306</v>
      </c>
      <c r="D162" s="78" t="s">
        <v>990</v>
      </c>
      <c r="E162" s="78" t="s">
        <v>990</v>
      </c>
      <c r="F162" s="78" t="s">
        <v>661</v>
      </c>
      <c r="G162">
        <v>0.30330000000000001</v>
      </c>
      <c r="H162" s="78" t="s">
        <v>662</v>
      </c>
      <c r="I162" s="78" t="s">
        <v>1011</v>
      </c>
      <c r="J162">
        <v>0</v>
      </c>
      <c r="K162">
        <v>0</v>
      </c>
      <c r="L162">
        <v>1</v>
      </c>
      <c r="M162">
        <v>3110</v>
      </c>
      <c r="N162" s="78" t="s">
        <v>1012</v>
      </c>
      <c r="O162">
        <v>1</v>
      </c>
      <c r="P162" s="82">
        <v>1.05</v>
      </c>
    </row>
    <row r="163" spans="1:16" x14ac:dyDescent="0.25">
      <c r="A163">
        <v>3111</v>
      </c>
      <c r="B163">
        <v>3111</v>
      </c>
      <c r="C163" s="78" t="s">
        <v>1013</v>
      </c>
      <c r="D163" s="78" t="s">
        <v>990</v>
      </c>
      <c r="E163" s="78" t="s">
        <v>990</v>
      </c>
      <c r="F163" s="78" t="s">
        <v>661</v>
      </c>
      <c r="G163">
        <v>0.30330000000000001</v>
      </c>
      <c r="H163" s="78" t="s">
        <v>662</v>
      </c>
      <c r="I163" s="78" t="s">
        <v>1014</v>
      </c>
      <c r="J163">
        <v>0</v>
      </c>
      <c r="K163">
        <v>0</v>
      </c>
      <c r="L163">
        <v>6</v>
      </c>
      <c r="M163">
        <v>3111</v>
      </c>
      <c r="N163" s="78" t="s">
        <v>1015</v>
      </c>
      <c r="O163">
        <v>1</v>
      </c>
      <c r="P163" s="82">
        <v>1.05</v>
      </c>
    </row>
    <row r="164" spans="1:16" x14ac:dyDescent="0.25">
      <c r="A164">
        <v>3112</v>
      </c>
      <c r="B164">
        <v>3112</v>
      </c>
      <c r="C164" s="78" t="s">
        <v>312</v>
      </c>
      <c r="D164" s="78" t="s">
        <v>990</v>
      </c>
      <c r="E164" s="78" t="s">
        <v>990</v>
      </c>
      <c r="F164" s="78" t="s">
        <v>661</v>
      </c>
      <c r="G164">
        <v>0.30330000000000001</v>
      </c>
      <c r="H164" s="78" t="s">
        <v>662</v>
      </c>
      <c r="I164" s="78" t="s">
        <v>1016</v>
      </c>
      <c r="J164">
        <v>0</v>
      </c>
      <c r="K164">
        <v>0</v>
      </c>
      <c r="L164">
        <v>6</v>
      </c>
      <c r="M164">
        <v>3112</v>
      </c>
      <c r="N164" s="78" t="s">
        <v>1017</v>
      </c>
      <c r="O164">
        <v>1</v>
      </c>
      <c r="P164" s="82">
        <v>1.05</v>
      </c>
    </row>
    <row r="165" spans="1:16" x14ac:dyDescent="0.25">
      <c r="A165">
        <v>3113</v>
      </c>
      <c r="B165">
        <v>3113</v>
      </c>
      <c r="C165" s="78" t="s">
        <v>1018</v>
      </c>
      <c r="D165" s="78" t="s">
        <v>990</v>
      </c>
      <c r="E165" s="78" t="s">
        <v>990</v>
      </c>
      <c r="F165" s="78" t="s">
        <v>661</v>
      </c>
      <c r="G165">
        <v>0.30330000000000001</v>
      </c>
      <c r="H165" s="78" t="s">
        <v>662</v>
      </c>
      <c r="I165" s="78" t="s">
        <v>1019</v>
      </c>
      <c r="J165">
        <v>0</v>
      </c>
      <c r="K165">
        <v>0</v>
      </c>
      <c r="L165">
        <v>6</v>
      </c>
      <c r="M165">
        <v>3113</v>
      </c>
      <c r="N165" s="78" t="s">
        <v>1020</v>
      </c>
      <c r="O165">
        <v>1</v>
      </c>
      <c r="P165" s="82">
        <v>1.05</v>
      </c>
    </row>
    <row r="166" spans="1:16" x14ac:dyDescent="0.25">
      <c r="A166">
        <v>3150</v>
      </c>
      <c r="B166">
        <v>3150</v>
      </c>
      <c r="C166" s="78" t="s">
        <v>1021</v>
      </c>
      <c r="D166" s="78" t="s">
        <v>1022</v>
      </c>
      <c r="E166" s="78" t="s">
        <v>1022</v>
      </c>
      <c r="F166" s="78" t="s">
        <v>661</v>
      </c>
      <c r="G166">
        <v>1.7</v>
      </c>
      <c r="H166" s="78" t="s">
        <v>662</v>
      </c>
      <c r="I166" s="78" t="s">
        <v>1023</v>
      </c>
      <c r="J166">
        <v>0</v>
      </c>
      <c r="K166">
        <v>0</v>
      </c>
      <c r="L166">
        <v>24</v>
      </c>
      <c r="M166">
        <v>3150</v>
      </c>
      <c r="N166" s="78" t="s">
        <v>277</v>
      </c>
      <c r="O166">
        <v>1</v>
      </c>
      <c r="P166" s="82">
        <v>5.25</v>
      </c>
    </row>
    <row r="167" spans="1:16" x14ac:dyDescent="0.25">
      <c r="A167">
        <v>3200</v>
      </c>
      <c r="B167">
        <v>3200</v>
      </c>
      <c r="C167" s="78" t="s">
        <v>322</v>
      </c>
      <c r="D167" s="78" t="s">
        <v>965</v>
      </c>
      <c r="E167" s="78" t="s">
        <v>965</v>
      </c>
      <c r="F167" s="78" t="s">
        <v>661</v>
      </c>
      <c r="G167">
        <v>1.9E-2</v>
      </c>
      <c r="H167" s="78" t="s">
        <v>662</v>
      </c>
      <c r="I167" s="78" t="s">
        <v>1024</v>
      </c>
      <c r="J167">
        <v>0</v>
      </c>
      <c r="K167">
        <v>0</v>
      </c>
      <c r="L167">
        <v>1200</v>
      </c>
      <c r="M167">
        <v>3200</v>
      </c>
      <c r="N167" s="78" t="s">
        <v>317</v>
      </c>
      <c r="O167">
        <v>50</v>
      </c>
      <c r="P167" s="82">
        <v>3.1</v>
      </c>
    </row>
    <row r="168" spans="1:16" x14ac:dyDescent="0.25">
      <c r="A168">
        <v>3201</v>
      </c>
      <c r="B168">
        <v>3200</v>
      </c>
      <c r="C168" s="78" t="s">
        <v>1025</v>
      </c>
      <c r="D168" s="78" t="s">
        <v>965</v>
      </c>
      <c r="E168" s="78" t="s">
        <v>965</v>
      </c>
      <c r="F168" s="78" t="s">
        <v>661</v>
      </c>
      <c r="G168">
        <v>0.04</v>
      </c>
      <c r="H168" s="78" t="s">
        <v>662</v>
      </c>
      <c r="I168" s="78" t="s">
        <v>1026</v>
      </c>
      <c r="J168">
        <v>0</v>
      </c>
      <c r="K168">
        <v>0</v>
      </c>
      <c r="L168">
        <v>1</v>
      </c>
      <c r="M168">
        <v>3201</v>
      </c>
      <c r="N168" s="78" t="s">
        <v>322</v>
      </c>
      <c r="O168">
        <v>1</v>
      </c>
      <c r="P168" s="82">
        <v>0.1</v>
      </c>
    </row>
    <row r="169" spans="1:16" x14ac:dyDescent="0.25">
      <c r="A169">
        <v>3210</v>
      </c>
      <c r="B169">
        <v>3210</v>
      </c>
      <c r="C169" s="78" t="s">
        <v>1027</v>
      </c>
      <c r="D169" s="78" t="s">
        <v>965</v>
      </c>
      <c r="E169" s="78" t="s">
        <v>965</v>
      </c>
      <c r="F169" s="78" t="s">
        <v>661</v>
      </c>
      <c r="G169">
        <v>0.124</v>
      </c>
      <c r="H169" s="78" t="s">
        <v>662</v>
      </c>
      <c r="I169" s="78" t="s">
        <v>1028</v>
      </c>
      <c r="J169">
        <v>0</v>
      </c>
      <c r="K169">
        <v>0</v>
      </c>
      <c r="L169">
        <v>250</v>
      </c>
      <c r="M169">
        <v>3210</v>
      </c>
      <c r="N169" s="78" t="s">
        <v>326</v>
      </c>
      <c r="O169">
        <v>1</v>
      </c>
      <c r="P169" s="82">
        <v>0.55000000000000004</v>
      </c>
    </row>
    <row r="170" spans="1:16" x14ac:dyDescent="0.25">
      <c r="A170">
        <v>3300</v>
      </c>
      <c r="B170">
        <v>3300</v>
      </c>
      <c r="C170" s="78" t="s">
        <v>633</v>
      </c>
      <c r="D170" s="78" t="s">
        <v>1029</v>
      </c>
      <c r="E170" s="78" t="s">
        <v>1029</v>
      </c>
      <c r="F170" s="78" t="s">
        <v>661</v>
      </c>
      <c r="G170">
        <v>0.69</v>
      </c>
      <c r="H170" s="78" t="s">
        <v>662</v>
      </c>
      <c r="I170" s="78" t="s">
        <v>1030</v>
      </c>
      <c r="J170">
        <v>0</v>
      </c>
      <c r="K170">
        <v>0</v>
      </c>
      <c r="L170">
        <v>500</v>
      </c>
      <c r="M170">
        <v>3300</v>
      </c>
      <c r="N170" s="78" t="s">
        <v>1031</v>
      </c>
      <c r="O170">
        <v>1</v>
      </c>
      <c r="P170" s="82">
        <v>0.85</v>
      </c>
    </row>
    <row r="171" spans="1:16" x14ac:dyDescent="0.25">
      <c r="A171">
        <v>3310</v>
      </c>
      <c r="B171">
        <v>3310</v>
      </c>
      <c r="C171" s="78" t="s">
        <v>634</v>
      </c>
      <c r="D171" s="78" t="s">
        <v>965</v>
      </c>
      <c r="E171" s="78" t="s">
        <v>965</v>
      </c>
      <c r="F171" s="78" t="s">
        <v>661</v>
      </c>
      <c r="G171">
        <v>0.45</v>
      </c>
      <c r="H171" s="78" t="s">
        <v>662</v>
      </c>
      <c r="I171" s="78" t="s">
        <v>1032</v>
      </c>
      <c r="J171">
        <v>0</v>
      </c>
      <c r="K171">
        <v>0</v>
      </c>
      <c r="L171">
        <v>250</v>
      </c>
      <c r="M171">
        <v>3310</v>
      </c>
      <c r="N171" s="78" t="s">
        <v>1033</v>
      </c>
      <c r="O171">
        <v>1</v>
      </c>
      <c r="P171" s="82">
        <v>0.6</v>
      </c>
    </row>
    <row r="172" spans="1:16" x14ac:dyDescent="0.25">
      <c r="A172">
        <v>3400</v>
      </c>
      <c r="B172">
        <v>3400</v>
      </c>
      <c r="C172" s="78" t="s">
        <v>1034</v>
      </c>
      <c r="D172" s="78" t="s">
        <v>1035</v>
      </c>
      <c r="E172" s="78" t="s">
        <v>1035</v>
      </c>
      <c r="F172" s="78" t="s">
        <v>661</v>
      </c>
      <c r="G172">
        <v>5.5</v>
      </c>
      <c r="H172" s="78" t="s">
        <v>662</v>
      </c>
      <c r="I172" s="78" t="s">
        <v>1036</v>
      </c>
      <c r="J172">
        <v>0</v>
      </c>
      <c r="K172">
        <v>0</v>
      </c>
      <c r="L172">
        <v>100</v>
      </c>
      <c r="M172">
        <v>3400</v>
      </c>
      <c r="N172" s="78" t="s">
        <v>1037</v>
      </c>
      <c r="O172">
        <v>1</v>
      </c>
      <c r="P172" s="82">
        <v>5.5</v>
      </c>
    </row>
    <row r="173" spans="1:16" x14ac:dyDescent="0.25">
      <c r="A173">
        <v>3600</v>
      </c>
      <c r="B173">
        <v>3600</v>
      </c>
      <c r="C173" s="78" t="s">
        <v>1038</v>
      </c>
      <c r="D173" s="78" t="s">
        <v>1039</v>
      </c>
      <c r="E173" s="78" t="s">
        <v>1039</v>
      </c>
      <c r="F173" s="78" t="s">
        <v>661</v>
      </c>
      <c r="G173">
        <v>2</v>
      </c>
      <c r="H173" s="78" t="s">
        <v>662</v>
      </c>
      <c r="I173" s="78" t="s">
        <v>1040</v>
      </c>
      <c r="J173">
        <v>0</v>
      </c>
      <c r="K173">
        <v>0</v>
      </c>
      <c r="L173">
        <v>24</v>
      </c>
      <c r="M173">
        <v>3600</v>
      </c>
      <c r="N173" s="78" t="s">
        <v>1041</v>
      </c>
      <c r="O173">
        <v>1</v>
      </c>
      <c r="P173" s="82">
        <v>2.5</v>
      </c>
    </row>
    <row r="174" spans="1:16" x14ac:dyDescent="0.25">
      <c r="A174">
        <v>3601</v>
      </c>
      <c r="B174">
        <v>3601</v>
      </c>
      <c r="C174" s="78" t="s">
        <v>1042</v>
      </c>
      <c r="D174" s="78" t="s">
        <v>1039</v>
      </c>
      <c r="E174" s="78" t="s">
        <v>1039</v>
      </c>
      <c r="F174" s="78" t="s">
        <v>661</v>
      </c>
      <c r="G174">
        <v>2.75</v>
      </c>
      <c r="H174" s="78" t="s">
        <v>662</v>
      </c>
      <c r="I174" s="78" t="s">
        <v>1043</v>
      </c>
      <c r="J174">
        <v>0</v>
      </c>
      <c r="K174">
        <v>0</v>
      </c>
      <c r="L174">
        <v>1</v>
      </c>
      <c r="M174">
        <v>3601</v>
      </c>
      <c r="N174" s="78" t="s">
        <v>1044</v>
      </c>
      <c r="O174">
        <v>1</v>
      </c>
      <c r="P174" s="82">
        <v>3.5</v>
      </c>
    </row>
    <row r="175" spans="1:16" x14ac:dyDescent="0.25">
      <c r="A175">
        <v>3602</v>
      </c>
      <c r="B175">
        <v>3602</v>
      </c>
      <c r="C175" s="78" t="s">
        <v>1045</v>
      </c>
      <c r="D175" s="78" t="s">
        <v>1039</v>
      </c>
      <c r="E175" s="78" t="s">
        <v>1039</v>
      </c>
      <c r="F175" s="78" t="s">
        <v>661</v>
      </c>
      <c r="G175">
        <v>10.99</v>
      </c>
      <c r="H175" s="78" t="s">
        <v>1046</v>
      </c>
      <c r="I175" s="78" t="s">
        <v>1047</v>
      </c>
      <c r="J175">
        <v>0</v>
      </c>
      <c r="K175">
        <v>0</v>
      </c>
      <c r="L175">
        <v>12</v>
      </c>
      <c r="M175">
        <v>3602</v>
      </c>
      <c r="N175" s="78" t="s">
        <v>1048</v>
      </c>
      <c r="O175">
        <v>1</v>
      </c>
      <c r="P175" s="82">
        <v>13.5</v>
      </c>
    </row>
    <row r="176" spans="1:16" x14ac:dyDescent="0.25">
      <c r="A176">
        <v>3610</v>
      </c>
      <c r="B176">
        <v>3610</v>
      </c>
      <c r="C176" s="78" t="s">
        <v>1049</v>
      </c>
      <c r="D176" s="78" t="s">
        <v>1039</v>
      </c>
      <c r="E176" s="78" t="s">
        <v>1039</v>
      </c>
      <c r="F176" s="78" t="s">
        <v>661</v>
      </c>
      <c r="G176">
        <v>3.2250000000000001</v>
      </c>
      <c r="H176" s="78" t="s">
        <v>1050</v>
      </c>
      <c r="I176" s="78" t="s">
        <v>1051</v>
      </c>
      <c r="J176">
        <v>0</v>
      </c>
      <c r="K176">
        <v>0</v>
      </c>
      <c r="L176">
        <v>1</v>
      </c>
      <c r="M176">
        <v>3610</v>
      </c>
      <c r="N176" s="78" t="s">
        <v>1052</v>
      </c>
      <c r="O176">
        <v>1</v>
      </c>
      <c r="P176" s="82">
        <v>4.5</v>
      </c>
    </row>
    <row r="177" spans="1:16" x14ac:dyDescent="0.25">
      <c r="A177">
        <v>3650</v>
      </c>
      <c r="B177">
        <v>3650</v>
      </c>
      <c r="C177" s="78" t="s">
        <v>1053</v>
      </c>
      <c r="D177" s="78" t="s">
        <v>1039</v>
      </c>
      <c r="E177" s="78" t="s">
        <v>1039</v>
      </c>
      <c r="F177" s="78" t="s">
        <v>661</v>
      </c>
      <c r="G177">
        <v>5.75</v>
      </c>
      <c r="H177" s="78" t="s">
        <v>662</v>
      </c>
      <c r="I177" s="78" t="s">
        <v>1054</v>
      </c>
      <c r="J177">
        <v>0</v>
      </c>
      <c r="K177">
        <v>0</v>
      </c>
      <c r="L177">
        <v>1</v>
      </c>
      <c r="M177">
        <v>3650</v>
      </c>
      <c r="N177" s="78" t="s">
        <v>1055</v>
      </c>
      <c r="O177">
        <v>1</v>
      </c>
      <c r="P177" s="82">
        <v>6.5</v>
      </c>
    </row>
    <row r="178" spans="1:16" x14ac:dyDescent="0.25">
      <c r="A178">
        <v>3651</v>
      </c>
      <c r="B178">
        <v>3651</v>
      </c>
      <c r="C178" s="78" t="s">
        <v>1056</v>
      </c>
      <c r="D178" s="78" t="s">
        <v>1039</v>
      </c>
      <c r="E178" s="78" t="s">
        <v>1039</v>
      </c>
      <c r="F178" s="78" t="s">
        <v>661</v>
      </c>
      <c r="G178">
        <v>12</v>
      </c>
      <c r="H178" s="78" t="s">
        <v>662</v>
      </c>
      <c r="I178" s="78" t="s">
        <v>1057</v>
      </c>
      <c r="J178">
        <v>0</v>
      </c>
      <c r="K178">
        <v>0</v>
      </c>
      <c r="L178">
        <v>1</v>
      </c>
      <c r="M178">
        <v>3651</v>
      </c>
      <c r="N178" s="78" t="s">
        <v>1056</v>
      </c>
      <c r="O178">
        <v>1</v>
      </c>
      <c r="P178" s="82">
        <v>13</v>
      </c>
    </row>
    <row r="179" spans="1:16" x14ac:dyDescent="0.25">
      <c r="A179">
        <v>3660</v>
      </c>
      <c r="B179">
        <v>3660</v>
      </c>
      <c r="C179" s="78" t="s">
        <v>1058</v>
      </c>
      <c r="D179" s="78" t="s">
        <v>1039</v>
      </c>
      <c r="E179" s="78" t="s">
        <v>1039</v>
      </c>
      <c r="F179" s="78" t="s">
        <v>661</v>
      </c>
      <c r="G179">
        <v>13</v>
      </c>
      <c r="H179" s="78" t="s">
        <v>662</v>
      </c>
      <c r="I179" s="78" t="s">
        <v>1059</v>
      </c>
      <c r="J179">
        <v>0</v>
      </c>
      <c r="K179">
        <v>0</v>
      </c>
      <c r="L179">
        <v>1</v>
      </c>
      <c r="M179">
        <v>3660</v>
      </c>
      <c r="N179" s="78" t="s">
        <v>1060</v>
      </c>
      <c r="O179">
        <v>1</v>
      </c>
      <c r="P179" s="82">
        <v>17</v>
      </c>
    </row>
    <row r="180" spans="1:16" x14ac:dyDescent="0.25">
      <c r="A180">
        <v>3800</v>
      </c>
      <c r="B180">
        <v>3800</v>
      </c>
      <c r="C180" s="78" t="s">
        <v>1061</v>
      </c>
      <c r="D180" s="78" t="s">
        <v>1062</v>
      </c>
      <c r="E180" s="78" t="s">
        <v>1062</v>
      </c>
      <c r="F180" s="78" t="s">
        <v>661</v>
      </c>
      <c r="G180">
        <v>3.25</v>
      </c>
      <c r="H180" s="78" t="s">
        <v>662</v>
      </c>
      <c r="I180" s="78" t="s">
        <v>1063</v>
      </c>
      <c r="J180">
        <v>0</v>
      </c>
      <c r="K180">
        <v>0</v>
      </c>
      <c r="L180">
        <v>1</v>
      </c>
      <c r="M180">
        <v>3800</v>
      </c>
      <c r="N180" s="78" t="s">
        <v>337</v>
      </c>
      <c r="O180">
        <v>1</v>
      </c>
      <c r="P180" s="82">
        <v>11</v>
      </c>
    </row>
    <row r="181" spans="1:16" x14ac:dyDescent="0.25">
      <c r="A181">
        <v>3900</v>
      </c>
      <c r="B181">
        <v>3900</v>
      </c>
      <c r="C181" s="78" t="s">
        <v>1064</v>
      </c>
      <c r="D181" s="78" t="s">
        <v>1065</v>
      </c>
      <c r="E181" s="78" t="s">
        <v>1065</v>
      </c>
      <c r="F181" s="78" t="s">
        <v>661</v>
      </c>
      <c r="G181">
        <v>3.8</v>
      </c>
      <c r="H181" s="78" t="s">
        <v>662</v>
      </c>
      <c r="I181" s="78" t="s">
        <v>1066</v>
      </c>
      <c r="J181">
        <v>0</v>
      </c>
      <c r="K181">
        <v>0</v>
      </c>
      <c r="L181">
        <v>100</v>
      </c>
      <c r="M181">
        <v>3900</v>
      </c>
      <c r="N181" s="78" t="s">
        <v>1064</v>
      </c>
      <c r="O181">
        <v>1</v>
      </c>
      <c r="P181" s="82">
        <v>13</v>
      </c>
    </row>
    <row r="182" spans="1:16" x14ac:dyDescent="0.25">
      <c r="A182">
        <v>3901</v>
      </c>
      <c r="B182">
        <v>3901</v>
      </c>
      <c r="C182" s="78" t="s">
        <v>1067</v>
      </c>
      <c r="D182" s="78" t="s">
        <v>1065</v>
      </c>
      <c r="E182" s="78" t="s">
        <v>1065</v>
      </c>
      <c r="F182" s="78" t="s">
        <v>661</v>
      </c>
      <c r="G182">
        <v>3.8</v>
      </c>
      <c r="H182" s="78" t="s">
        <v>662</v>
      </c>
      <c r="I182" s="78" t="s">
        <v>1068</v>
      </c>
      <c r="J182">
        <v>0</v>
      </c>
      <c r="K182">
        <v>0</v>
      </c>
      <c r="L182">
        <v>100</v>
      </c>
      <c r="M182">
        <v>3901</v>
      </c>
      <c r="N182" s="78" t="s">
        <v>1067</v>
      </c>
      <c r="O182">
        <v>1</v>
      </c>
      <c r="P182" s="82">
        <v>13</v>
      </c>
    </row>
    <row r="183" spans="1:16" x14ac:dyDescent="0.25">
      <c r="A183">
        <v>3940</v>
      </c>
      <c r="B183">
        <v>3940</v>
      </c>
      <c r="C183" s="78" t="s">
        <v>1071</v>
      </c>
      <c r="D183" s="78" t="s">
        <v>1069</v>
      </c>
      <c r="E183" s="78" t="s">
        <v>1069</v>
      </c>
      <c r="F183" s="78" t="s">
        <v>661</v>
      </c>
      <c r="G183">
        <v>3.6</v>
      </c>
      <c r="H183" s="78" t="s">
        <v>1070</v>
      </c>
      <c r="I183" s="78" t="s">
        <v>1072</v>
      </c>
      <c r="J183">
        <v>0</v>
      </c>
      <c r="K183">
        <v>0</v>
      </c>
      <c r="L183">
        <v>90</v>
      </c>
      <c r="M183">
        <v>3940</v>
      </c>
      <c r="N183" s="78" t="s">
        <v>1071</v>
      </c>
      <c r="O183">
        <v>1</v>
      </c>
      <c r="P183" s="82">
        <v>13</v>
      </c>
    </row>
    <row r="184" spans="1:16" x14ac:dyDescent="0.25">
      <c r="A184">
        <v>3941</v>
      </c>
      <c r="B184">
        <v>3941</v>
      </c>
      <c r="C184" s="78" t="s">
        <v>1073</v>
      </c>
      <c r="D184" s="78" t="s">
        <v>1069</v>
      </c>
      <c r="E184" s="78" t="s">
        <v>1069</v>
      </c>
      <c r="F184" s="78" t="s">
        <v>661</v>
      </c>
      <c r="G184">
        <v>3.6</v>
      </c>
      <c r="H184" s="78" t="s">
        <v>1070</v>
      </c>
      <c r="I184" s="78" t="s">
        <v>1074</v>
      </c>
      <c r="J184">
        <v>0</v>
      </c>
      <c r="K184">
        <v>0</v>
      </c>
      <c r="L184">
        <v>90</v>
      </c>
      <c r="M184">
        <v>3941</v>
      </c>
      <c r="N184" s="78" t="s">
        <v>1073</v>
      </c>
      <c r="O184">
        <v>1</v>
      </c>
      <c r="P184" s="82">
        <v>13</v>
      </c>
    </row>
    <row r="185" spans="1:16" x14ac:dyDescent="0.25">
      <c r="A185">
        <v>3942</v>
      </c>
      <c r="B185">
        <v>3942</v>
      </c>
      <c r="C185" s="78" t="s">
        <v>1075</v>
      </c>
      <c r="D185" s="78" t="s">
        <v>1069</v>
      </c>
      <c r="E185" s="78" t="s">
        <v>1069</v>
      </c>
      <c r="F185" s="78" t="s">
        <v>661</v>
      </c>
      <c r="G185">
        <v>3.88</v>
      </c>
      <c r="H185" s="78" t="s">
        <v>1070</v>
      </c>
      <c r="I185" s="78" t="s">
        <v>1076</v>
      </c>
      <c r="J185">
        <v>0</v>
      </c>
      <c r="K185">
        <v>0</v>
      </c>
      <c r="L185">
        <v>90</v>
      </c>
      <c r="M185">
        <v>3942</v>
      </c>
      <c r="N185" s="78" t="s">
        <v>1075</v>
      </c>
      <c r="O185">
        <v>1</v>
      </c>
      <c r="P185" s="82">
        <v>13</v>
      </c>
    </row>
    <row r="186" spans="1:16" x14ac:dyDescent="0.25">
      <c r="A186">
        <v>3943</v>
      </c>
      <c r="B186">
        <v>3943</v>
      </c>
      <c r="C186" s="78" t="s">
        <v>1077</v>
      </c>
      <c r="D186" s="78" t="s">
        <v>1069</v>
      </c>
      <c r="E186" s="78" t="s">
        <v>1069</v>
      </c>
      <c r="F186" s="78" t="s">
        <v>661</v>
      </c>
      <c r="G186">
        <v>3.88</v>
      </c>
      <c r="H186" s="78" t="s">
        <v>1070</v>
      </c>
      <c r="I186" s="78" t="s">
        <v>1078</v>
      </c>
      <c r="J186">
        <v>0</v>
      </c>
      <c r="K186">
        <v>0</v>
      </c>
      <c r="L186">
        <v>90</v>
      </c>
      <c r="M186">
        <v>3943</v>
      </c>
      <c r="N186" s="78" t="s">
        <v>1077</v>
      </c>
      <c r="O186">
        <v>1</v>
      </c>
      <c r="P186" s="82">
        <v>13</v>
      </c>
    </row>
    <row r="187" spans="1:16" x14ac:dyDescent="0.25">
      <c r="A187">
        <v>3990</v>
      </c>
      <c r="B187">
        <v>3990</v>
      </c>
      <c r="C187" s="78" t="s">
        <v>331</v>
      </c>
      <c r="D187" s="78" t="s">
        <v>1079</v>
      </c>
      <c r="E187" s="78" t="s">
        <v>1079</v>
      </c>
      <c r="F187" s="78" t="s">
        <v>661</v>
      </c>
      <c r="G187">
        <v>0.16950000000000001</v>
      </c>
      <c r="H187" s="78" t="s">
        <v>945</v>
      </c>
      <c r="I187" s="78" t="s">
        <v>1080</v>
      </c>
      <c r="J187">
        <v>0</v>
      </c>
      <c r="K187">
        <v>0</v>
      </c>
      <c r="L187">
        <v>100</v>
      </c>
      <c r="M187">
        <v>3990</v>
      </c>
      <c r="N187" s="78" t="s">
        <v>331</v>
      </c>
      <c r="O187">
        <v>1</v>
      </c>
      <c r="P187" s="82">
        <v>1</v>
      </c>
    </row>
    <row r="188" spans="1:16" x14ac:dyDescent="0.25">
      <c r="A188">
        <v>4100</v>
      </c>
      <c r="B188">
        <v>4100</v>
      </c>
      <c r="C188" s="78" t="s">
        <v>1081</v>
      </c>
      <c r="D188" s="78" t="s">
        <v>895</v>
      </c>
      <c r="E188" s="78" t="s">
        <v>895</v>
      </c>
      <c r="F188" s="78" t="s">
        <v>661</v>
      </c>
      <c r="G188">
        <v>0.34</v>
      </c>
      <c r="H188" s="78" t="s">
        <v>662</v>
      </c>
      <c r="I188" s="78" t="s">
        <v>1082</v>
      </c>
      <c r="J188">
        <v>0</v>
      </c>
      <c r="K188">
        <v>0</v>
      </c>
      <c r="L188">
        <v>72</v>
      </c>
      <c r="M188">
        <v>4100</v>
      </c>
      <c r="N188" s="78" t="s">
        <v>154</v>
      </c>
      <c r="O188">
        <v>1</v>
      </c>
      <c r="P188" s="82">
        <v>1.65</v>
      </c>
    </row>
    <row r="189" spans="1:16" x14ac:dyDescent="0.25">
      <c r="A189">
        <v>4101</v>
      </c>
      <c r="B189">
        <v>4101</v>
      </c>
      <c r="C189" s="78" t="s">
        <v>1083</v>
      </c>
      <c r="D189" s="78" t="s">
        <v>895</v>
      </c>
      <c r="E189" s="78" t="s">
        <v>895</v>
      </c>
      <c r="F189" s="78" t="s">
        <v>661</v>
      </c>
      <c r="G189">
        <v>0.53</v>
      </c>
      <c r="H189" s="78" t="s">
        <v>662</v>
      </c>
      <c r="I189" s="78" t="s">
        <v>1084</v>
      </c>
      <c r="J189">
        <v>0</v>
      </c>
      <c r="K189">
        <v>0</v>
      </c>
      <c r="L189">
        <v>96</v>
      </c>
      <c r="M189">
        <v>4101</v>
      </c>
      <c r="N189" s="78" t="s">
        <v>157</v>
      </c>
      <c r="O189">
        <v>1</v>
      </c>
      <c r="P189" s="82">
        <v>1.8</v>
      </c>
    </row>
    <row r="190" spans="1:16" x14ac:dyDescent="0.25">
      <c r="A190">
        <v>4102</v>
      </c>
      <c r="B190">
        <v>4102</v>
      </c>
      <c r="C190" s="78" t="s">
        <v>1085</v>
      </c>
      <c r="D190" s="78" t="s">
        <v>895</v>
      </c>
      <c r="E190" s="78" t="s">
        <v>895</v>
      </c>
      <c r="F190" s="78" t="s">
        <v>661</v>
      </c>
      <c r="G190">
        <v>0.58299999999999996</v>
      </c>
      <c r="H190" s="78" t="s">
        <v>662</v>
      </c>
      <c r="I190" s="78" t="s">
        <v>1086</v>
      </c>
      <c r="J190">
        <v>0</v>
      </c>
      <c r="K190">
        <v>0</v>
      </c>
      <c r="L190">
        <v>80</v>
      </c>
      <c r="M190">
        <v>4102</v>
      </c>
      <c r="N190" s="78" t="s">
        <v>160</v>
      </c>
      <c r="O190">
        <v>1</v>
      </c>
      <c r="P190" s="82">
        <v>2</v>
      </c>
    </row>
    <row r="191" spans="1:16" x14ac:dyDescent="0.25">
      <c r="A191">
        <v>4103</v>
      </c>
      <c r="B191">
        <v>4103</v>
      </c>
      <c r="C191" s="78" t="s">
        <v>1087</v>
      </c>
      <c r="D191" s="78" t="s">
        <v>895</v>
      </c>
      <c r="E191" s="78" t="s">
        <v>895</v>
      </c>
      <c r="F191" s="78" t="s">
        <v>661</v>
      </c>
      <c r="G191">
        <v>0.25</v>
      </c>
      <c r="H191" s="78" t="s">
        <v>662</v>
      </c>
      <c r="I191" s="78" t="s">
        <v>1088</v>
      </c>
      <c r="J191">
        <v>0</v>
      </c>
      <c r="K191">
        <v>0</v>
      </c>
      <c r="L191">
        <v>72</v>
      </c>
      <c r="M191">
        <v>4103</v>
      </c>
      <c r="N191" s="78" t="s">
        <v>163</v>
      </c>
      <c r="O191">
        <v>1</v>
      </c>
      <c r="P191" s="82">
        <v>1.25</v>
      </c>
    </row>
    <row r="192" spans="1:16" x14ac:dyDescent="0.25">
      <c r="A192">
        <v>4104</v>
      </c>
      <c r="B192">
        <v>4104</v>
      </c>
      <c r="C192" s="78" t="s">
        <v>1089</v>
      </c>
      <c r="D192" s="78" t="s">
        <v>895</v>
      </c>
      <c r="E192" s="78" t="s">
        <v>895</v>
      </c>
      <c r="F192" s="78" t="s">
        <v>661</v>
      </c>
      <c r="G192">
        <v>0.65</v>
      </c>
      <c r="H192" s="78" t="s">
        <v>662</v>
      </c>
      <c r="I192" s="78" t="s">
        <v>1090</v>
      </c>
      <c r="J192">
        <v>0</v>
      </c>
      <c r="K192">
        <v>0</v>
      </c>
      <c r="L192">
        <v>88</v>
      </c>
      <c r="M192">
        <v>4104</v>
      </c>
      <c r="N192" s="78" t="s">
        <v>166</v>
      </c>
      <c r="O192">
        <v>1</v>
      </c>
      <c r="P192" s="82">
        <v>2.4</v>
      </c>
    </row>
    <row r="193" spans="1:16" x14ac:dyDescent="0.25">
      <c r="A193">
        <v>4108</v>
      </c>
      <c r="B193">
        <v>4108</v>
      </c>
      <c r="C193" s="78" t="s">
        <v>1091</v>
      </c>
      <c r="D193" s="78" t="s">
        <v>895</v>
      </c>
      <c r="E193" s="78" t="s">
        <v>895</v>
      </c>
      <c r="F193" s="78" t="s">
        <v>661</v>
      </c>
      <c r="G193">
        <v>1.6</v>
      </c>
      <c r="H193" s="78" t="s">
        <v>662</v>
      </c>
      <c r="I193" s="78" t="s">
        <v>1092</v>
      </c>
      <c r="J193">
        <v>0</v>
      </c>
      <c r="K193">
        <v>0</v>
      </c>
      <c r="L193">
        <v>24</v>
      </c>
      <c r="M193">
        <v>4108</v>
      </c>
      <c r="N193" s="78" t="s">
        <v>169</v>
      </c>
      <c r="O193">
        <v>1</v>
      </c>
      <c r="P193" s="82">
        <v>5.6</v>
      </c>
    </row>
    <row r="194" spans="1:16" x14ac:dyDescent="0.25">
      <c r="A194">
        <v>4150</v>
      </c>
      <c r="B194">
        <v>4150</v>
      </c>
      <c r="C194" s="78" t="s">
        <v>1093</v>
      </c>
      <c r="D194" s="78" t="s">
        <v>895</v>
      </c>
      <c r="E194" s="78" t="s">
        <v>895</v>
      </c>
      <c r="F194" s="78" t="s">
        <v>661</v>
      </c>
      <c r="G194">
        <v>0.18360000000000001</v>
      </c>
      <c r="H194" s="78" t="s">
        <v>662</v>
      </c>
      <c r="I194" s="78" t="s">
        <v>1094</v>
      </c>
      <c r="J194">
        <v>0</v>
      </c>
      <c r="K194">
        <v>0</v>
      </c>
      <c r="L194">
        <v>100</v>
      </c>
      <c r="M194">
        <v>4150</v>
      </c>
      <c r="N194" s="78" t="s">
        <v>1095</v>
      </c>
      <c r="O194">
        <v>1</v>
      </c>
      <c r="P194" s="82">
        <v>0.75</v>
      </c>
    </row>
    <row r="195" spans="1:16" x14ac:dyDescent="0.25">
      <c r="A195">
        <v>4200</v>
      </c>
      <c r="B195">
        <v>4200</v>
      </c>
      <c r="C195" s="78" t="s">
        <v>627</v>
      </c>
      <c r="D195" s="78" t="s">
        <v>895</v>
      </c>
      <c r="E195" s="78" t="s">
        <v>895</v>
      </c>
      <c r="F195" s="78" t="s">
        <v>661</v>
      </c>
      <c r="G195">
        <v>0.87</v>
      </c>
      <c r="H195" s="78" t="s">
        <v>662</v>
      </c>
      <c r="I195" s="78" t="s">
        <v>1096</v>
      </c>
      <c r="J195">
        <v>0</v>
      </c>
      <c r="K195">
        <v>0</v>
      </c>
      <c r="L195">
        <v>48</v>
      </c>
      <c r="M195">
        <v>4200</v>
      </c>
      <c r="N195" s="78" t="s">
        <v>1097</v>
      </c>
      <c r="O195">
        <v>1</v>
      </c>
      <c r="P195" s="82">
        <v>2.8</v>
      </c>
    </row>
    <row r="196" spans="1:16" x14ac:dyDescent="0.25">
      <c r="A196">
        <v>4201</v>
      </c>
      <c r="B196">
        <v>4201</v>
      </c>
      <c r="C196" s="78" t="s">
        <v>628</v>
      </c>
      <c r="D196" s="78" t="s">
        <v>895</v>
      </c>
      <c r="E196" s="78" t="s">
        <v>895</v>
      </c>
      <c r="F196" s="78" t="s">
        <v>661</v>
      </c>
      <c r="G196">
        <v>0.32</v>
      </c>
      <c r="H196" s="78" t="s">
        <v>662</v>
      </c>
      <c r="I196" s="78" t="s">
        <v>1098</v>
      </c>
      <c r="J196">
        <v>0</v>
      </c>
      <c r="K196">
        <v>0</v>
      </c>
      <c r="L196">
        <v>96</v>
      </c>
      <c r="M196">
        <v>4201</v>
      </c>
      <c r="N196" s="78" t="s">
        <v>1099</v>
      </c>
      <c r="O196">
        <v>1</v>
      </c>
      <c r="P196" s="82">
        <v>1.1499999999999999</v>
      </c>
    </row>
    <row r="197" spans="1:16" x14ac:dyDescent="0.25">
      <c r="A197">
        <v>4210</v>
      </c>
      <c r="B197">
        <v>4210</v>
      </c>
      <c r="C197" s="78" t="s">
        <v>1100</v>
      </c>
      <c r="D197" s="78" t="s">
        <v>895</v>
      </c>
      <c r="E197" s="78" t="s">
        <v>895</v>
      </c>
      <c r="F197" s="78" t="s">
        <v>661</v>
      </c>
      <c r="G197">
        <v>1.4741</v>
      </c>
      <c r="H197" s="78" t="s">
        <v>662</v>
      </c>
      <c r="I197" s="78" t="s">
        <v>1101</v>
      </c>
      <c r="J197">
        <v>0</v>
      </c>
      <c r="K197">
        <v>0</v>
      </c>
      <c r="L197">
        <v>12</v>
      </c>
      <c r="M197">
        <v>4210</v>
      </c>
      <c r="N197" s="78" t="s">
        <v>186</v>
      </c>
      <c r="O197">
        <v>1</v>
      </c>
      <c r="P197" s="82">
        <v>4.5</v>
      </c>
    </row>
    <row r="198" spans="1:16" x14ac:dyDescent="0.25">
      <c r="A198">
        <v>4211</v>
      </c>
      <c r="B198">
        <v>4211</v>
      </c>
      <c r="C198" s="78" t="s">
        <v>1793</v>
      </c>
      <c r="D198" s="78" t="s">
        <v>895</v>
      </c>
      <c r="E198" s="78" t="s">
        <v>895</v>
      </c>
      <c r="F198" s="78" t="s">
        <v>661</v>
      </c>
      <c r="G198">
        <v>1.5065999999999999</v>
      </c>
      <c r="H198" s="78" t="s">
        <v>662</v>
      </c>
      <c r="I198" s="78" t="s">
        <v>1102</v>
      </c>
      <c r="J198">
        <v>0</v>
      </c>
      <c r="K198">
        <v>0</v>
      </c>
      <c r="L198">
        <v>12</v>
      </c>
      <c r="M198">
        <v>4211</v>
      </c>
      <c r="N198" s="78" t="s">
        <v>1103</v>
      </c>
      <c r="O198">
        <v>1</v>
      </c>
      <c r="P198" s="82">
        <v>4.8499999999999996</v>
      </c>
    </row>
    <row r="199" spans="1:16" x14ac:dyDescent="0.25">
      <c r="A199">
        <v>4212</v>
      </c>
      <c r="B199">
        <v>4212</v>
      </c>
      <c r="C199" s="78" t="s">
        <v>1104</v>
      </c>
      <c r="D199" s="78" t="s">
        <v>895</v>
      </c>
      <c r="E199" s="78" t="s">
        <v>895</v>
      </c>
      <c r="F199" s="78" t="s">
        <v>661</v>
      </c>
      <c r="G199">
        <v>1.87</v>
      </c>
      <c r="H199" s="78" t="s">
        <v>662</v>
      </c>
      <c r="I199" s="78" t="s">
        <v>1105</v>
      </c>
      <c r="J199">
        <v>0</v>
      </c>
      <c r="K199">
        <v>0</v>
      </c>
      <c r="L199">
        <v>12</v>
      </c>
      <c r="M199">
        <v>4212</v>
      </c>
      <c r="N199" s="78" t="s">
        <v>191</v>
      </c>
      <c r="O199">
        <v>1</v>
      </c>
      <c r="P199" s="82">
        <v>6</v>
      </c>
    </row>
    <row r="200" spans="1:16" x14ac:dyDescent="0.25">
      <c r="A200">
        <v>4213</v>
      </c>
      <c r="B200">
        <v>4213</v>
      </c>
      <c r="C200" s="78" t="s">
        <v>1106</v>
      </c>
      <c r="D200" s="78" t="s">
        <v>895</v>
      </c>
      <c r="E200" s="78" t="s">
        <v>895</v>
      </c>
      <c r="F200" s="78" t="s">
        <v>661</v>
      </c>
      <c r="G200">
        <v>1.3</v>
      </c>
      <c r="H200" s="78" t="s">
        <v>662</v>
      </c>
      <c r="I200" s="78" t="s">
        <v>1107</v>
      </c>
      <c r="J200">
        <v>0</v>
      </c>
      <c r="K200">
        <v>0</v>
      </c>
      <c r="L200">
        <v>12</v>
      </c>
      <c r="M200">
        <v>4213</v>
      </c>
      <c r="N200" s="78" t="s">
        <v>194</v>
      </c>
      <c r="O200">
        <v>1</v>
      </c>
      <c r="P200" s="82">
        <v>4.5</v>
      </c>
    </row>
    <row r="201" spans="1:16" x14ac:dyDescent="0.25">
      <c r="A201">
        <v>4300</v>
      </c>
      <c r="B201">
        <v>4300</v>
      </c>
      <c r="C201" s="78" t="s">
        <v>1108</v>
      </c>
      <c r="D201" s="78" t="s">
        <v>895</v>
      </c>
      <c r="E201" s="78" t="s">
        <v>895</v>
      </c>
      <c r="F201" s="78" t="s">
        <v>661</v>
      </c>
      <c r="G201">
        <v>0.60499999999999998</v>
      </c>
      <c r="H201" s="78" t="s">
        <v>662</v>
      </c>
      <c r="I201" s="78" t="s">
        <v>1109</v>
      </c>
      <c r="J201">
        <v>0</v>
      </c>
      <c r="K201">
        <v>0</v>
      </c>
      <c r="L201">
        <v>12</v>
      </c>
      <c r="M201">
        <v>4300</v>
      </c>
      <c r="N201" s="78" t="s">
        <v>1110</v>
      </c>
      <c r="O201">
        <v>1</v>
      </c>
      <c r="P201" s="82">
        <v>1.85</v>
      </c>
    </row>
    <row r="202" spans="1:16" x14ac:dyDescent="0.25">
      <c r="A202">
        <v>4301</v>
      </c>
      <c r="B202">
        <v>4301</v>
      </c>
      <c r="C202" s="78" t="s">
        <v>1111</v>
      </c>
      <c r="D202" s="78" t="s">
        <v>895</v>
      </c>
      <c r="E202" s="78" t="s">
        <v>895</v>
      </c>
      <c r="F202" s="78" t="s">
        <v>661</v>
      </c>
      <c r="G202">
        <v>3</v>
      </c>
      <c r="H202" s="78" t="s">
        <v>662</v>
      </c>
      <c r="I202" s="78" t="s">
        <v>1112</v>
      </c>
      <c r="J202">
        <v>0</v>
      </c>
      <c r="K202">
        <v>0</v>
      </c>
      <c r="L202">
        <v>6</v>
      </c>
      <c r="M202">
        <v>4301</v>
      </c>
      <c r="N202" s="78" t="s">
        <v>162</v>
      </c>
      <c r="O202">
        <v>1</v>
      </c>
      <c r="P202" s="82">
        <v>9</v>
      </c>
    </row>
    <row r="203" spans="1:16" x14ac:dyDescent="0.25">
      <c r="A203">
        <v>4310</v>
      </c>
      <c r="B203">
        <v>4310</v>
      </c>
      <c r="C203" s="78" t="s">
        <v>1113</v>
      </c>
      <c r="D203" s="78" t="s">
        <v>895</v>
      </c>
      <c r="E203" s="78" t="s">
        <v>895</v>
      </c>
      <c r="F203" s="78" t="s">
        <v>661</v>
      </c>
      <c r="G203">
        <v>0.6</v>
      </c>
      <c r="H203" s="78" t="s">
        <v>662</v>
      </c>
      <c r="I203" s="78" t="s">
        <v>1114</v>
      </c>
      <c r="J203">
        <v>0</v>
      </c>
      <c r="K203">
        <v>0</v>
      </c>
      <c r="L203">
        <v>60</v>
      </c>
      <c r="M203">
        <v>4310</v>
      </c>
      <c r="N203" s="78" t="s">
        <v>1115</v>
      </c>
      <c r="O203">
        <v>1</v>
      </c>
      <c r="P203" s="82">
        <v>1.85</v>
      </c>
    </row>
    <row r="204" spans="1:16" x14ac:dyDescent="0.25">
      <c r="A204">
        <v>4400</v>
      </c>
      <c r="B204">
        <v>4400</v>
      </c>
      <c r="C204" s="78" t="s">
        <v>1116</v>
      </c>
      <c r="D204" s="78" t="s">
        <v>895</v>
      </c>
      <c r="E204" s="78" t="s">
        <v>895</v>
      </c>
      <c r="F204" s="78" t="s">
        <v>661</v>
      </c>
      <c r="G204">
        <v>0.9</v>
      </c>
      <c r="H204" s="78" t="s">
        <v>662</v>
      </c>
      <c r="I204" s="78" t="s">
        <v>1117</v>
      </c>
      <c r="J204">
        <v>0</v>
      </c>
      <c r="K204">
        <v>0</v>
      </c>
      <c r="L204">
        <v>24</v>
      </c>
      <c r="M204">
        <v>4400</v>
      </c>
      <c r="N204" s="78" t="s">
        <v>195</v>
      </c>
      <c r="O204">
        <v>1</v>
      </c>
      <c r="P204" s="82">
        <v>3.15</v>
      </c>
    </row>
    <row r="205" spans="1:16" x14ac:dyDescent="0.25">
      <c r="A205">
        <v>4401</v>
      </c>
      <c r="B205">
        <v>4401</v>
      </c>
      <c r="C205" s="78" t="s">
        <v>1118</v>
      </c>
      <c r="D205" s="78" t="s">
        <v>895</v>
      </c>
      <c r="E205" s="78" t="s">
        <v>895</v>
      </c>
      <c r="F205" s="78" t="s">
        <v>661</v>
      </c>
      <c r="G205">
        <v>1.25</v>
      </c>
      <c r="H205" s="78" t="s">
        <v>662</v>
      </c>
      <c r="I205" s="78" t="s">
        <v>1119</v>
      </c>
      <c r="J205">
        <v>0</v>
      </c>
      <c r="K205">
        <v>0</v>
      </c>
      <c r="L205">
        <v>24</v>
      </c>
      <c r="M205">
        <v>4401</v>
      </c>
      <c r="N205" s="78" t="s">
        <v>197</v>
      </c>
      <c r="O205">
        <v>1</v>
      </c>
      <c r="P205" s="82">
        <v>3.95</v>
      </c>
    </row>
    <row r="206" spans="1:16" x14ac:dyDescent="0.25">
      <c r="A206">
        <v>4402</v>
      </c>
      <c r="B206">
        <v>4402</v>
      </c>
      <c r="C206" s="78" t="s">
        <v>631</v>
      </c>
      <c r="D206" s="78" t="s">
        <v>895</v>
      </c>
      <c r="E206" s="78" t="s">
        <v>895</v>
      </c>
      <c r="F206" s="78" t="s">
        <v>661</v>
      </c>
      <c r="G206">
        <v>0.21</v>
      </c>
      <c r="H206" s="78" t="s">
        <v>662</v>
      </c>
      <c r="I206" s="78" t="s">
        <v>1120</v>
      </c>
      <c r="J206">
        <v>0</v>
      </c>
      <c r="K206">
        <v>0</v>
      </c>
      <c r="L206">
        <v>144</v>
      </c>
      <c r="M206">
        <v>4402</v>
      </c>
      <c r="N206" s="78" t="s">
        <v>200</v>
      </c>
      <c r="O206">
        <v>1</v>
      </c>
      <c r="P206" s="82">
        <v>1</v>
      </c>
    </row>
    <row r="207" spans="1:16" x14ac:dyDescent="0.25">
      <c r="A207">
        <v>4403</v>
      </c>
      <c r="B207">
        <v>4403</v>
      </c>
      <c r="C207" s="78" t="s">
        <v>1121</v>
      </c>
      <c r="D207" s="78" t="s">
        <v>895</v>
      </c>
      <c r="E207" s="78" t="s">
        <v>895</v>
      </c>
      <c r="F207" s="78" t="s">
        <v>661</v>
      </c>
      <c r="G207">
        <v>1.2</v>
      </c>
      <c r="H207" s="78" t="s">
        <v>662</v>
      </c>
      <c r="I207" s="78" t="s">
        <v>1122</v>
      </c>
      <c r="J207">
        <v>0</v>
      </c>
      <c r="K207">
        <v>0</v>
      </c>
      <c r="L207">
        <v>24</v>
      </c>
      <c r="M207">
        <v>4403</v>
      </c>
      <c r="N207" s="78" t="s">
        <v>203</v>
      </c>
      <c r="O207">
        <v>1</v>
      </c>
      <c r="P207" s="82">
        <v>4.25</v>
      </c>
    </row>
    <row r="208" spans="1:16" x14ac:dyDescent="0.25">
      <c r="A208">
        <v>4420</v>
      </c>
      <c r="B208">
        <v>4420</v>
      </c>
      <c r="C208" s="78" t="s">
        <v>1123</v>
      </c>
      <c r="D208" s="78" t="s">
        <v>895</v>
      </c>
      <c r="E208" s="78" t="s">
        <v>895</v>
      </c>
      <c r="F208" s="78" t="s">
        <v>661</v>
      </c>
      <c r="G208">
        <v>4</v>
      </c>
      <c r="H208" s="78" t="s">
        <v>662</v>
      </c>
      <c r="I208" s="78" t="s">
        <v>1124</v>
      </c>
      <c r="J208">
        <v>0</v>
      </c>
      <c r="K208">
        <v>0</v>
      </c>
      <c r="L208">
        <v>24</v>
      </c>
      <c r="M208">
        <v>4420</v>
      </c>
      <c r="N208" s="78" t="s">
        <v>206</v>
      </c>
      <c r="O208">
        <v>1</v>
      </c>
      <c r="P208" s="82">
        <v>12</v>
      </c>
    </row>
    <row r="209" spans="1:16" x14ac:dyDescent="0.25">
      <c r="A209">
        <v>4500</v>
      </c>
      <c r="B209">
        <v>4500</v>
      </c>
      <c r="C209" s="78" t="s">
        <v>1125</v>
      </c>
      <c r="D209" s="78" t="s">
        <v>895</v>
      </c>
      <c r="E209" s="78" t="s">
        <v>895</v>
      </c>
      <c r="F209" s="78" t="s">
        <v>661</v>
      </c>
      <c r="G209">
        <v>0.34</v>
      </c>
      <c r="H209" s="78" t="s">
        <v>662</v>
      </c>
      <c r="I209" s="78" t="s">
        <v>1126</v>
      </c>
      <c r="J209">
        <v>0</v>
      </c>
      <c r="K209">
        <v>0</v>
      </c>
      <c r="L209">
        <v>72</v>
      </c>
      <c r="M209">
        <v>4500</v>
      </c>
      <c r="N209" s="78" t="s">
        <v>209</v>
      </c>
      <c r="O209">
        <v>1</v>
      </c>
      <c r="P209" s="82">
        <v>1.25</v>
      </c>
    </row>
    <row r="210" spans="1:16" x14ac:dyDescent="0.25">
      <c r="A210">
        <v>4501</v>
      </c>
      <c r="B210">
        <v>4501</v>
      </c>
      <c r="C210" s="78" t="s">
        <v>212</v>
      </c>
      <c r="D210" s="78" t="s">
        <v>895</v>
      </c>
      <c r="E210" s="78" t="s">
        <v>895</v>
      </c>
      <c r="F210" s="78" t="s">
        <v>661</v>
      </c>
      <c r="G210">
        <v>0.05</v>
      </c>
      <c r="H210" s="78" t="s">
        <v>662</v>
      </c>
      <c r="I210" s="78" t="s">
        <v>1127</v>
      </c>
      <c r="J210">
        <v>0</v>
      </c>
      <c r="K210">
        <v>0</v>
      </c>
      <c r="L210">
        <v>144</v>
      </c>
      <c r="M210">
        <v>4501</v>
      </c>
      <c r="N210" s="78" t="s">
        <v>212</v>
      </c>
      <c r="O210">
        <v>1</v>
      </c>
      <c r="P210" s="82">
        <v>0.2</v>
      </c>
    </row>
    <row r="211" spans="1:16" x14ac:dyDescent="0.25">
      <c r="A211">
        <v>4502</v>
      </c>
      <c r="B211">
        <v>4502</v>
      </c>
      <c r="C211" s="78" t="s">
        <v>1128</v>
      </c>
      <c r="D211" s="78" t="s">
        <v>895</v>
      </c>
      <c r="E211" s="78" t="s">
        <v>895</v>
      </c>
      <c r="F211" s="78" t="s">
        <v>661</v>
      </c>
      <c r="G211">
        <v>0.15</v>
      </c>
      <c r="H211" s="78" t="s">
        <v>662</v>
      </c>
      <c r="I211" s="78" t="s">
        <v>1129</v>
      </c>
      <c r="J211">
        <v>0</v>
      </c>
      <c r="K211">
        <v>0</v>
      </c>
      <c r="L211">
        <v>72</v>
      </c>
      <c r="M211">
        <v>4502</v>
      </c>
      <c r="N211" s="78" t="s">
        <v>215</v>
      </c>
      <c r="O211">
        <v>1</v>
      </c>
      <c r="P211" s="82">
        <v>1</v>
      </c>
    </row>
    <row r="212" spans="1:16" x14ac:dyDescent="0.25">
      <c r="A212">
        <v>4503</v>
      </c>
      <c r="B212">
        <v>4503</v>
      </c>
      <c r="C212" s="78" t="s">
        <v>1130</v>
      </c>
      <c r="D212" s="78" t="s">
        <v>895</v>
      </c>
      <c r="E212" s="78" t="s">
        <v>895</v>
      </c>
      <c r="F212" s="78" t="s">
        <v>661</v>
      </c>
      <c r="G212">
        <v>0.59</v>
      </c>
      <c r="H212" s="78" t="s">
        <v>662</v>
      </c>
      <c r="I212" s="78" t="s">
        <v>1131</v>
      </c>
      <c r="J212">
        <v>0</v>
      </c>
      <c r="K212">
        <v>0</v>
      </c>
      <c r="L212">
        <v>72</v>
      </c>
      <c r="M212">
        <v>4503</v>
      </c>
      <c r="N212" s="78" t="s">
        <v>218</v>
      </c>
      <c r="O212">
        <v>1</v>
      </c>
      <c r="P212" s="82">
        <v>2.6</v>
      </c>
    </row>
    <row r="213" spans="1:16" x14ac:dyDescent="0.25">
      <c r="A213">
        <v>4520</v>
      </c>
      <c r="B213">
        <v>4520</v>
      </c>
      <c r="C213" s="78" t="s">
        <v>1132</v>
      </c>
      <c r="D213" s="78" t="s">
        <v>895</v>
      </c>
      <c r="E213" s="78" t="s">
        <v>895</v>
      </c>
      <c r="F213" s="78" t="s">
        <v>661</v>
      </c>
      <c r="G213">
        <v>0.18</v>
      </c>
      <c r="H213" s="78" t="s">
        <v>662</v>
      </c>
      <c r="I213" s="78" t="s">
        <v>1133</v>
      </c>
      <c r="J213">
        <v>0</v>
      </c>
      <c r="K213">
        <v>0</v>
      </c>
      <c r="L213">
        <v>100</v>
      </c>
      <c r="M213">
        <v>4520</v>
      </c>
      <c r="N213" s="78" t="s">
        <v>1134</v>
      </c>
      <c r="O213">
        <v>1</v>
      </c>
      <c r="P213" s="82">
        <v>0.55000000000000004</v>
      </c>
    </row>
    <row r="214" spans="1:16" x14ac:dyDescent="0.25">
      <c r="A214">
        <v>4530</v>
      </c>
      <c r="B214">
        <v>4530</v>
      </c>
      <c r="C214" s="78" t="s">
        <v>1135</v>
      </c>
      <c r="D214" s="78" t="s">
        <v>895</v>
      </c>
      <c r="E214" s="78" t="s">
        <v>895</v>
      </c>
      <c r="F214" s="78" t="s">
        <v>661</v>
      </c>
      <c r="G214">
        <v>2.5499999999999998</v>
      </c>
      <c r="H214" s="78" t="s">
        <v>662</v>
      </c>
      <c r="I214" s="78" t="s">
        <v>1136</v>
      </c>
      <c r="J214">
        <v>0</v>
      </c>
      <c r="K214">
        <v>0</v>
      </c>
      <c r="L214">
        <v>144</v>
      </c>
      <c r="M214">
        <v>4530</v>
      </c>
      <c r="N214" s="78" t="s">
        <v>1137</v>
      </c>
      <c r="O214">
        <v>1</v>
      </c>
      <c r="P214" s="82">
        <v>7</v>
      </c>
    </row>
    <row r="215" spans="1:16" x14ac:dyDescent="0.25">
      <c r="A215">
        <v>4600</v>
      </c>
      <c r="B215">
        <v>4600</v>
      </c>
      <c r="C215" s="78" t="s">
        <v>1138</v>
      </c>
      <c r="D215" s="78" t="s">
        <v>895</v>
      </c>
      <c r="E215" s="78" t="s">
        <v>895</v>
      </c>
      <c r="F215" s="78" t="s">
        <v>661</v>
      </c>
      <c r="G215">
        <v>0.32</v>
      </c>
      <c r="H215" s="78" t="s">
        <v>662</v>
      </c>
      <c r="I215" s="78" t="s">
        <v>1139</v>
      </c>
      <c r="J215">
        <v>0</v>
      </c>
      <c r="K215">
        <v>0</v>
      </c>
      <c r="L215">
        <v>60</v>
      </c>
      <c r="M215">
        <v>4600</v>
      </c>
      <c r="N215" s="78" t="s">
        <v>1140</v>
      </c>
      <c r="O215">
        <v>1</v>
      </c>
      <c r="P215" s="82">
        <v>1.5</v>
      </c>
    </row>
    <row r="216" spans="1:16" x14ac:dyDescent="0.25">
      <c r="A216">
        <v>4700</v>
      </c>
      <c r="B216">
        <v>4700</v>
      </c>
      <c r="C216" s="78" t="s">
        <v>1141</v>
      </c>
      <c r="D216" s="78" t="s">
        <v>895</v>
      </c>
      <c r="E216" s="78" t="s">
        <v>895</v>
      </c>
      <c r="F216" s="78" t="s">
        <v>661</v>
      </c>
      <c r="G216">
        <v>1.69</v>
      </c>
      <c r="H216" s="78" t="s">
        <v>662</v>
      </c>
      <c r="I216" s="78" t="s">
        <v>1142</v>
      </c>
      <c r="J216">
        <v>0</v>
      </c>
      <c r="K216">
        <v>0</v>
      </c>
      <c r="L216">
        <v>12</v>
      </c>
      <c r="M216">
        <v>4700</v>
      </c>
      <c r="N216" s="78" t="s">
        <v>1143</v>
      </c>
      <c r="O216">
        <v>1</v>
      </c>
      <c r="P216" s="82">
        <v>5.95</v>
      </c>
    </row>
    <row r="217" spans="1:16" x14ac:dyDescent="0.25">
      <c r="A217">
        <v>4701</v>
      </c>
      <c r="B217">
        <v>4701</v>
      </c>
      <c r="C217" s="78" t="s">
        <v>1144</v>
      </c>
      <c r="D217" s="78" t="s">
        <v>895</v>
      </c>
      <c r="E217" s="78" t="s">
        <v>895</v>
      </c>
      <c r="F217" s="78" t="s">
        <v>661</v>
      </c>
      <c r="G217">
        <v>3.3300000000000003E-2</v>
      </c>
      <c r="H217" s="78" t="s">
        <v>662</v>
      </c>
      <c r="I217" s="78" t="s">
        <v>1145</v>
      </c>
      <c r="J217">
        <v>0</v>
      </c>
      <c r="K217">
        <v>0</v>
      </c>
      <c r="L217">
        <v>960</v>
      </c>
      <c r="M217">
        <v>4701</v>
      </c>
      <c r="N217" s="78" t="s">
        <v>1146</v>
      </c>
      <c r="O217">
        <v>1</v>
      </c>
      <c r="P217" s="82">
        <v>0.25</v>
      </c>
    </row>
    <row r="218" spans="1:16" x14ac:dyDescent="0.25">
      <c r="A218">
        <v>4710</v>
      </c>
      <c r="B218">
        <v>4710</v>
      </c>
      <c r="C218" s="78" t="s">
        <v>1147</v>
      </c>
      <c r="D218" s="78" t="s">
        <v>1148</v>
      </c>
      <c r="E218" s="78" t="s">
        <v>1148</v>
      </c>
      <c r="F218" s="78" t="s">
        <v>661</v>
      </c>
      <c r="G218">
        <v>0.88</v>
      </c>
      <c r="H218" s="78" t="s">
        <v>662</v>
      </c>
      <c r="I218" s="78" t="s">
        <v>1149</v>
      </c>
      <c r="J218">
        <v>0</v>
      </c>
      <c r="K218">
        <v>0</v>
      </c>
      <c r="L218">
        <v>24</v>
      </c>
      <c r="M218">
        <v>4710</v>
      </c>
      <c r="N218" s="78" t="s">
        <v>236</v>
      </c>
      <c r="O218">
        <v>1</v>
      </c>
      <c r="P218" s="82">
        <v>3.5</v>
      </c>
    </row>
    <row r="219" spans="1:16" x14ac:dyDescent="0.25">
      <c r="A219">
        <v>4800</v>
      </c>
      <c r="B219">
        <v>4800</v>
      </c>
      <c r="C219" s="78" t="s">
        <v>1150</v>
      </c>
      <c r="D219" s="78" t="s">
        <v>895</v>
      </c>
      <c r="E219" s="78" t="s">
        <v>895</v>
      </c>
      <c r="F219" s="78" t="s">
        <v>661</v>
      </c>
      <c r="G219">
        <v>0.75</v>
      </c>
      <c r="H219" s="78" t="s">
        <v>662</v>
      </c>
      <c r="I219" s="78" t="s">
        <v>1151</v>
      </c>
      <c r="J219">
        <v>0</v>
      </c>
      <c r="K219">
        <v>0</v>
      </c>
      <c r="L219">
        <v>288</v>
      </c>
      <c r="M219">
        <v>4800</v>
      </c>
      <c r="N219" s="78" t="s">
        <v>210</v>
      </c>
      <c r="O219">
        <v>1</v>
      </c>
      <c r="P219" s="82">
        <v>2.2999999999999998</v>
      </c>
    </row>
    <row r="220" spans="1:16" x14ac:dyDescent="0.25">
      <c r="A220">
        <v>4801</v>
      </c>
      <c r="B220">
        <v>4801</v>
      </c>
      <c r="C220" s="78" t="s">
        <v>1152</v>
      </c>
      <c r="D220" s="78" t="s">
        <v>895</v>
      </c>
      <c r="E220" s="78" t="s">
        <v>895</v>
      </c>
      <c r="F220" s="78" t="s">
        <v>661</v>
      </c>
      <c r="G220">
        <v>0.73080000000000001</v>
      </c>
      <c r="H220" s="78" t="s">
        <v>662</v>
      </c>
      <c r="I220" s="78" t="s">
        <v>1153</v>
      </c>
      <c r="J220">
        <v>0</v>
      </c>
      <c r="K220">
        <v>0</v>
      </c>
      <c r="L220">
        <v>24</v>
      </c>
      <c r="M220">
        <v>4801</v>
      </c>
      <c r="N220" s="78" t="s">
        <v>213</v>
      </c>
      <c r="O220">
        <v>1</v>
      </c>
      <c r="P220" s="82">
        <v>2.25</v>
      </c>
    </row>
    <row r="221" spans="1:16" x14ac:dyDescent="0.25">
      <c r="A221">
        <v>4802</v>
      </c>
      <c r="B221">
        <v>4802</v>
      </c>
      <c r="C221" s="78" t="s">
        <v>1154</v>
      </c>
      <c r="D221" s="78" t="s">
        <v>895</v>
      </c>
      <c r="E221" s="78" t="s">
        <v>895</v>
      </c>
      <c r="F221" s="78" t="s">
        <v>661</v>
      </c>
      <c r="G221">
        <v>0.12</v>
      </c>
      <c r="H221" s="78" t="s">
        <v>662</v>
      </c>
      <c r="I221" s="78" t="s">
        <v>1155</v>
      </c>
      <c r="J221">
        <v>0</v>
      </c>
      <c r="K221">
        <v>0</v>
      </c>
      <c r="L221">
        <v>200</v>
      </c>
      <c r="M221">
        <v>4802</v>
      </c>
      <c r="N221" s="78" t="s">
        <v>216</v>
      </c>
      <c r="O221">
        <v>1</v>
      </c>
      <c r="P221" s="82">
        <v>0.55000000000000004</v>
      </c>
    </row>
    <row r="222" spans="1:16" x14ac:dyDescent="0.25">
      <c r="A222">
        <v>4830</v>
      </c>
      <c r="B222">
        <v>4830</v>
      </c>
      <c r="C222" s="78" t="s">
        <v>1156</v>
      </c>
      <c r="D222" s="78" t="s">
        <v>895</v>
      </c>
      <c r="E222" s="78" t="s">
        <v>895</v>
      </c>
      <c r="F222" s="78" t="s">
        <v>661</v>
      </c>
      <c r="G222">
        <v>0.432</v>
      </c>
      <c r="H222" s="78" t="s">
        <v>662</v>
      </c>
      <c r="I222" s="78" t="s">
        <v>1157</v>
      </c>
      <c r="J222">
        <v>0</v>
      </c>
      <c r="K222">
        <v>0</v>
      </c>
      <c r="L222">
        <v>96</v>
      </c>
      <c r="M222">
        <v>4830</v>
      </c>
      <c r="N222" s="78" t="s">
        <v>219</v>
      </c>
      <c r="O222">
        <v>1</v>
      </c>
      <c r="P222" s="82">
        <v>1.3</v>
      </c>
    </row>
    <row r="223" spans="1:16" x14ac:dyDescent="0.25">
      <c r="A223">
        <v>4840</v>
      </c>
      <c r="B223">
        <v>4840</v>
      </c>
      <c r="C223" s="78" t="s">
        <v>1158</v>
      </c>
      <c r="D223" s="78" t="s">
        <v>895</v>
      </c>
      <c r="E223" s="78" t="s">
        <v>895</v>
      </c>
      <c r="F223" s="78" t="s">
        <v>661</v>
      </c>
      <c r="G223">
        <v>0.31909999999999999</v>
      </c>
      <c r="H223" s="78" t="s">
        <v>662</v>
      </c>
      <c r="I223" s="78" t="s">
        <v>1159</v>
      </c>
      <c r="J223">
        <v>0</v>
      </c>
      <c r="K223">
        <v>0</v>
      </c>
      <c r="L223">
        <v>12</v>
      </c>
      <c r="M223">
        <v>4840</v>
      </c>
      <c r="N223" s="78" t="s">
        <v>1160</v>
      </c>
      <c r="O223">
        <v>1</v>
      </c>
      <c r="P223" s="82">
        <v>1</v>
      </c>
    </row>
    <row r="224" spans="1:16" x14ac:dyDescent="0.25">
      <c r="A224">
        <v>4841</v>
      </c>
      <c r="B224">
        <v>4841</v>
      </c>
      <c r="C224" s="78" t="s">
        <v>1161</v>
      </c>
      <c r="D224" s="78" t="s">
        <v>895</v>
      </c>
      <c r="E224" s="78" t="s">
        <v>895</v>
      </c>
      <c r="F224" s="78" t="s">
        <v>661</v>
      </c>
      <c r="G224">
        <v>3.3000000000000002E-2</v>
      </c>
      <c r="H224" s="78" t="s">
        <v>662</v>
      </c>
      <c r="I224" s="78" t="s">
        <v>1162</v>
      </c>
      <c r="J224">
        <v>0</v>
      </c>
      <c r="K224">
        <v>0</v>
      </c>
      <c r="L224">
        <v>100</v>
      </c>
      <c r="M224">
        <v>4841</v>
      </c>
      <c r="N224" s="78" t="s">
        <v>225</v>
      </c>
      <c r="O224">
        <v>1</v>
      </c>
      <c r="P224" s="82">
        <v>0.1</v>
      </c>
    </row>
    <row r="225" spans="1:16" x14ac:dyDescent="0.25">
      <c r="A225">
        <v>4842</v>
      </c>
      <c r="B225">
        <v>4842</v>
      </c>
      <c r="C225" s="78" t="s">
        <v>1163</v>
      </c>
      <c r="D225" s="78" t="s">
        <v>895</v>
      </c>
      <c r="E225" s="78" t="s">
        <v>895</v>
      </c>
      <c r="F225" s="78" t="s">
        <v>661</v>
      </c>
      <c r="G225">
        <v>0.6</v>
      </c>
      <c r="H225" s="78" t="s">
        <v>662</v>
      </c>
      <c r="I225" s="78" t="s">
        <v>1164</v>
      </c>
      <c r="J225">
        <v>0</v>
      </c>
      <c r="K225">
        <v>0</v>
      </c>
      <c r="L225">
        <v>12</v>
      </c>
      <c r="M225">
        <v>4842</v>
      </c>
      <c r="N225" s="78" t="s">
        <v>1165</v>
      </c>
      <c r="O225">
        <v>1</v>
      </c>
      <c r="P225" s="82">
        <v>2.1</v>
      </c>
    </row>
    <row r="226" spans="1:16" x14ac:dyDescent="0.25">
      <c r="A226">
        <v>4863</v>
      </c>
      <c r="B226">
        <v>4863</v>
      </c>
      <c r="C226" s="78" t="s">
        <v>1794</v>
      </c>
      <c r="D226" s="78" t="s">
        <v>895</v>
      </c>
      <c r="E226" s="78" t="s">
        <v>895</v>
      </c>
      <c r="F226" s="78" t="s">
        <v>661</v>
      </c>
      <c r="G226">
        <v>0.06</v>
      </c>
      <c r="H226" s="78" t="s">
        <v>662</v>
      </c>
      <c r="I226" s="78" t="s">
        <v>1166</v>
      </c>
      <c r="J226">
        <v>0</v>
      </c>
      <c r="K226">
        <v>0</v>
      </c>
      <c r="L226">
        <v>1000</v>
      </c>
      <c r="M226">
        <v>4863</v>
      </c>
      <c r="N226" s="78" t="s">
        <v>339</v>
      </c>
      <c r="O226">
        <v>1</v>
      </c>
      <c r="P226" s="82">
        <v>1.05</v>
      </c>
    </row>
    <row r="227" spans="1:16" x14ac:dyDescent="0.25">
      <c r="A227">
        <v>4900</v>
      </c>
      <c r="B227">
        <v>4900</v>
      </c>
      <c r="C227" s="78" t="s">
        <v>1167</v>
      </c>
      <c r="D227" s="78" t="s">
        <v>895</v>
      </c>
      <c r="E227" s="78" t="s">
        <v>895</v>
      </c>
      <c r="F227" s="78" t="s">
        <v>1168</v>
      </c>
      <c r="G227">
        <v>1.25</v>
      </c>
      <c r="H227" s="78" t="s">
        <v>662</v>
      </c>
      <c r="I227" s="78" t="s">
        <v>1169</v>
      </c>
      <c r="J227">
        <v>0</v>
      </c>
      <c r="K227">
        <v>0</v>
      </c>
      <c r="L227">
        <v>12</v>
      </c>
      <c r="M227">
        <v>4900</v>
      </c>
      <c r="N227" s="78" t="s">
        <v>231</v>
      </c>
      <c r="O227">
        <v>1</v>
      </c>
      <c r="P227" s="82">
        <v>3.75</v>
      </c>
    </row>
    <row r="228" spans="1:16" x14ac:dyDescent="0.25">
      <c r="A228">
        <v>4910</v>
      </c>
      <c r="B228">
        <v>4910</v>
      </c>
      <c r="C228" s="78" t="s">
        <v>1170</v>
      </c>
      <c r="D228" s="78" t="s">
        <v>895</v>
      </c>
      <c r="E228" s="78" t="s">
        <v>895</v>
      </c>
      <c r="F228" s="78" t="s">
        <v>1168</v>
      </c>
      <c r="G228">
        <v>0.95</v>
      </c>
      <c r="H228" s="78" t="s">
        <v>662</v>
      </c>
      <c r="I228" s="78" t="s">
        <v>1171</v>
      </c>
      <c r="J228">
        <v>0</v>
      </c>
      <c r="K228">
        <v>0</v>
      </c>
      <c r="L228">
        <v>24</v>
      </c>
      <c r="M228">
        <v>4910</v>
      </c>
      <c r="N228" s="78" t="s">
        <v>234</v>
      </c>
      <c r="O228">
        <v>1</v>
      </c>
      <c r="P228" s="82">
        <v>2.65</v>
      </c>
    </row>
    <row r="229" spans="1:16" x14ac:dyDescent="0.25">
      <c r="A229">
        <v>4920</v>
      </c>
      <c r="B229">
        <v>4920</v>
      </c>
      <c r="C229" s="78" t="s">
        <v>1172</v>
      </c>
      <c r="D229" s="78" t="s">
        <v>895</v>
      </c>
      <c r="E229" s="78" t="s">
        <v>895</v>
      </c>
      <c r="F229" s="78" t="s">
        <v>1168</v>
      </c>
      <c r="G229">
        <v>0.1</v>
      </c>
      <c r="H229" s="78" t="s">
        <v>662</v>
      </c>
      <c r="I229" s="78" t="s">
        <v>1173</v>
      </c>
      <c r="J229">
        <v>0</v>
      </c>
      <c r="K229">
        <v>0</v>
      </c>
      <c r="L229">
        <v>480</v>
      </c>
      <c r="M229">
        <v>4920</v>
      </c>
      <c r="N229" s="78" t="s">
        <v>237</v>
      </c>
      <c r="O229">
        <v>10</v>
      </c>
      <c r="P229" s="82">
        <v>3.3</v>
      </c>
    </row>
    <row r="230" spans="1:16" x14ac:dyDescent="0.25">
      <c r="A230">
        <v>5000</v>
      </c>
      <c r="B230">
        <v>5000</v>
      </c>
      <c r="C230" s="78" t="s">
        <v>1174</v>
      </c>
      <c r="D230" s="78" t="s">
        <v>895</v>
      </c>
      <c r="E230" s="78" t="s">
        <v>895</v>
      </c>
      <c r="F230" s="78" t="s">
        <v>661</v>
      </c>
      <c r="G230">
        <v>1.1599999999999999</v>
      </c>
      <c r="H230" s="78" t="s">
        <v>662</v>
      </c>
      <c r="I230" s="78" t="s">
        <v>1175</v>
      </c>
      <c r="J230">
        <v>0</v>
      </c>
      <c r="K230">
        <v>0</v>
      </c>
      <c r="L230">
        <v>6</v>
      </c>
      <c r="M230">
        <v>5000</v>
      </c>
      <c r="N230" s="78" t="s">
        <v>202</v>
      </c>
      <c r="O230">
        <v>1</v>
      </c>
      <c r="P230" s="82">
        <v>3.5</v>
      </c>
    </row>
    <row r="231" spans="1:16" x14ac:dyDescent="0.25">
      <c r="A231">
        <v>5001</v>
      </c>
      <c r="B231">
        <v>5001</v>
      </c>
      <c r="C231" s="78" t="s">
        <v>1176</v>
      </c>
      <c r="D231" s="78" t="s">
        <v>895</v>
      </c>
      <c r="E231" s="78" t="s">
        <v>895</v>
      </c>
      <c r="F231" s="78" t="s">
        <v>661</v>
      </c>
      <c r="G231">
        <v>0.97909999999999997</v>
      </c>
      <c r="H231" s="78" t="s">
        <v>662</v>
      </c>
      <c r="I231" s="78" t="s">
        <v>1177</v>
      </c>
      <c r="J231">
        <v>0</v>
      </c>
      <c r="K231">
        <v>0</v>
      </c>
      <c r="L231">
        <v>12</v>
      </c>
      <c r="M231">
        <v>5001</v>
      </c>
      <c r="N231" s="78" t="s">
        <v>205</v>
      </c>
      <c r="O231">
        <v>1</v>
      </c>
      <c r="P231" s="82">
        <v>3</v>
      </c>
    </row>
    <row r="232" spans="1:16" x14ac:dyDescent="0.25">
      <c r="A232">
        <v>5002</v>
      </c>
      <c r="B232">
        <v>5002</v>
      </c>
      <c r="C232" s="78" t="s">
        <v>1178</v>
      </c>
      <c r="D232" s="78" t="s">
        <v>895</v>
      </c>
      <c r="E232" s="78" t="s">
        <v>895</v>
      </c>
      <c r="F232" s="78" t="s">
        <v>661</v>
      </c>
      <c r="G232">
        <v>1.1599999999999999</v>
      </c>
      <c r="H232" s="78" t="s">
        <v>662</v>
      </c>
      <c r="I232" s="78" t="s">
        <v>1179</v>
      </c>
      <c r="J232">
        <v>0</v>
      </c>
      <c r="K232">
        <v>0</v>
      </c>
      <c r="L232">
        <v>6</v>
      </c>
      <c r="M232">
        <v>5002</v>
      </c>
      <c r="N232" s="78" t="s">
        <v>208</v>
      </c>
      <c r="O232">
        <v>1</v>
      </c>
      <c r="P232" s="82">
        <v>3.5</v>
      </c>
    </row>
    <row r="233" spans="1:16" x14ac:dyDescent="0.25">
      <c r="A233">
        <v>5040</v>
      </c>
      <c r="B233">
        <v>5040</v>
      </c>
      <c r="C233" s="78" t="s">
        <v>1180</v>
      </c>
      <c r="D233" s="78" t="s">
        <v>895</v>
      </c>
      <c r="E233" s="78" t="s">
        <v>895</v>
      </c>
      <c r="F233" s="78" t="s">
        <v>661</v>
      </c>
      <c r="G233">
        <v>0.99</v>
      </c>
      <c r="H233" s="78" t="s">
        <v>662</v>
      </c>
      <c r="I233" s="78" t="s">
        <v>1181</v>
      </c>
      <c r="J233">
        <v>0</v>
      </c>
      <c r="K233">
        <v>0</v>
      </c>
      <c r="L233">
        <v>12</v>
      </c>
      <c r="M233">
        <v>5040</v>
      </c>
      <c r="N233" s="78" t="s">
        <v>211</v>
      </c>
      <c r="O233">
        <v>1</v>
      </c>
      <c r="P233" s="82">
        <v>3</v>
      </c>
    </row>
    <row r="234" spans="1:16" x14ac:dyDescent="0.25">
      <c r="A234">
        <v>5041</v>
      </c>
      <c r="B234">
        <v>5041</v>
      </c>
      <c r="C234" s="78" t="s">
        <v>1182</v>
      </c>
      <c r="D234" s="78" t="s">
        <v>895</v>
      </c>
      <c r="E234" s="78" t="s">
        <v>895</v>
      </c>
      <c r="F234" s="78" t="s">
        <v>661</v>
      </c>
      <c r="G234">
        <v>4.18</v>
      </c>
      <c r="H234" s="78" t="s">
        <v>662</v>
      </c>
      <c r="I234" s="78" t="s">
        <v>1183</v>
      </c>
      <c r="J234">
        <v>0</v>
      </c>
      <c r="K234">
        <v>0</v>
      </c>
      <c r="L234">
        <v>12</v>
      </c>
      <c r="M234">
        <v>5041</v>
      </c>
      <c r="N234" s="78" t="s">
        <v>214</v>
      </c>
      <c r="O234">
        <v>1</v>
      </c>
      <c r="P234" s="82">
        <v>8.4</v>
      </c>
    </row>
    <row r="235" spans="1:16" x14ac:dyDescent="0.25">
      <c r="A235">
        <v>5042</v>
      </c>
      <c r="B235">
        <v>5042</v>
      </c>
      <c r="C235" s="78" t="s">
        <v>1184</v>
      </c>
      <c r="D235" s="78" t="s">
        <v>895</v>
      </c>
      <c r="E235" s="78" t="s">
        <v>895</v>
      </c>
      <c r="F235" s="78" t="s">
        <v>661</v>
      </c>
      <c r="G235">
        <v>2.8</v>
      </c>
      <c r="H235" s="78" t="s">
        <v>662</v>
      </c>
      <c r="I235" s="78" t="s">
        <v>1185</v>
      </c>
      <c r="J235">
        <v>0</v>
      </c>
      <c r="K235">
        <v>0</v>
      </c>
      <c r="L235">
        <v>12</v>
      </c>
      <c r="M235">
        <v>5042</v>
      </c>
      <c r="N235" s="78" t="s">
        <v>217</v>
      </c>
      <c r="O235">
        <v>1</v>
      </c>
      <c r="P235" s="82">
        <v>9</v>
      </c>
    </row>
    <row r="236" spans="1:16" x14ac:dyDescent="0.25">
      <c r="A236">
        <v>5050</v>
      </c>
      <c r="B236">
        <v>5050</v>
      </c>
      <c r="C236" s="78" t="s">
        <v>1186</v>
      </c>
      <c r="D236" s="78" t="s">
        <v>895</v>
      </c>
      <c r="E236" s="78" t="s">
        <v>895</v>
      </c>
      <c r="F236" s="78" t="s">
        <v>661</v>
      </c>
      <c r="G236">
        <v>1.1599999999999999</v>
      </c>
      <c r="H236" s="78" t="s">
        <v>662</v>
      </c>
      <c r="I236" s="78" t="s">
        <v>1187</v>
      </c>
      <c r="J236">
        <v>0</v>
      </c>
      <c r="K236">
        <v>0</v>
      </c>
      <c r="L236">
        <v>6</v>
      </c>
      <c r="M236">
        <v>5050</v>
      </c>
      <c r="N236" s="78" t="s">
        <v>220</v>
      </c>
      <c r="O236">
        <v>1</v>
      </c>
      <c r="P236" s="82">
        <v>3.5</v>
      </c>
    </row>
    <row r="237" spans="1:16" x14ac:dyDescent="0.25">
      <c r="A237">
        <v>5051</v>
      </c>
      <c r="B237">
        <v>5051</v>
      </c>
      <c r="C237" s="78" t="s">
        <v>1188</v>
      </c>
      <c r="D237" s="78" t="s">
        <v>895</v>
      </c>
      <c r="E237" s="78" t="s">
        <v>895</v>
      </c>
      <c r="F237" s="78" t="s">
        <v>661</v>
      </c>
      <c r="G237">
        <v>0.97909999999999997</v>
      </c>
      <c r="H237" s="78" t="s">
        <v>662</v>
      </c>
      <c r="I237" s="78" t="s">
        <v>1189</v>
      </c>
      <c r="J237">
        <v>0</v>
      </c>
      <c r="K237">
        <v>0</v>
      </c>
      <c r="L237">
        <v>12</v>
      </c>
      <c r="M237">
        <v>5051</v>
      </c>
      <c r="N237" s="78" t="s">
        <v>223</v>
      </c>
      <c r="O237">
        <v>1</v>
      </c>
      <c r="P237" s="82">
        <v>3</v>
      </c>
    </row>
    <row r="238" spans="1:16" x14ac:dyDescent="0.25">
      <c r="A238">
        <v>5052</v>
      </c>
      <c r="B238">
        <v>5052</v>
      </c>
      <c r="C238" s="78" t="s">
        <v>1190</v>
      </c>
      <c r="D238" s="78" t="s">
        <v>895</v>
      </c>
      <c r="E238" s="78" t="s">
        <v>895</v>
      </c>
      <c r="F238" s="78" t="s">
        <v>661</v>
      </c>
      <c r="G238">
        <v>1.1599999999999999</v>
      </c>
      <c r="H238" s="78" t="s">
        <v>662</v>
      </c>
      <c r="I238" s="78" t="s">
        <v>1191</v>
      </c>
      <c r="J238">
        <v>0</v>
      </c>
      <c r="K238">
        <v>0</v>
      </c>
      <c r="L238">
        <v>6</v>
      </c>
      <c r="M238">
        <v>5052</v>
      </c>
      <c r="N238" s="78" t="s">
        <v>226</v>
      </c>
      <c r="O238">
        <v>1</v>
      </c>
      <c r="P238" s="82">
        <v>3.5</v>
      </c>
    </row>
    <row r="239" spans="1:16" x14ac:dyDescent="0.25">
      <c r="A239">
        <v>5060</v>
      </c>
      <c r="B239">
        <v>5060</v>
      </c>
      <c r="C239" s="78" t="s">
        <v>1192</v>
      </c>
      <c r="D239" s="78" t="s">
        <v>895</v>
      </c>
      <c r="E239" s="78" t="s">
        <v>895</v>
      </c>
      <c r="F239" s="78" t="s">
        <v>661</v>
      </c>
      <c r="G239">
        <v>0.32</v>
      </c>
      <c r="H239" s="78" t="s">
        <v>662</v>
      </c>
      <c r="I239" s="78" t="s">
        <v>1193</v>
      </c>
      <c r="J239">
        <v>0</v>
      </c>
      <c r="K239">
        <v>0</v>
      </c>
      <c r="L239">
        <v>60</v>
      </c>
      <c r="M239">
        <v>5060</v>
      </c>
      <c r="N239" s="78" t="s">
        <v>229</v>
      </c>
      <c r="O239">
        <v>1</v>
      </c>
      <c r="P239" s="82">
        <v>1.5</v>
      </c>
    </row>
    <row r="240" spans="1:16" x14ac:dyDescent="0.25">
      <c r="A240">
        <v>5070</v>
      </c>
      <c r="B240">
        <v>5070</v>
      </c>
      <c r="C240" s="78" t="s">
        <v>1194</v>
      </c>
      <c r="D240" s="78" t="s">
        <v>895</v>
      </c>
      <c r="E240" s="78" t="s">
        <v>895</v>
      </c>
      <c r="F240" s="78" t="s">
        <v>661</v>
      </c>
      <c r="G240">
        <v>1.1599999999999999</v>
      </c>
      <c r="H240" s="78" t="s">
        <v>662</v>
      </c>
      <c r="I240" s="78" t="s">
        <v>1195</v>
      </c>
      <c r="J240">
        <v>0</v>
      </c>
      <c r="K240">
        <v>0</v>
      </c>
      <c r="L240">
        <v>6</v>
      </c>
      <c r="M240">
        <v>5070</v>
      </c>
      <c r="N240" s="78" t="s">
        <v>232</v>
      </c>
      <c r="O240">
        <v>1</v>
      </c>
      <c r="P240" s="82">
        <v>4</v>
      </c>
    </row>
    <row r="241" spans="1:16" x14ac:dyDescent="0.25">
      <c r="A241">
        <v>5082</v>
      </c>
      <c r="B241">
        <v>5082</v>
      </c>
      <c r="C241" s="78" t="s">
        <v>1196</v>
      </c>
      <c r="D241" s="78" t="s">
        <v>895</v>
      </c>
      <c r="E241" s="78" t="s">
        <v>895</v>
      </c>
      <c r="F241" s="78" t="s">
        <v>661</v>
      </c>
      <c r="G241">
        <v>2.2000000000000002</v>
      </c>
      <c r="H241" s="78" t="s">
        <v>662</v>
      </c>
      <c r="I241" s="78" t="s">
        <v>1197</v>
      </c>
      <c r="J241">
        <v>0</v>
      </c>
      <c r="K241">
        <v>0</v>
      </c>
      <c r="L241">
        <v>6</v>
      </c>
      <c r="M241">
        <v>5082</v>
      </c>
      <c r="N241" s="78" t="s">
        <v>1198</v>
      </c>
      <c r="O241">
        <v>1</v>
      </c>
      <c r="P241" s="82">
        <v>7.7</v>
      </c>
    </row>
    <row r="242" spans="1:16" x14ac:dyDescent="0.25">
      <c r="A242">
        <v>5100</v>
      </c>
      <c r="B242">
        <v>5100</v>
      </c>
      <c r="C242" s="78" t="s">
        <v>1199</v>
      </c>
      <c r="D242" s="78" t="s">
        <v>1200</v>
      </c>
      <c r="E242" s="78" t="s">
        <v>1200</v>
      </c>
      <c r="F242" s="78" t="s">
        <v>661</v>
      </c>
      <c r="G242">
        <v>3.2899999999999999E-2</v>
      </c>
      <c r="H242" s="78" t="s">
        <v>662</v>
      </c>
      <c r="I242" s="78" t="s">
        <v>1201</v>
      </c>
      <c r="J242">
        <v>0</v>
      </c>
      <c r="K242">
        <v>0</v>
      </c>
      <c r="L242">
        <v>144</v>
      </c>
      <c r="M242">
        <v>5100</v>
      </c>
      <c r="N242" s="78" t="s">
        <v>155</v>
      </c>
      <c r="O242">
        <v>1</v>
      </c>
      <c r="P242" s="82">
        <v>0.25</v>
      </c>
    </row>
    <row r="243" spans="1:16" x14ac:dyDescent="0.25">
      <c r="A243">
        <v>5101</v>
      </c>
      <c r="B243">
        <v>5101</v>
      </c>
      <c r="C243" s="78" t="s">
        <v>1202</v>
      </c>
      <c r="D243" s="78" t="s">
        <v>1200</v>
      </c>
      <c r="E243" s="78" t="s">
        <v>1200</v>
      </c>
      <c r="F243" s="78" t="s">
        <v>661</v>
      </c>
      <c r="G243">
        <v>0.17</v>
      </c>
      <c r="H243" s="78" t="s">
        <v>662</v>
      </c>
      <c r="I243" s="78" t="s">
        <v>1203</v>
      </c>
      <c r="J243">
        <v>0</v>
      </c>
      <c r="K243">
        <v>0</v>
      </c>
      <c r="L243">
        <v>12</v>
      </c>
      <c r="M243">
        <v>5101</v>
      </c>
      <c r="N243" s="78" t="s">
        <v>158</v>
      </c>
      <c r="O243">
        <v>1</v>
      </c>
      <c r="P243" s="82">
        <v>0.5</v>
      </c>
    </row>
    <row r="244" spans="1:16" x14ac:dyDescent="0.25">
      <c r="A244">
        <v>5110</v>
      </c>
      <c r="B244">
        <v>5110</v>
      </c>
      <c r="C244" s="78" t="s">
        <v>1204</v>
      </c>
      <c r="D244" s="78" t="s">
        <v>1200</v>
      </c>
      <c r="E244" s="78" t="s">
        <v>1200</v>
      </c>
      <c r="F244" s="78" t="s">
        <v>661</v>
      </c>
      <c r="G244">
        <v>0.67410000000000003</v>
      </c>
      <c r="H244" s="78" t="s">
        <v>662</v>
      </c>
      <c r="I244" s="78" t="s">
        <v>1205</v>
      </c>
      <c r="J244">
        <v>0</v>
      </c>
      <c r="K244">
        <v>0</v>
      </c>
      <c r="L244">
        <v>12</v>
      </c>
      <c r="M244">
        <v>5110</v>
      </c>
      <c r="N244" s="78" t="s">
        <v>161</v>
      </c>
      <c r="O244">
        <v>1</v>
      </c>
      <c r="P244" s="82">
        <v>2.65</v>
      </c>
    </row>
    <row r="245" spans="1:16" x14ac:dyDescent="0.25">
      <c r="A245">
        <v>5120</v>
      </c>
      <c r="B245">
        <v>5120</v>
      </c>
      <c r="C245" s="78" t="s">
        <v>1206</v>
      </c>
      <c r="D245" s="78" t="s">
        <v>1200</v>
      </c>
      <c r="E245" s="78" t="s">
        <v>1200</v>
      </c>
      <c r="F245" s="78" t="s">
        <v>661</v>
      </c>
      <c r="G245">
        <v>0.73</v>
      </c>
      <c r="H245" s="78" t="s">
        <v>662</v>
      </c>
      <c r="I245" s="78" t="s">
        <v>1207</v>
      </c>
      <c r="J245">
        <v>0</v>
      </c>
      <c r="K245">
        <v>0</v>
      </c>
      <c r="L245">
        <v>12</v>
      </c>
      <c r="M245">
        <v>5120</v>
      </c>
      <c r="N245" s="78" t="s">
        <v>164</v>
      </c>
      <c r="O245">
        <v>1</v>
      </c>
      <c r="P245" s="82">
        <v>2.8</v>
      </c>
    </row>
    <row r="246" spans="1:16" x14ac:dyDescent="0.25">
      <c r="A246">
        <v>5121</v>
      </c>
      <c r="B246">
        <v>5121</v>
      </c>
      <c r="C246" s="78" t="s">
        <v>1208</v>
      </c>
      <c r="D246" s="78" t="s">
        <v>1200</v>
      </c>
      <c r="E246" s="78" t="s">
        <v>1200</v>
      </c>
      <c r="F246" s="78" t="s">
        <v>661</v>
      </c>
      <c r="G246">
        <v>0.75</v>
      </c>
      <c r="H246" s="78" t="s">
        <v>662</v>
      </c>
      <c r="I246" s="78" t="s">
        <v>1209</v>
      </c>
      <c r="J246">
        <v>0</v>
      </c>
      <c r="K246">
        <v>0</v>
      </c>
      <c r="L246">
        <v>24</v>
      </c>
      <c r="M246">
        <v>5121</v>
      </c>
      <c r="N246" s="78" t="s">
        <v>167</v>
      </c>
      <c r="O246">
        <v>1</v>
      </c>
      <c r="P246" s="82">
        <v>2.25</v>
      </c>
    </row>
    <row r="247" spans="1:16" x14ac:dyDescent="0.25">
      <c r="A247">
        <v>5130</v>
      </c>
      <c r="B247">
        <v>5130</v>
      </c>
      <c r="C247" s="78" t="s">
        <v>1210</v>
      </c>
      <c r="D247" s="78" t="s">
        <v>1200</v>
      </c>
      <c r="E247" s="78" t="s">
        <v>1200</v>
      </c>
      <c r="F247" s="78" t="s">
        <v>661</v>
      </c>
      <c r="G247">
        <v>1.1000000000000001</v>
      </c>
      <c r="H247" s="78" t="s">
        <v>662</v>
      </c>
      <c r="I247" s="78" t="s">
        <v>1211</v>
      </c>
      <c r="J247">
        <v>0</v>
      </c>
      <c r="K247">
        <v>0</v>
      </c>
      <c r="L247">
        <v>6</v>
      </c>
      <c r="M247">
        <v>5130</v>
      </c>
      <c r="N247" s="78" t="s">
        <v>170</v>
      </c>
      <c r="O247">
        <v>1</v>
      </c>
      <c r="P247" s="82">
        <v>5</v>
      </c>
    </row>
    <row r="248" spans="1:16" x14ac:dyDescent="0.25">
      <c r="A248">
        <v>5200</v>
      </c>
      <c r="B248">
        <v>5200</v>
      </c>
      <c r="C248" s="78" t="s">
        <v>1212</v>
      </c>
      <c r="D248" s="78" t="s">
        <v>1200</v>
      </c>
      <c r="E248" s="78" t="s">
        <v>1200</v>
      </c>
      <c r="F248" s="78" t="s">
        <v>661</v>
      </c>
      <c r="G248">
        <v>1.97</v>
      </c>
      <c r="H248" s="78" t="s">
        <v>662</v>
      </c>
      <c r="I248" s="78" t="s">
        <v>1213</v>
      </c>
      <c r="J248">
        <v>0</v>
      </c>
      <c r="K248">
        <v>0</v>
      </c>
      <c r="L248">
        <v>24</v>
      </c>
      <c r="M248">
        <v>5200</v>
      </c>
      <c r="N248" s="78" t="s">
        <v>173</v>
      </c>
      <c r="O248">
        <v>1</v>
      </c>
      <c r="P248" s="82">
        <v>6</v>
      </c>
    </row>
    <row r="249" spans="1:16" x14ac:dyDescent="0.25">
      <c r="A249">
        <v>5201</v>
      </c>
      <c r="B249">
        <v>5201</v>
      </c>
      <c r="C249" s="78" t="s">
        <v>1214</v>
      </c>
      <c r="D249" s="78" t="s">
        <v>1200</v>
      </c>
      <c r="E249" s="78" t="s">
        <v>1200</v>
      </c>
      <c r="F249" s="78" t="s">
        <v>661</v>
      </c>
      <c r="G249">
        <v>1.5</v>
      </c>
      <c r="H249" s="78" t="s">
        <v>662</v>
      </c>
      <c r="I249" s="78" t="s">
        <v>1215</v>
      </c>
      <c r="J249">
        <v>0</v>
      </c>
      <c r="K249">
        <v>0</v>
      </c>
      <c r="L249">
        <v>12</v>
      </c>
      <c r="M249">
        <v>5201</v>
      </c>
      <c r="N249" s="78" t="s">
        <v>175</v>
      </c>
      <c r="O249">
        <v>1</v>
      </c>
      <c r="P249" s="82">
        <v>4.55</v>
      </c>
    </row>
    <row r="250" spans="1:16" x14ac:dyDescent="0.25">
      <c r="A250">
        <v>5202</v>
      </c>
      <c r="B250">
        <v>5202</v>
      </c>
      <c r="C250" s="78" t="s">
        <v>1216</v>
      </c>
      <c r="D250" s="78" t="s">
        <v>1200</v>
      </c>
      <c r="E250" s="78" t="s">
        <v>1200</v>
      </c>
      <c r="F250" s="78" t="s">
        <v>661</v>
      </c>
      <c r="G250">
        <v>0.7</v>
      </c>
      <c r="H250" s="78" t="s">
        <v>662</v>
      </c>
      <c r="I250" s="78" t="s">
        <v>1217</v>
      </c>
      <c r="J250">
        <v>0</v>
      </c>
      <c r="K250">
        <v>0</v>
      </c>
      <c r="L250">
        <v>36</v>
      </c>
      <c r="M250">
        <v>5202</v>
      </c>
      <c r="N250" s="78" t="s">
        <v>178</v>
      </c>
      <c r="O250">
        <v>1</v>
      </c>
      <c r="P250" s="82">
        <v>2.5</v>
      </c>
    </row>
    <row r="251" spans="1:16" x14ac:dyDescent="0.25">
      <c r="A251">
        <v>5210</v>
      </c>
      <c r="B251">
        <v>5210</v>
      </c>
      <c r="C251" s="78" t="s">
        <v>1218</v>
      </c>
      <c r="D251" s="78" t="s">
        <v>1200</v>
      </c>
      <c r="E251" s="78" t="s">
        <v>1200</v>
      </c>
      <c r="F251" s="78" t="s">
        <v>661</v>
      </c>
      <c r="G251">
        <v>6.3333000000000004</v>
      </c>
      <c r="H251" s="78" t="s">
        <v>662</v>
      </c>
      <c r="I251" s="78" t="s">
        <v>1219</v>
      </c>
      <c r="J251">
        <v>0</v>
      </c>
      <c r="K251">
        <v>0</v>
      </c>
      <c r="L251">
        <v>6</v>
      </c>
      <c r="M251">
        <v>5210</v>
      </c>
      <c r="N251" s="78" t="s">
        <v>181</v>
      </c>
      <c r="O251">
        <v>1</v>
      </c>
      <c r="P251" s="82">
        <v>19</v>
      </c>
    </row>
    <row r="252" spans="1:16" x14ac:dyDescent="0.25">
      <c r="A252">
        <v>5211</v>
      </c>
      <c r="B252">
        <v>5211</v>
      </c>
      <c r="C252" s="78" t="s">
        <v>1220</v>
      </c>
      <c r="D252" s="78" t="s">
        <v>1200</v>
      </c>
      <c r="E252" s="78" t="s">
        <v>1200</v>
      </c>
      <c r="F252" s="78" t="s">
        <v>661</v>
      </c>
      <c r="G252">
        <v>0.84</v>
      </c>
      <c r="H252" s="78" t="s">
        <v>662</v>
      </c>
      <c r="I252" s="78" t="s">
        <v>1221</v>
      </c>
      <c r="J252">
        <v>0</v>
      </c>
      <c r="K252">
        <v>0</v>
      </c>
      <c r="L252">
        <v>24</v>
      </c>
      <c r="M252">
        <v>5211</v>
      </c>
      <c r="N252" s="78" t="s">
        <v>184</v>
      </c>
      <c r="O252">
        <v>1</v>
      </c>
      <c r="P252" s="82">
        <v>2.5</v>
      </c>
    </row>
    <row r="253" spans="1:16" x14ac:dyDescent="0.25">
      <c r="A253">
        <v>5212</v>
      </c>
      <c r="B253">
        <v>5212</v>
      </c>
      <c r="C253" s="78" t="s">
        <v>1222</v>
      </c>
      <c r="D253" s="78" t="s">
        <v>1200</v>
      </c>
      <c r="E253" s="78" t="s">
        <v>1200</v>
      </c>
      <c r="F253" s="78" t="s">
        <v>661</v>
      </c>
      <c r="G253">
        <v>4.5999999999999996</v>
      </c>
      <c r="H253" s="78" t="s">
        <v>662</v>
      </c>
      <c r="I253" s="78" t="s">
        <v>1223</v>
      </c>
      <c r="J253">
        <v>0</v>
      </c>
      <c r="K253">
        <v>0</v>
      </c>
      <c r="L253">
        <v>12</v>
      </c>
      <c r="M253">
        <v>5212</v>
      </c>
      <c r="N253" s="78" t="s">
        <v>1224</v>
      </c>
      <c r="O253">
        <v>1</v>
      </c>
      <c r="P253" s="82">
        <v>12</v>
      </c>
    </row>
    <row r="254" spans="1:16" x14ac:dyDescent="0.25">
      <c r="A254">
        <v>5300</v>
      </c>
      <c r="B254">
        <v>5300</v>
      </c>
      <c r="C254" s="78" t="s">
        <v>1225</v>
      </c>
      <c r="D254" s="78" t="s">
        <v>1200</v>
      </c>
      <c r="E254" s="78" t="s">
        <v>1200</v>
      </c>
      <c r="F254" s="78" t="s">
        <v>661</v>
      </c>
      <c r="G254">
        <v>11.47</v>
      </c>
      <c r="H254" s="78" t="s">
        <v>1226</v>
      </c>
      <c r="I254" s="78" t="s">
        <v>1227</v>
      </c>
      <c r="J254">
        <v>0</v>
      </c>
      <c r="K254">
        <v>0</v>
      </c>
      <c r="L254">
        <v>1</v>
      </c>
      <c r="M254">
        <v>5300</v>
      </c>
      <c r="N254" s="78" t="s">
        <v>1228</v>
      </c>
      <c r="O254">
        <v>1</v>
      </c>
      <c r="P254" s="82">
        <v>38</v>
      </c>
    </row>
    <row r="255" spans="1:16" x14ac:dyDescent="0.25">
      <c r="A255">
        <v>5400</v>
      </c>
      <c r="B255">
        <v>5400</v>
      </c>
      <c r="C255" s="78" t="s">
        <v>1229</v>
      </c>
      <c r="D255" s="78" t="s">
        <v>1230</v>
      </c>
      <c r="E255" s="78" t="s">
        <v>1230</v>
      </c>
      <c r="F255" s="78" t="s">
        <v>661</v>
      </c>
      <c r="G255">
        <v>0.68</v>
      </c>
      <c r="H255" s="78" t="s">
        <v>662</v>
      </c>
      <c r="I255" s="78" t="s">
        <v>1231</v>
      </c>
      <c r="J255">
        <v>0</v>
      </c>
      <c r="K255">
        <v>0</v>
      </c>
      <c r="L255">
        <v>12</v>
      </c>
      <c r="M255">
        <v>5400</v>
      </c>
      <c r="N255" s="78" t="s">
        <v>168</v>
      </c>
      <c r="O255">
        <v>1</v>
      </c>
      <c r="P255" s="82">
        <v>2.1</v>
      </c>
    </row>
    <row r="256" spans="1:16" x14ac:dyDescent="0.25">
      <c r="A256">
        <v>5410</v>
      </c>
      <c r="B256">
        <v>5410</v>
      </c>
      <c r="C256" s="78" t="s">
        <v>1232</v>
      </c>
      <c r="D256" s="78" t="s">
        <v>1230</v>
      </c>
      <c r="E256" s="78" t="s">
        <v>1230</v>
      </c>
      <c r="F256" s="78" t="s">
        <v>661</v>
      </c>
      <c r="G256">
        <v>0.63</v>
      </c>
      <c r="H256" s="78" t="s">
        <v>662</v>
      </c>
      <c r="I256" s="78" t="s">
        <v>1233</v>
      </c>
      <c r="J256">
        <v>0</v>
      </c>
      <c r="K256">
        <v>0</v>
      </c>
      <c r="L256">
        <v>60</v>
      </c>
      <c r="M256">
        <v>5410</v>
      </c>
      <c r="N256" s="78" t="s">
        <v>171</v>
      </c>
      <c r="O256">
        <v>1</v>
      </c>
      <c r="P256" s="82">
        <v>1.9</v>
      </c>
    </row>
    <row r="257" spans="1:16" x14ac:dyDescent="0.25">
      <c r="A257">
        <v>5420</v>
      </c>
      <c r="B257">
        <v>5420</v>
      </c>
      <c r="C257" s="78" t="s">
        <v>1234</v>
      </c>
      <c r="D257" s="78" t="s">
        <v>1230</v>
      </c>
      <c r="E257" s="78" t="s">
        <v>1230</v>
      </c>
      <c r="F257" s="78" t="s">
        <v>661</v>
      </c>
      <c r="G257">
        <v>0.99</v>
      </c>
      <c r="H257" s="78" t="s">
        <v>662</v>
      </c>
      <c r="I257" s="78" t="s">
        <v>1235</v>
      </c>
      <c r="J257">
        <v>0</v>
      </c>
      <c r="K257">
        <v>0</v>
      </c>
      <c r="L257">
        <v>12</v>
      </c>
      <c r="M257">
        <v>5420</v>
      </c>
      <c r="N257" s="78" t="s">
        <v>174</v>
      </c>
      <c r="O257">
        <v>1</v>
      </c>
      <c r="P257" s="82">
        <v>3.05</v>
      </c>
    </row>
    <row r="258" spans="1:16" x14ac:dyDescent="0.25">
      <c r="A258">
        <v>5421</v>
      </c>
      <c r="B258">
        <v>5421</v>
      </c>
      <c r="C258" s="78" t="s">
        <v>1236</v>
      </c>
      <c r="D258" s="78" t="s">
        <v>895</v>
      </c>
      <c r="E258" s="78" t="s">
        <v>895</v>
      </c>
      <c r="F258" s="78" t="s">
        <v>661</v>
      </c>
      <c r="G258">
        <v>1</v>
      </c>
      <c r="H258" s="78" t="s">
        <v>662</v>
      </c>
      <c r="I258" s="78" t="s">
        <v>1237</v>
      </c>
      <c r="J258">
        <v>0</v>
      </c>
      <c r="K258">
        <v>0</v>
      </c>
      <c r="L258">
        <v>12</v>
      </c>
      <c r="M258">
        <v>5421</v>
      </c>
      <c r="N258" s="78" t="s">
        <v>176</v>
      </c>
      <c r="O258">
        <v>1</v>
      </c>
      <c r="P258" s="82">
        <v>3.05</v>
      </c>
    </row>
    <row r="259" spans="1:16" x14ac:dyDescent="0.25">
      <c r="A259">
        <v>5422</v>
      </c>
      <c r="B259">
        <v>5422</v>
      </c>
      <c r="C259" s="78" t="s">
        <v>1238</v>
      </c>
      <c r="D259" s="78" t="s">
        <v>895</v>
      </c>
      <c r="E259" s="78" t="s">
        <v>895</v>
      </c>
      <c r="F259" s="78" t="s">
        <v>661</v>
      </c>
      <c r="G259">
        <v>1</v>
      </c>
      <c r="H259" s="78" t="s">
        <v>662</v>
      </c>
      <c r="I259" s="78" t="s">
        <v>1239</v>
      </c>
      <c r="J259">
        <v>0</v>
      </c>
      <c r="K259">
        <v>0</v>
      </c>
      <c r="L259">
        <v>12</v>
      </c>
      <c r="M259">
        <v>5422</v>
      </c>
      <c r="N259" s="78" t="s">
        <v>179</v>
      </c>
      <c r="O259">
        <v>1</v>
      </c>
      <c r="P259" s="82">
        <v>3.05</v>
      </c>
    </row>
    <row r="260" spans="1:16" x14ac:dyDescent="0.25">
      <c r="A260">
        <v>5423</v>
      </c>
      <c r="B260">
        <v>5423</v>
      </c>
      <c r="C260" s="78" t="s">
        <v>1795</v>
      </c>
      <c r="D260" s="78" t="s">
        <v>1230</v>
      </c>
      <c r="E260" s="78" t="s">
        <v>1230</v>
      </c>
      <c r="F260" s="78" t="s">
        <v>661</v>
      </c>
      <c r="G260">
        <v>2.4500000000000002</v>
      </c>
      <c r="H260" s="78" t="s">
        <v>662</v>
      </c>
      <c r="I260" s="78" t="s">
        <v>1240</v>
      </c>
      <c r="J260">
        <v>0</v>
      </c>
      <c r="K260">
        <v>0</v>
      </c>
      <c r="L260">
        <v>12</v>
      </c>
      <c r="M260">
        <v>5423</v>
      </c>
      <c r="N260" s="78" t="s">
        <v>1241</v>
      </c>
      <c r="O260">
        <v>1</v>
      </c>
      <c r="P260" s="82">
        <v>8</v>
      </c>
    </row>
    <row r="261" spans="1:16" x14ac:dyDescent="0.25">
      <c r="A261">
        <v>5424</v>
      </c>
      <c r="B261">
        <v>5424</v>
      </c>
      <c r="C261" s="78" t="s">
        <v>1796</v>
      </c>
      <c r="D261" s="78" t="s">
        <v>1230</v>
      </c>
      <c r="E261" s="78" t="s">
        <v>1230</v>
      </c>
      <c r="F261" s="78" t="s">
        <v>661</v>
      </c>
      <c r="G261">
        <v>3.08</v>
      </c>
      <c r="H261" s="78" t="s">
        <v>662</v>
      </c>
      <c r="I261" s="78" t="s">
        <v>1809</v>
      </c>
      <c r="J261">
        <v>0</v>
      </c>
      <c r="K261">
        <v>0</v>
      </c>
      <c r="L261">
        <v>6</v>
      </c>
      <c r="M261">
        <v>5424</v>
      </c>
      <c r="N261" s="78" t="s">
        <v>185</v>
      </c>
      <c r="O261">
        <v>1</v>
      </c>
      <c r="P261" s="82">
        <v>11</v>
      </c>
    </row>
    <row r="262" spans="1:16" x14ac:dyDescent="0.25">
      <c r="A262">
        <v>5430</v>
      </c>
      <c r="B262">
        <v>5430</v>
      </c>
      <c r="C262" s="78" t="s">
        <v>1242</v>
      </c>
      <c r="D262" s="78" t="s">
        <v>1230</v>
      </c>
      <c r="E262" s="78" t="s">
        <v>1230</v>
      </c>
      <c r="F262" s="78" t="s">
        <v>661</v>
      </c>
      <c r="G262">
        <v>0.4975</v>
      </c>
      <c r="H262" s="78" t="s">
        <v>662</v>
      </c>
      <c r="I262" s="78" t="s">
        <v>1243</v>
      </c>
      <c r="J262">
        <v>0</v>
      </c>
      <c r="K262">
        <v>0</v>
      </c>
      <c r="L262">
        <v>48</v>
      </c>
      <c r="M262">
        <v>5430</v>
      </c>
      <c r="N262" s="78" t="s">
        <v>188</v>
      </c>
      <c r="O262">
        <v>1</v>
      </c>
      <c r="P262" s="82">
        <v>1.6</v>
      </c>
    </row>
    <row r="263" spans="1:16" x14ac:dyDescent="0.25">
      <c r="A263">
        <v>5440</v>
      </c>
      <c r="B263">
        <v>5440</v>
      </c>
      <c r="C263" s="78" t="s">
        <v>1244</v>
      </c>
      <c r="D263" s="78" t="s">
        <v>1230</v>
      </c>
      <c r="E263" s="78" t="s">
        <v>1230</v>
      </c>
      <c r="F263" s="78" t="s">
        <v>661</v>
      </c>
      <c r="G263">
        <v>0.5081</v>
      </c>
      <c r="H263" s="78" t="s">
        <v>662</v>
      </c>
      <c r="I263" s="78" t="s">
        <v>1245</v>
      </c>
      <c r="J263">
        <v>0</v>
      </c>
      <c r="K263">
        <v>0</v>
      </c>
      <c r="L263">
        <v>32</v>
      </c>
      <c r="M263">
        <v>5440</v>
      </c>
      <c r="N263" s="78" t="s">
        <v>190</v>
      </c>
      <c r="O263">
        <v>1</v>
      </c>
      <c r="P263" s="82">
        <v>1.5</v>
      </c>
    </row>
    <row r="264" spans="1:16" x14ac:dyDescent="0.25">
      <c r="A264">
        <v>5500</v>
      </c>
      <c r="B264">
        <v>5500</v>
      </c>
      <c r="C264" s="78" t="s">
        <v>1246</v>
      </c>
      <c r="D264" s="78" t="s">
        <v>1230</v>
      </c>
      <c r="E264" s="78" t="s">
        <v>1230</v>
      </c>
      <c r="F264" s="78" t="s">
        <v>661</v>
      </c>
      <c r="G264">
        <v>1.35</v>
      </c>
      <c r="H264" s="78" t="s">
        <v>662</v>
      </c>
      <c r="I264" s="78" t="s">
        <v>1247</v>
      </c>
      <c r="J264">
        <v>0</v>
      </c>
      <c r="K264">
        <v>0</v>
      </c>
      <c r="L264">
        <v>24</v>
      </c>
      <c r="M264">
        <v>5500</v>
      </c>
      <c r="N264" s="78" t="s">
        <v>193</v>
      </c>
      <c r="O264">
        <v>1</v>
      </c>
      <c r="P264" s="82">
        <v>4.2</v>
      </c>
    </row>
    <row r="265" spans="1:16" x14ac:dyDescent="0.25">
      <c r="A265">
        <v>5510</v>
      </c>
      <c r="B265">
        <v>5510</v>
      </c>
      <c r="C265" s="78" t="s">
        <v>1797</v>
      </c>
      <c r="D265" s="78" t="s">
        <v>1230</v>
      </c>
      <c r="E265" s="78" t="s">
        <v>1230</v>
      </c>
      <c r="F265" s="78" t="s">
        <v>661</v>
      </c>
      <c r="G265">
        <v>0.94</v>
      </c>
      <c r="H265" s="78" t="s">
        <v>662</v>
      </c>
      <c r="I265" s="78" t="s">
        <v>1248</v>
      </c>
      <c r="J265">
        <v>0</v>
      </c>
      <c r="K265">
        <v>0</v>
      </c>
      <c r="L265">
        <v>12</v>
      </c>
      <c r="M265">
        <v>5510</v>
      </c>
      <c r="N265" s="78" t="s">
        <v>196</v>
      </c>
      <c r="O265">
        <v>1</v>
      </c>
      <c r="P265" s="82">
        <v>2.85</v>
      </c>
    </row>
    <row r="266" spans="1:16" x14ac:dyDescent="0.25">
      <c r="A266">
        <v>5520</v>
      </c>
      <c r="B266">
        <v>5520</v>
      </c>
      <c r="C266" s="78" t="s">
        <v>1249</v>
      </c>
      <c r="D266" s="78" t="s">
        <v>1230</v>
      </c>
      <c r="E266" s="78" t="s">
        <v>1230</v>
      </c>
      <c r="F266" s="78" t="s">
        <v>661</v>
      </c>
      <c r="G266">
        <v>1.0207999999999999</v>
      </c>
      <c r="H266" s="78" t="s">
        <v>662</v>
      </c>
      <c r="I266" s="78" t="s">
        <v>1250</v>
      </c>
      <c r="J266">
        <v>0</v>
      </c>
      <c r="K266">
        <v>0</v>
      </c>
      <c r="L266">
        <v>24</v>
      </c>
      <c r="M266">
        <v>5520</v>
      </c>
      <c r="N266" s="78" t="s">
        <v>198</v>
      </c>
      <c r="O266">
        <v>1</v>
      </c>
      <c r="P266" s="82">
        <v>3.95</v>
      </c>
    </row>
    <row r="267" spans="1:16" x14ac:dyDescent="0.25">
      <c r="A267">
        <v>5530</v>
      </c>
      <c r="B267">
        <v>5530</v>
      </c>
      <c r="C267" s="78" t="s">
        <v>1251</v>
      </c>
      <c r="D267" s="78" t="s">
        <v>1230</v>
      </c>
      <c r="E267" s="78" t="s">
        <v>1230</v>
      </c>
      <c r="F267" s="78" t="s">
        <v>661</v>
      </c>
      <c r="G267">
        <v>0.88</v>
      </c>
      <c r="H267" s="78" t="s">
        <v>662</v>
      </c>
      <c r="I267" s="78" t="s">
        <v>1252</v>
      </c>
      <c r="J267">
        <v>0</v>
      </c>
      <c r="K267">
        <v>0</v>
      </c>
      <c r="L267">
        <v>24</v>
      </c>
      <c r="M267">
        <v>5530</v>
      </c>
      <c r="N267" s="78" t="s">
        <v>201</v>
      </c>
      <c r="O267">
        <v>1</v>
      </c>
      <c r="P267" s="82">
        <v>3.05</v>
      </c>
    </row>
    <row r="268" spans="1:16" x14ac:dyDescent="0.25">
      <c r="A268">
        <v>5540</v>
      </c>
      <c r="B268">
        <v>5540</v>
      </c>
      <c r="C268" s="78" t="s">
        <v>1253</v>
      </c>
      <c r="D268" s="78" t="s">
        <v>1230</v>
      </c>
      <c r="E268" s="78" t="s">
        <v>1230</v>
      </c>
      <c r="F268" s="78" t="s">
        <v>661</v>
      </c>
      <c r="G268">
        <v>0.76</v>
      </c>
      <c r="H268" s="78" t="s">
        <v>662</v>
      </c>
      <c r="I268" s="78" t="s">
        <v>1254</v>
      </c>
      <c r="J268">
        <v>0</v>
      </c>
      <c r="K268">
        <v>0</v>
      </c>
      <c r="L268">
        <v>24</v>
      </c>
      <c r="M268">
        <v>5540</v>
      </c>
      <c r="N268" s="78" t="s">
        <v>204</v>
      </c>
      <c r="O268">
        <v>1</v>
      </c>
      <c r="P268" s="82">
        <v>2.2999999999999998</v>
      </c>
    </row>
    <row r="269" spans="1:16" x14ac:dyDescent="0.25">
      <c r="A269">
        <v>5541</v>
      </c>
      <c r="B269">
        <v>5541</v>
      </c>
      <c r="C269" s="78" t="s">
        <v>1255</v>
      </c>
      <c r="D269" s="78" t="s">
        <v>1148</v>
      </c>
      <c r="E269" s="78" t="s">
        <v>1148</v>
      </c>
      <c r="F269" s="78" t="s">
        <v>661</v>
      </c>
      <c r="G269">
        <v>2.25</v>
      </c>
      <c r="H269" s="78" t="s">
        <v>662</v>
      </c>
      <c r="I269" s="78" t="s">
        <v>1256</v>
      </c>
      <c r="J269">
        <v>0</v>
      </c>
      <c r="K269">
        <v>0</v>
      </c>
      <c r="L269">
        <v>24</v>
      </c>
      <c r="M269">
        <v>5541</v>
      </c>
      <c r="N269" s="78" t="s">
        <v>1257</v>
      </c>
      <c r="O269">
        <v>1</v>
      </c>
      <c r="P269" s="82">
        <v>3.5</v>
      </c>
    </row>
    <row r="270" spans="1:16" x14ac:dyDescent="0.25">
      <c r="A270">
        <v>5542</v>
      </c>
      <c r="B270">
        <v>5542</v>
      </c>
      <c r="C270" s="78" t="s">
        <v>1830</v>
      </c>
      <c r="D270" s="78" t="s">
        <v>1230</v>
      </c>
      <c r="E270" s="78" t="s">
        <v>1230</v>
      </c>
      <c r="F270" s="78" t="s">
        <v>661</v>
      </c>
      <c r="G270">
        <v>3.75</v>
      </c>
      <c r="H270" s="78" t="s">
        <v>805</v>
      </c>
      <c r="I270" s="78" t="s">
        <v>1831</v>
      </c>
      <c r="J270">
        <v>0</v>
      </c>
      <c r="K270">
        <v>0</v>
      </c>
      <c r="L270">
        <v>1</v>
      </c>
      <c r="M270">
        <v>5542</v>
      </c>
      <c r="N270" s="78" t="s">
        <v>1830</v>
      </c>
      <c r="O270">
        <v>1</v>
      </c>
      <c r="P270" s="82">
        <v>7.5</v>
      </c>
    </row>
    <row r="271" spans="1:16" x14ac:dyDescent="0.25">
      <c r="A271">
        <v>5600</v>
      </c>
      <c r="B271">
        <v>5600</v>
      </c>
      <c r="C271" s="78" t="s">
        <v>1258</v>
      </c>
      <c r="D271" s="78" t="s">
        <v>1259</v>
      </c>
      <c r="E271" s="78" t="s">
        <v>1259</v>
      </c>
      <c r="F271" s="78" t="s">
        <v>661</v>
      </c>
      <c r="G271">
        <v>0.65</v>
      </c>
      <c r="H271" s="78" t="s">
        <v>662</v>
      </c>
      <c r="I271" s="78" t="s">
        <v>1260</v>
      </c>
      <c r="J271">
        <v>0</v>
      </c>
      <c r="K271">
        <v>0</v>
      </c>
      <c r="L271">
        <v>30</v>
      </c>
      <c r="M271">
        <v>5600</v>
      </c>
      <c r="N271" s="78" t="s">
        <v>127</v>
      </c>
      <c r="O271">
        <v>1</v>
      </c>
      <c r="P271" s="82">
        <v>3.65</v>
      </c>
    </row>
    <row r="272" spans="1:16" x14ac:dyDescent="0.25">
      <c r="A272">
        <v>5610</v>
      </c>
      <c r="B272">
        <v>5610</v>
      </c>
      <c r="C272" s="78" t="s">
        <v>1261</v>
      </c>
      <c r="D272" s="78" t="s">
        <v>1259</v>
      </c>
      <c r="E272" s="78" t="s">
        <v>1259</v>
      </c>
      <c r="F272" s="78" t="s">
        <v>661</v>
      </c>
      <c r="G272">
        <v>1.75</v>
      </c>
      <c r="H272" s="78" t="s">
        <v>662</v>
      </c>
      <c r="I272" s="78" t="s">
        <v>1262</v>
      </c>
      <c r="J272">
        <v>0</v>
      </c>
      <c r="K272">
        <v>0</v>
      </c>
      <c r="L272">
        <v>24</v>
      </c>
      <c r="M272">
        <v>5610</v>
      </c>
      <c r="N272" s="78" t="s">
        <v>130</v>
      </c>
      <c r="O272">
        <v>1</v>
      </c>
      <c r="P272" s="82">
        <v>5.5</v>
      </c>
    </row>
    <row r="273" spans="1:16" x14ac:dyDescent="0.25">
      <c r="A273">
        <v>5620</v>
      </c>
      <c r="B273">
        <v>5620</v>
      </c>
      <c r="C273" s="78" t="s">
        <v>1263</v>
      </c>
      <c r="D273" s="78" t="s">
        <v>1259</v>
      </c>
      <c r="E273" s="78" t="s">
        <v>1259</v>
      </c>
      <c r="F273" s="78" t="s">
        <v>661</v>
      </c>
      <c r="G273">
        <v>24.96</v>
      </c>
      <c r="H273" s="78" t="s">
        <v>662</v>
      </c>
      <c r="I273" s="78" t="s">
        <v>1264</v>
      </c>
      <c r="J273">
        <v>0</v>
      </c>
      <c r="K273">
        <v>0</v>
      </c>
      <c r="L273">
        <v>1</v>
      </c>
      <c r="M273">
        <v>5620</v>
      </c>
      <c r="N273" s="78" t="s">
        <v>1265</v>
      </c>
      <c r="O273">
        <v>1</v>
      </c>
      <c r="P273" s="82">
        <v>3.2</v>
      </c>
    </row>
    <row r="274" spans="1:16" x14ac:dyDescent="0.25">
      <c r="A274">
        <v>5630</v>
      </c>
      <c r="B274">
        <v>5630</v>
      </c>
      <c r="C274" s="78" t="s">
        <v>1266</v>
      </c>
      <c r="D274" s="78" t="s">
        <v>1259</v>
      </c>
      <c r="E274" s="78" t="s">
        <v>1259</v>
      </c>
      <c r="F274" s="78" t="s">
        <v>661</v>
      </c>
      <c r="G274">
        <v>1.3</v>
      </c>
      <c r="H274" s="78" t="s">
        <v>662</v>
      </c>
      <c r="I274" s="78" t="s">
        <v>1267</v>
      </c>
      <c r="J274">
        <v>0</v>
      </c>
      <c r="K274">
        <v>0</v>
      </c>
      <c r="L274">
        <v>1</v>
      </c>
      <c r="M274">
        <v>5630</v>
      </c>
      <c r="N274" s="78" t="s">
        <v>136</v>
      </c>
      <c r="O274">
        <v>1</v>
      </c>
      <c r="P274" s="82">
        <v>8.6999999999999993</v>
      </c>
    </row>
    <row r="275" spans="1:16" x14ac:dyDescent="0.25">
      <c r="A275">
        <v>5631</v>
      </c>
      <c r="B275">
        <v>5631</v>
      </c>
      <c r="C275" s="78" t="s">
        <v>1268</v>
      </c>
      <c r="D275" s="78" t="s">
        <v>1259</v>
      </c>
      <c r="E275" s="78" t="s">
        <v>1259</v>
      </c>
      <c r="F275" s="78" t="s">
        <v>661</v>
      </c>
      <c r="G275">
        <v>1.3</v>
      </c>
      <c r="H275" s="78" t="s">
        <v>662</v>
      </c>
      <c r="I275" s="78" t="s">
        <v>1269</v>
      </c>
      <c r="J275">
        <v>0</v>
      </c>
      <c r="K275">
        <v>0</v>
      </c>
      <c r="L275">
        <v>1</v>
      </c>
      <c r="M275">
        <v>5631</v>
      </c>
      <c r="N275" s="78" t="s">
        <v>139</v>
      </c>
      <c r="O275">
        <v>1</v>
      </c>
      <c r="P275" s="82">
        <v>8.6999999999999993</v>
      </c>
    </row>
    <row r="276" spans="1:16" x14ac:dyDescent="0.25">
      <c r="A276">
        <v>5632</v>
      </c>
      <c r="B276">
        <v>5632</v>
      </c>
      <c r="C276" s="78" t="s">
        <v>1270</v>
      </c>
      <c r="D276" s="78" t="s">
        <v>1259</v>
      </c>
      <c r="E276" s="78" t="s">
        <v>1259</v>
      </c>
      <c r="F276" s="78" t="s">
        <v>661</v>
      </c>
      <c r="G276">
        <v>1.3</v>
      </c>
      <c r="H276" s="78" t="s">
        <v>662</v>
      </c>
      <c r="I276" s="78" t="s">
        <v>1271</v>
      </c>
      <c r="J276">
        <v>0</v>
      </c>
      <c r="K276">
        <v>0</v>
      </c>
      <c r="L276">
        <v>1</v>
      </c>
      <c r="M276">
        <v>5632</v>
      </c>
      <c r="N276" s="78" t="s">
        <v>141</v>
      </c>
      <c r="O276">
        <v>1</v>
      </c>
      <c r="P276" s="82">
        <v>8.6999999999999993</v>
      </c>
    </row>
    <row r="277" spans="1:16" x14ac:dyDescent="0.25">
      <c r="A277">
        <v>5633</v>
      </c>
      <c r="B277">
        <v>5633</v>
      </c>
      <c r="C277" s="78" t="s">
        <v>1272</v>
      </c>
      <c r="D277" s="78" t="s">
        <v>1259</v>
      </c>
      <c r="E277" s="78" t="s">
        <v>1259</v>
      </c>
      <c r="F277" s="78" t="s">
        <v>661</v>
      </c>
      <c r="G277">
        <v>1.3</v>
      </c>
      <c r="H277" s="78" t="s">
        <v>662</v>
      </c>
      <c r="I277" s="78" t="s">
        <v>1273</v>
      </c>
      <c r="J277">
        <v>0</v>
      </c>
      <c r="K277">
        <v>0</v>
      </c>
      <c r="L277">
        <v>1</v>
      </c>
      <c r="M277">
        <v>5633</v>
      </c>
      <c r="N277" s="78" t="s">
        <v>142</v>
      </c>
      <c r="O277">
        <v>1</v>
      </c>
      <c r="P277" s="82">
        <v>8.6999999999999993</v>
      </c>
    </row>
    <row r="278" spans="1:16" x14ac:dyDescent="0.25">
      <c r="A278">
        <v>5634</v>
      </c>
      <c r="B278">
        <v>5634</v>
      </c>
      <c r="C278" s="78" t="s">
        <v>1274</v>
      </c>
      <c r="D278" s="78" t="s">
        <v>1259</v>
      </c>
      <c r="E278" s="78" t="s">
        <v>1259</v>
      </c>
      <c r="F278" s="78" t="s">
        <v>661</v>
      </c>
      <c r="G278">
        <v>1.3</v>
      </c>
      <c r="H278" s="78" t="s">
        <v>662</v>
      </c>
      <c r="I278" s="78" t="s">
        <v>1275</v>
      </c>
      <c r="J278">
        <v>0</v>
      </c>
      <c r="K278">
        <v>0</v>
      </c>
      <c r="L278">
        <v>1</v>
      </c>
      <c r="M278">
        <v>5634</v>
      </c>
      <c r="N278" s="78" t="s">
        <v>143</v>
      </c>
      <c r="O278">
        <v>1</v>
      </c>
      <c r="P278" s="82">
        <v>8.6999999999999993</v>
      </c>
    </row>
    <row r="279" spans="1:16" x14ac:dyDescent="0.25">
      <c r="A279">
        <v>5635</v>
      </c>
      <c r="B279">
        <v>5635</v>
      </c>
      <c r="C279" s="78" t="s">
        <v>1276</v>
      </c>
      <c r="D279" s="78" t="s">
        <v>1259</v>
      </c>
      <c r="E279" s="78" t="s">
        <v>1259</v>
      </c>
      <c r="F279" s="78" t="s">
        <v>661</v>
      </c>
      <c r="G279">
        <v>1.3</v>
      </c>
      <c r="H279" s="78" t="s">
        <v>662</v>
      </c>
      <c r="I279" s="78" t="s">
        <v>1277</v>
      </c>
      <c r="J279">
        <v>0</v>
      </c>
      <c r="K279">
        <v>0</v>
      </c>
      <c r="L279">
        <v>1</v>
      </c>
      <c r="M279">
        <v>5635</v>
      </c>
      <c r="N279" s="78" t="s">
        <v>144</v>
      </c>
      <c r="O279">
        <v>1</v>
      </c>
      <c r="P279" s="82">
        <v>8.6999999999999993</v>
      </c>
    </row>
    <row r="280" spans="1:16" x14ac:dyDescent="0.25">
      <c r="A280">
        <v>5636</v>
      </c>
      <c r="B280">
        <v>5636</v>
      </c>
      <c r="C280" s="78" t="s">
        <v>1278</v>
      </c>
      <c r="D280" s="78" t="s">
        <v>1259</v>
      </c>
      <c r="E280" s="78" t="s">
        <v>1259</v>
      </c>
      <c r="F280" s="78" t="s">
        <v>661</v>
      </c>
      <c r="G280">
        <v>1.3</v>
      </c>
      <c r="H280" s="78" t="s">
        <v>662</v>
      </c>
      <c r="I280" s="78" t="s">
        <v>1279</v>
      </c>
      <c r="J280">
        <v>0</v>
      </c>
      <c r="K280">
        <v>0</v>
      </c>
      <c r="L280">
        <v>1</v>
      </c>
      <c r="M280">
        <v>5636</v>
      </c>
      <c r="N280" s="78" t="s">
        <v>145</v>
      </c>
      <c r="O280">
        <v>1</v>
      </c>
      <c r="P280" s="82">
        <v>8.6999999999999993</v>
      </c>
    </row>
    <row r="281" spans="1:16" x14ac:dyDescent="0.25">
      <c r="A281">
        <v>5637</v>
      </c>
      <c r="B281">
        <v>5637</v>
      </c>
      <c r="C281" s="78" t="s">
        <v>1280</v>
      </c>
      <c r="D281" s="78" t="s">
        <v>1259</v>
      </c>
      <c r="E281" s="78" t="s">
        <v>1259</v>
      </c>
      <c r="F281" s="78" t="s">
        <v>661</v>
      </c>
      <c r="G281">
        <v>1.3</v>
      </c>
      <c r="H281" s="78" t="s">
        <v>662</v>
      </c>
      <c r="I281" s="78" t="s">
        <v>1281</v>
      </c>
      <c r="J281">
        <v>0</v>
      </c>
      <c r="K281">
        <v>0</v>
      </c>
      <c r="L281">
        <v>1</v>
      </c>
      <c r="M281">
        <v>5637</v>
      </c>
      <c r="N281" s="78" t="s">
        <v>146</v>
      </c>
      <c r="O281">
        <v>1</v>
      </c>
      <c r="P281" s="82">
        <v>8.6999999999999993</v>
      </c>
    </row>
    <row r="282" spans="1:16" x14ac:dyDescent="0.25">
      <c r="A282">
        <v>5638</v>
      </c>
      <c r="B282">
        <v>5638</v>
      </c>
      <c r="C282" s="78" t="s">
        <v>1282</v>
      </c>
      <c r="D282" s="78" t="s">
        <v>1259</v>
      </c>
      <c r="E282" s="78" t="s">
        <v>1259</v>
      </c>
      <c r="F282" s="78" t="s">
        <v>661</v>
      </c>
      <c r="G282">
        <v>1.3</v>
      </c>
      <c r="H282" s="78" t="s">
        <v>662</v>
      </c>
      <c r="I282" s="78" t="s">
        <v>1283</v>
      </c>
      <c r="J282">
        <v>0</v>
      </c>
      <c r="K282">
        <v>0</v>
      </c>
      <c r="L282">
        <v>1</v>
      </c>
      <c r="M282">
        <v>5638</v>
      </c>
      <c r="N282" s="78" t="s">
        <v>147</v>
      </c>
      <c r="O282">
        <v>1</v>
      </c>
      <c r="P282" s="82">
        <v>8.6999999999999993</v>
      </c>
    </row>
    <row r="283" spans="1:16" x14ac:dyDescent="0.25">
      <c r="A283">
        <v>5639</v>
      </c>
      <c r="B283">
        <v>5639</v>
      </c>
      <c r="C283" s="78" t="s">
        <v>1284</v>
      </c>
      <c r="D283" s="78" t="s">
        <v>1259</v>
      </c>
      <c r="E283" s="78" t="s">
        <v>1259</v>
      </c>
      <c r="F283" s="78" t="s">
        <v>661</v>
      </c>
      <c r="G283">
        <v>1.3</v>
      </c>
      <c r="H283" s="78" t="s">
        <v>662</v>
      </c>
      <c r="I283" s="78" t="s">
        <v>1285</v>
      </c>
      <c r="J283">
        <v>0</v>
      </c>
      <c r="K283">
        <v>0</v>
      </c>
      <c r="L283">
        <v>1</v>
      </c>
      <c r="M283">
        <v>5639</v>
      </c>
      <c r="N283" s="78" t="s">
        <v>148</v>
      </c>
      <c r="O283">
        <v>1</v>
      </c>
      <c r="P283" s="82">
        <v>8.6999999999999993</v>
      </c>
    </row>
    <row r="284" spans="1:16" x14ac:dyDescent="0.25">
      <c r="A284">
        <v>5640</v>
      </c>
      <c r="B284">
        <v>5640</v>
      </c>
      <c r="C284" s="78" t="s">
        <v>1286</v>
      </c>
      <c r="D284" s="78" t="s">
        <v>1259</v>
      </c>
      <c r="E284" s="78" t="s">
        <v>1259</v>
      </c>
      <c r="F284" s="78" t="s">
        <v>661</v>
      </c>
      <c r="G284">
        <v>1.3</v>
      </c>
      <c r="H284" s="78" t="s">
        <v>662</v>
      </c>
      <c r="I284" s="78" t="s">
        <v>1287</v>
      </c>
      <c r="J284">
        <v>0</v>
      </c>
      <c r="K284">
        <v>0</v>
      </c>
      <c r="L284">
        <v>1</v>
      </c>
      <c r="M284">
        <v>5640</v>
      </c>
      <c r="N284" s="78" t="s">
        <v>149</v>
      </c>
      <c r="O284">
        <v>1</v>
      </c>
      <c r="P284" s="82">
        <v>8.6999999999999993</v>
      </c>
    </row>
    <row r="285" spans="1:16" x14ac:dyDescent="0.25">
      <c r="A285">
        <v>5700</v>
      </c>
      <c r="B285">
        <v>5700</v>
      </c>
      <c r="C285" s="78" t="s">
        <v>1288</v>
      </c>
      <c r="D285" s="78" t="s">
        <v>1148</v>
      </c>
      <c r="E285" s="78" t="s">
        <v>1148</v>
      </c>
      <c r="F285" s="78" t="s">
        <v>661</v>
      </c>
      <c r="G285">
        <v>0.09</v>
      </c>
      <c r="H285" s="78" t="s">
        <v>662</v>
      </c>
      <c r="I285" s="78" t="s">
        <v>1289</v>
      </c>
      <c r="J285">
        <v>0</v>
      </c>
      <c r="K285">
        <v>0</v>
      </c>
      <c r="L285">
        <v>250</v>
      </c>
      <c r="M285">
        <v>5700</v>
      </c>
      <c r="N285" s="78" t="s">
        <v>128</v>
      </c>
      <c r="O285">
        <v>1</v>
      </c>
      <c r="P285" s="82">
        <v>1</v>
      </c>
    </row>
    <row r="286" spans="1:16" x14ac:dyDescent="0.25">
      <c r="A286">
        <v>5701</v>
      </c>
      <c r="B286">
        <v>5701</v>
      </c>
      <c r="C286" s="78" t="s">
        <v>1290</v>
      </c>
      <c r="D286" s="78" t="s">
        <v>1148</v>
      </c>
      <c r="E286" s="78" t="s">
        <v>1148</v>
      </c>
      <c r="F286" s="78" t="s">
        <v>661</v>
      </c>
      <c r="G286">
        <v>0.1</v>
      </c>
      <c r="H286" s="78" t="s">
        <v>662</v>
      </c>
      <c r="I286" s="78" t="s">
        <v>1291</v>
      </c>
      <c r="J286">
        <v>0</v>
      </c>
      <c r="K286">
        <v>0</v>
      </c>
      <c r="L286">
        <v>250</v>
      </c>
      <c r="M286">
        <v>5701</v>
      </c>
      <c r="N286" s="78" t="s">
        <v>131</v>
      </c>
      <c r="O286">
        <v>1</v>
      </c>
      <c r="P286" s="82">
        <v>0.7</v>
      </c>
    </row>
    <row r="287" spans="1:16" x14ac:dyDescent="0.25">
      <c r="A287">
        <v>5710</v>
      </c>
      <c r="B287">
        <v>5710</v>
      </c>
      <c r="C287" s="78" t="s">
        <v>1292</v>
      </c>
      <c r="D287" s="78" t="s">
        <v>1148</v>
      </c>
      <c r="E287" s="78" t="s">
        <v>1148</v>
      </c>
      <c r="F287" s="78" t="s">
        <v>661</v>
      </c>
      <c r="G287">
        <v>0.28000000000000003</v>
      </c>
      <c r="H287" s="78" t="s">
        <v>662</v>
      </c>
      <c r="I287" s="78" t="s">
        <v>1293</v>
      </c>
      <c r="J287">
        <v>0</v>
      </c>
      <c r="K287">
        <v>0</v>
      </c>
      <c r="L287">
        <v>50</v>
      </c>
      <c r="M287">
        <v>5710</v>
      </c>
      <c r="N287" s="78" t="s">
        <v>134</v>
      </c>
      <c r="O287">
        <v>1</v>
      </c>
      <c r="P287" s="82">
        <v>0.9</v>
      </c>
    </row>
    <row r="288" spans="1:16" x14ac:dyDescent="0.25">
      <c r="A288">
        <v>5711</v>
      </c>
      <c r="B288">
        <v>5711</v>
      </c>
      <c r="C288" s="78" t="s">
        <v>1294</v>
      </c>
      <c r="D288" s="78" t="s">
        <v>1148</v>
      </c>
      <c r="E288" s="78" t="s">
        <v>1148</v>
      </c>
      <c r="F288" s="78" t="s">
        <v>661</v>
      </c>
      <c r="G288">
        <v>7.3999999999999996E-2</v>
      </c>
      <c r="H288" s="78" t="s">
        <v>662</v>
      </c>
      <c r="I288" s="78" t="s">
        <v>1295</v>
      </c>
      <c r="J288">
        <v>0</v>
      </c>
      <c r="K288">
        <v>0</v>
      </c>
      <c r="L288">
        <v>250</v>
      </c>
      <c r="M288">
        <v>5711</v>
      </c>
      <c r="N288" s="78" t="s">
        <v>137</v>
      </c>
      <c r="O288">
        <v>1</v>
      </c>
      <c r="P288" s="82">
        <v>0.7</v>
      </c>
    </row>
    <row r="289" spans="1:16" x14ac:dyDescent="0.25">
      <c r="A289">
        <v>5712</v>
      </c>
      <c r="B289">
        <v>5712</v>
      </c>
      <c r="C289" s="78" t="s">
        <v>1296</v>
      </c>
      <c r="D289" s="78" t="s">
        <v>1148</v>
      </c>
      <c r="E289" s="78" t="s">
        <v>1148</v>
      </c>
      <c r="F289" s="78" t="s">
        <v>661</v>
      </c>
      <c r="G289">
        <v>0.104</v>
      </c>
      <c r="H289" s="78" t="s">
        <v>662</v>
      </c>
      <c r="I289" s="78" t="s">
        <v>1297</v>
      </c>
      <c r="J289">
        <v>0</v>
      </c>
      <c r="K289">
        <v>0</v>
      </c>
      <c r="L289">
        <v>100</v>
      </c>
      <c r="M289">
        <v>5712</v>
      </c>
      <c r="N289" s="78" t="s">
        <v>140</v>
      </c>
      <c r="O289">
        <v>1</v>
      </c>
      <c r="P289" s="82">
        <v>0.7</v>
      </c>
    </row>
    <row r="290" spans="1:16" x14ac:dyDescent="0.25">
      <c r="A290">
        <v>5720</v>
      </c>
      <c r="B290">
        <v>5720</v>
      </c>
      <c r="C290" s="78" t="s">
        <v>1298</v>
      </c>
      <c r="D290" s="78" t="s">
        <v>1148</v>
      </c>
      <c r="E290" s="78" t="s">
        <v>1148</v>
      </c>
      <c r="F290" s="78" t="s">
        <v>661</v>
      </c>
      <c r="G290">
        <v>0.67079999999999995</v>
      </c>
      <c r="H290" s="78" t="s">
        <v>662</v>
      </c>
      <c r="I290" s="78" t="s">
        <v>1299</v>
      </c>
      <c r="J290">
        <v>0</v>
      </c>
      <c r="K290">
        <v>0</v>
      </c>
      <c r="L290">
        <v>12</v>
      </c>
      <c r="M290">
        <v>5720</v>
      </c>
      <c r="N290" s="78" t="s">
        <v>129</v>
      </c>
      <c r="O290">
        <v>1</v>
      </c>
      <c r="P290" s="82">
        <v>2.0499999999999998</v>
      </c>
    </row>
    <row r="291" spans="1:16" x14ac:dyDescent="0.25">
      <c r="A291">
        <v>5730</v>
      </c>
      <c r="B291">
        <v>5730</v>
      </c>
      <c r="C291" s="78" t="s">
        <v>1300</v>
      </c>
      <c r="D291" s="78" t="s">
        <v>1148</v>
      </c>
      <c r="E291" s="78" t="s">
        <v>1148</v>
      </c>
      <c r="F291" s="78" t="s">
        <v>661</v>
      </c>
      <c r="G291">
        <v>0.74250000000000005</v>
      </c>
      <c r="H291" s="78" t="s">
        <v>662</v>
      </c>
      <c r="I291" s="78" t="s">
        <v>1301</v>
      </c>
      <c r="J291">
        <v>0</v>
      </c>
      <c r="K291">
        <v>0</v>
      </c>
      <c r="L291">
        <v>20</v>
      </c>
      <c r="M291">
        <v>5730</v>
      </c>
      <c r="N291" s="78" t="s">
        <v>132</v>
      </c>
      <c r="O291">
        <v>1</v>
      </c>
      <c r="P291" s="82">
        <v>2.25</v>
      </c>
    </row>
    <row r="292" spans="1:16" x14ac:dyDescent="0.25">
      <c r="A292">
        <v>5731</v>
      </c>
      <c r="B292">
        <v>5731</v>
      </c>
      <c r="C292" s="78" t="s">
        <v>1302</v>
      </c>
      <c r="D292" s="78" t="s">
        <v>1148</v>
      </c>
      <c r="E292" s="78" t="s">
        <v>1148</v>
      </c>
      <c r="F292" s="78" t="s">
        <v>661</v>
      </c>
      <c r="G292">
        <v>0.74250000000000005</v>
      </c>
      <c r="H292" s="78" t="s">
        <v>662</v>
      </c>
      <c r="I292" s="78" t="s">
        <v>1303</v>
      </c>
      <c r="J292">
        <v>0</v>
      </c>
      <c r="K292">
        <v>0</v>
      </c>
      <c r="L292">
        <v>20</v>
      </c>
      <c r="M292">
        <v>5731</v>
      </c>
      <c r="N292" s="78" t="s">
        <v>135</v>
      </c>
      <c r="O292">
        <v>1</v>
      </c>
      <c r="P292" s="82">
        <v>2.25</v>
      </c>
    </row>
    <row r="293" spans="1:16" x14ac:dyDescent="0.25">
      <c r="A293">
        <v>5800</v>
      </c>
      <c r="B293">
        <v>5800</v>
      </c>
      <c r="C293" s="78" t="s">
        <v>1304</v>
      </c>
      <c r="D293" s="78" t="s">
        <v>1148</v>
      </c>
      <c r="E293" s="78" t="s">
        <v>1148</v>
      </c>
      <c r="F293" s="78" t="s">
        <v>661</v>
      </c>
      <c r="G293">
        <v>2.0499999999999998</v>
      </c>
      <c r="H293" s="78" t="s">
        <v>662</v>
      </c>
      <c r="I293" s="78" t="s">
        <v>1305</v>
      </c>
      <c r="J293">
        <v>0</v>
      </c>
      <c r="K293">
        <v>0</v>
      </c>
      <c r="L293">
        <v>12</v>
      </c>
      <c r="M293">
        <v>5800</v>
      </c>
      <c r="N293" s="78" t="s">
        <v>138</v>
      </c>
      <c r="O293">
        <v>1</v>
      </c>
      <c r="P293" s="82">
        <v>6</v>
      </c>
    </row>
    <row r="294" spans="1:16" x14ac:dyDescent="0.25">
      <c r="A294">
        <v>6000</v>
      </c>
      <c r="B294">
        <v>6000</v>
      </c>
      <c r="C294" s="78" t="s">
        <v>1306</v>
      </c>
      <c r="D294" s="78" t="s">
        <v>1307</v>
      </c>
      <c r="E294" s="78" t="s">
        <v>1307</v>
      </c>
      <c r="F294" s="78" t="s">
        <v>661</v>
      </c>
      <c r="G294">
        <v>0.1641</v>
      </c>
      <c r="H294" s="78" t="s">
        <v>1308</v>
      </c>
      <c r="I294" s="78" t="s">
        <v>1309</v>
      </c>
      <c r="J294">
        <v>0</v>
      </c>
      <c r="K294">
        <v>0</v>
      </c>
      <c r="L294">
        <v>24</v>
      </c>
      <c r="M294">
        <v>6000</v>
      </c>
      <c r="N294" s="78" t="s">
        <v>348</v>
      </c>
      <c r="O294">
        <v>1</v>
      </c>
      <c r="P294" s="82">
        <v>1.1000000000000001</v>
      </c>
    </row>
    <row r="295" spans="1:16" x14ac:dyDescent="0.25">
      <c r="A295">
        <v>6100</v>
      </c>
      <c r="B295">
        <v>6100</v>
      </c>
      <c r="C295" s="78" t="s">
        <v>1310</v>
      </c>
      <c r="D295" s="78" t="s">
        <v>1307</v>
      </c>
      <c r="E295" s="78" t="s">
        <v>1307</v>
      </c>
      <c r="F295" s="78" t="s">
        <v>661</v>
      </c>
      <c r="G295">
        <v>1.1208</v>
      </c>
      <c r="H295" s="78" t="s">
        <v>1311</v>
      </c>
      <c r="I295" s="78" t="s">
        <v>1312</v>
      </c>
      <c r="J295">
        <v>0</v>
      </c>
      <c r="K295">
        <v>0</v>
      </c>
      <c r="L295">
        <v>24</v>
      </c>
      <c r="M295">
        <v>6100</v>
      </c>
      <c r="N295" s="78" t="s">
        <v>351</v>
      </c>
      <c r="O295">
        <v>1</v>
      </c>
      <c r="P295" s="82">
        <v>3.25</v>
      </c>
    </row>
    <row r="296" spans="1:16" x14ac:dyDescent="0.25">
      <c r="A296">
        <v>6101</v>
      </c>
      <c r="B296">
        <v>6101</v>
      </c>
      <c r="C296" s="78" t="s">
        <v>1313</v>
      </c>
      <c r="D296" s="78" t="s">
        <v>1307</v>
      </c>
      <c r="E296" s="78" t="s">
        <v>1307</v>
      </c>
      <c r="F296" s="78" t="s">
        <v>661</v>
      </c>
      <c r="G296">
        <v>1.1208</v>
      </c>
      <c r="H296" s="78" t="s">
        <v>1311</v>
      </c>
      <c r="I296" s="78" t="s">
        <v>1314</v>
      </c>
      <c r="J296">
        <v>0</v>
      </c>
      <c r="K296">
        <v>0</v>
      </c>
      <c r="L296">
        <v>24</v>
      </c>
      <c r="M296">
        <v>6101</v>
      </c>
      <c r="N296" s="78" t="s">
        <v>354</v>
      </c>
      <c r="O296">
        <v>1</v>
      </c>
      <c r="P296" s="82">
        <v>3.25</v>
      </c>
    </row>
    <row r="297" spans="1:16" x14ac:dyDescent="0.25">
      <c r="A297">
        <v>6102</v>
      </c>
      <c r="B297">
        <v>6102</v>
      </c>
      <c r="C297" s="78" t="s">
        <v>1315</v>
      </c>
      <c r="D297" s="78" t="s">
        <v>1307</v>
      </c>
      <c r="E297" s="78" t="s">
        <v>1307</v>
      </c>
      <c r="F297" s="78" t="s">
        <v>661</v>
      </c>
      <c r="G297">
        <v>1.1208</v>
      </c>
      <c r="H297" s="78" t="s">
        <v>1311</v>
      </c>
      <c r="I297" s="78" t="s">
        <v>1316</v>
      </c>
      <c r="J297">
        <v>0</v>
      </c>
      <c r="K297">
        <v>0</v>
      </c>
      <c r="L297">
        <v>24</v>
      </c>
      <c r="M297">
        <v>6102</v>
      </c>
      <c r="N297" s="78" t="s">
        <v>357</v>
      </c>
      <c r="O297">
        <v>1</v>
      </c>
      <c r="P297" s="82">
        <v>3.25</v>
      </c>
    </row>
    <row r="298" spans="1:16" x14ac:dyDescent="0.25">
      <c r="A298">
        <v>6103</v>
      </c>
      <c r="B298">
        <v>6103</v>
      </c>
      <c r="C298" s="78" t="s">
        <v>1317</v>
      </c>
      <c r="D298" s="78" t="s">
        <v>1307</v>
      </c>
      <c r="E298" s="78" t="s">
        <v>1307</v>
      </c>
      <c r="F298" s="78" t="s">
        <v>661</v>
      </c>
      <c r="G298">
        <v>1.0853999999999999</v>
      </c>
      <c r="H298" s="78" t="s">
        <v>1311</v>
      </c>
      <c r="I298" s="78" t="s">
        <v>1318</v>
      </c>
      <c r="J298">
        <v>0</v>
      </c>
      <c r="K298">
        <v>0</v>
      </c>
      <c r="L298">
        <v>24</v>
      </c>
      <c r="M298">
        <v>6103</v>
      </c>
      <c r="N298" s="78" t="s">
        <v>360</v>
      </c>
      <c r="O298">
        <v>1</v>
      </c>
      <c r="P298" s="82">
        <v>3.25</v>
      </c>
    </row>
    <row r="299" spans="1:16" x14ac:dyDescent="0.25">
      <c r="A299">
        <v>6104</v>
      </c>
      <c r="B299">
        <v>6104</v>
      </c>
      <c r="C299" s="78" t="s">
        <v>1319</v>
      </c>
      <c r="D299" s="78" t="s">
        <v>1307</v>
      </c>
      <c r="E299" s="78" t="s">
        <v>1307</v>
      </c>
      <c r="F299" s="78" t="s">
        <v>661</v>
      </c>
      <c r="G299">
        <v>0.9325</v>
      </c>
      <c r="H299" s="78" t="s">
        <v>1308</v>
      </c>
      <c r="I299" s="78" t="s">
        <v>1320</v>
      </c>
      <c r="J299">
        <v>0</v>
      </c>
      <c r="K299">
        <v>0</v>
      </c>
      <c r="L299">
        <v>24</v>
      </c>
      <c r="M299">
        <v>6104</v>
      </c>
      <c r="N299" s="78" t="s">
        <v>363</v>
      </c>
      <c r="O299">
        <v>1</v>
      </c>
      <c r="P299" s="82">
        <v>3</v>
      </c>
    </row>
    <row r="300" spans="1:16" x14ac:dyDescent="0.25">
      <c r="A300">
        <v>6106</v>
      </c>
      <c r="B300">
        <v>6106</v>
      </c>
      <c r="C300" s="78" t="s">
        <v>1321</v>
      </c>
      <c r="D300" s="78" t="s">
        <v>1307</v>
      </c>
      <c r="E300" s="78" t="s">
        <v>1307</v>
      </c>
      <c r="F300" s="78" t="s">
        <v>661</v>
      </c>
      <c r="G300">
        <v>0.51659999999999995</v>
      </c>
      <c r="H300" s="78" t="s">
        <v>1308</v>
      </c>
      <c r="I300" s="78" t="s">
        <v>1322</v>
      </c>
      <c r="J300">
        <v>0</v>
      </c>
      <c r="K300">
        <v>0</v>
      </c>
      <c r="L300">
        <v>24</v>
      </c>
      <c r="M300">
        <v>6106</v>
      </c>
      <c r="N300" s="78" t="s">
        <v>366</v>
      </c>
      <c r="O300">
        <v>1</v>
      </c>
      <c r="P300" s="82">
        <v>1.8</v>
      </c>
    </row>
    <row r="301" spans="1:16" x14ac:dyDescent="0.25">
      <c r="A301">
        <v>6107</v>
      </c>
      <c r="B301">
        <v>6107</v>
      </c>
      <c r="C301" s="78" t="s">
        <v>1323</v>
      </c>
      <c r="D301" s="78" t="s">
        <v>1307</v>
      </c>
      <c r="E301" s="78" t="s">
        <v>1307</v>
      </c>
      <c r="F301" s="78" t="s">
        <v>661</v>
      </c>
      <c r="G301">
        <v>0.51659999999999995</v>
      </c>
      <c r="H301" s="78" t="s">
        <v>1308</v>
      </c>
      <c r="I301" s="78" t="s">
        <v>1324</v>
      </c>
      <c r="J301">
        <v>0</v>
      </c>
      <c r="K301">
        <v>0</v>
      </c>
      <c r="L301">
        <v>24</v>
      </c>
      <c r="M301">
        <v>6107</v>
      </c>
      <c r="N301" s="78" t="s">
        <v>369</v>
      </c>
      <c r="O301">
        <v>1</v>
      </c>
      <c r="P301" s="82">
        <v>1.8</v>
      </c>
    </row>
    <row r="302" spans="1:16" x14ac:dyDescent="0.25">
      <c r="A302">
        <v>6108</v>
      </c>
      <c r="B302">
        <v>6108</v>
      </c>
      <c r="C302" s="78" t="s">
        <v>1325</v>
      </c>
      <c r="D302" s="78" t="s">
        <v>1307</v>
      </c>
      <c r="E302" s="78" t="s">
        <v>1307</v>
      </c>
      <c r="F302" s="78" t="s">
        <v>661</v>
      </c>
      <c r="G302">
        <v>0.51659999999999995</v>
      </c>
      <c r="H302" s="78" t="s">
        <v>1308</v>
      </c>
      <c r="I302" s="78" t="s">
        <v>1326</v>
      </c>
      <c r="J302">
        <v>0</v>
      </c>
      <c r="K302">
        <v>0</v>
      </c>
      <c r="L302">
        <v>24</v>
      </c>
      <c r="M302">
        <v>6108</v>
      </c>
      <c r="N302" s="78" t="s">
        <v>372</v>
      </c>
      <c r="O302">
        <v>1</v>
      </c>
      <c r="P302" s="82">
        <v>1.8</v>
      </c>
    </row>
    <row r="303" spans="1:16" x14ac:dyDescent="0.25">
      <c r="A303">
        <v>6109</v>
      </c>
      <c r="B303">
        <v>6109</v>
      </c>
      <c r="C303" s="78" t="s">
        <v>1327</v>
      </c>
      <c r="D303" s="78" t="s">
        <v>1307</v>
      </c>
      <c r="E303" s="78" t="s">
        <v>1307</v>
      </c>
      <c r="F303" s="78" t="s">
        <v>661</v>
      </c>
      <c r="G303">
        <v>0.51659999999999995</v>
      </c>
      <c r="H303" s="78" t="s">
        <v>1308</v>
      </c>
      <c r="I303" s="78" t="s">
        <v>1328</v>
      </c>
      <c r="J303">
        <v>0</v>
      </c>
      <c r="K303">
        <v>0</v>
      </c>
      <c r="L303">
        <v>24</v>
      </c>
      <c r="M303">
        <v>6109</v>
      </c>
      <c r="N303" s="78" t="s">
        <v>374</v>
      </c>
      <c r="O303">
        <v>1</v>
      </c>
      <c r="P303" s="82">
        <v>1.8</v>
      </c>
    </row>
    <row r="304" spans="1:16" x14ac:dyDescent="0.25">
      <c r="A304">
        <v>6110</v>
      </c>
      <c r="B304">
        <v>6110</v>
      </c>
      <c r="C304" s="78" t="s">
        <v>1329</v>
      </c>
      <c r="D304" s="78" t="s">
        <v>1307</v>
      </c>
      <c r="E304" s="78" t="s">
        <v>1307</v>
      </c>
      <c r="F304" s="78" t="s">
        <v>661</v>
      </c>
      <c r="G304">
        <v>0.51659999999999995</v>
      </c>
      <c r="H304" s="78" t="s">
        <v>1308</v>
      </c>
      <c r="I304" s="78" t="s">
        <v>1330</v>
      </c>
      <c r="J304">
        <v>0</v>
      </c>
      <c r="K304">
        <v>0</v>
      </c>
      <c r="L304">
        <v>24</v>
      </c>
      <c r="M304">
        <v>6110</v>
      </c>
      <c r="N304" s="78" t="s">
        <v>377</v>
      </c>
      <c r="O304">
        <v>1</v>
      </c>
      <c r="P304" s="82">
        <v>1.8</v>
      </c>
    </row>
    <row r="305" spans="1:16" x14ac:dyDescent="0.25">
      <c r="A305">
        <v>6200</v>
      </c>
      <c r="B305">
        <v>6200</v>
      </c>
      <c r="C305" s="78" t="s">
        <v>1331</v>
      </c>
      <c r="D305" s="78" t="s">
        <v>1307</v>
      </c>
      <c r="E305" s="78" t="s">
        <v>1307</v>
      </c>
      <c r="F305" s="78" t="s">
        <v>661</v>
      </c>
      <c r="G305">
        <v>0.93330000000000002</v>
      </c>
      <c r="H305" s="78" t="s">
        <v>1308</v>
      </c>
      <c r="I305" s="78" t="s">
        <v>1332</v>
      </c>
      <c r="J305">
        <v>0</v>
      </c>
      <c r="K305">
        <v>0</v>
      </c>
      <c r="L305">
        <v>24</v>
      </c>
      <c r="M305">
        <v>6200</v>
      </c>
      <c r="N305" s="78" t="s">
        <v>380</v>
      </c>
      <c r="O305">
        <v>1</v>
      </c>
      <c r="P305" s="82">
        <v>3</v>
      </c>
    </row>
    <row r="306" spans="1:16" x14ac:dyDescent="0.25">
      <c r="A306">
        <v>6201</v>
      </c>
      <c r="B306">
        <v>6201</v>
      </c>
      <c r="C306" s="78" t="s">
        <v>1333</v>
      </c>
      <c r="D306" s="78" t="s">
        <v>1307</v>
      </c>
      <c r="E306" s="78" t="s">
        <v>1307</v>
      </c>
      <c r="F306" s="78" t="s">
        <v>661</v>
      </c>
      <c r="G306">
        <v>0.93330000000000002</v>
      </c>
      <c r="H306" s="78" t="s">
        <v>1308</v>
      </c>
      <c r="I306" s="78" t="s">
        <v>1334</v>
      </c>
      <c r="J306">
        <v>0</v>
      </c>
      <c r="K306">
        <v>0</v>
      </c>
      <c r="L306">
        <v>24</v>
      </c>
      <c r="M306">
        <v>6201</v>
      </c>
      <c r="N306" s="78" t="s">
        <v>383</v>
      </c>
      <c r="O306">
        <v>1</v>
      </c>
      <c r="P306" s="82">
        <v>3</v>
      </c>
    </row>
    <row r="307" spans="1:16" x14ac:dyDescent="0.25">
      <c r="A307">
        <v>6202</v>
      </c>
      <c r="B307">
        <v>6202</v>
      </c>
      <c r="C307" s="78" t="s">
        <v>1335</v>
      </c>
      <c r="D307" s="78" t="s">
        <v>1307</v>
      </c>
      <c r="E307" s="78" t="s">
        <v>1307</v>
      </c>
      <c r="F307" s="78" t="s">
        <v>661</v>
      </c>
      <c r="G307">
        <v>0.93330000000000002</v>
      </c>
      <c r="H307" s="78" t="s">
        <v>1308</v>
      </c>
      <c r="I307" s="78" t="s">
        <v>1336</v>
      </c>
      <c r="J307">
        <v>0</v>
      </c>
      <c r="K307">
        <v>0</v>
      </c>
      <c r="L307">
        <v>24</v>
      </c>
      <c r="M307">
        <v>6202</v>
      </c>
      <c r="N307" s="78" t="s">
        <v>386</v>
      </c>
      <c r="O307">
        <v>1</v>
      </c>
      <c r="P307" s="82">
        <v>3</v>
      </c>
    </row>
    <row r="308" spans="1:16" x14ac:dyDescent="0.25">
      <c r="A308">
        <v>6203</v>
      </c>
      <c r="B308">
        <v>6203</v>
      </c>
      <c r="C308" s="78" t="s">
        <v>1337</v>
      </c>
      <c r="D308" s="78" t="s">
        <v>1307</v>
      </c>
      <c r="E308" s="78" t="s">
        <v>1307</v>
      </c>
      <c r="F308" s="78" t="s">
        <v>661</v>
      </c>
      <c r="G308">
        <v>0.93330000000000002</v>
      </c>
      <c r="H308" s="78" t="s">
        <v>1308</v>
      </c>
      <c r="I308" s="78" t="s">
        <v>1338</v>
      </c>
      <c r="J308">
        <v>0</v>
      </c>
      <c r="K308">
        <v>0</v>
      </c>
      <c r="L308">
        <v>24</v>
      </c>
      <c r="M308">
        <v>6203</v>
      </c>
      <c r="N308" s="78" t="s">
        <v>389</v>
      </c>
      <c r="O308">
        <v>1</v>
      </c>
      <c r="P308" s="82">
        <v>3</v>
      </c>
    </row>
    <row r="309" spans="1:16" x14ac:dyDescent="0.25">
      <c r="A309">
        <v>6301</v>
      </c>
      <c r="B309">
        <v>6301</v>
      </c>
      <c r="C309" s="78" t="s">
        <v>1339</v>
      </c>
      <c r="D309" s="78" t="s">
        <v>1307</v>
      </c>
      <c r="E309" s="78" t="s">
        <v>1307</v>
      </c>
      <c r="F309" s="78" t="s">
        <v>661</v>
      </c>
      <c r="G309">
        <v>0.95</v>
      </c>
      <c r="H309" s="78" t="s">
        <v>662</v>
      </c>
      <c r="I309" s="78" t="s">
        <v>1810</v>
      </c>
      <c r="J309">
        <v>0</v>
      </c>
      <c r="K309">
        <v>0</v>
      </c>
      <c r="L309">
        <v>12</v>
      </c>
      <c r="M309">
        <v>6301</v>
      </c>
      <c r="N309" s="78" t="s">
        <v>1340</v>
      </c>
      <c r="O309">
        <v>1</v>
      </c>
      <c r="P309" s="82">
        <v>3.5</v>
      </c>
    </row>
    <row r="310" spans="1:16" x14ac:dyDescent="0.25">
      <c r="A310">
        <v>6302</v>
      </c>
      <c r="B310">
        <v>6302</v>
      </c>
      <c r="C310" s="78" t="s">
        <v>1341</v>
      </c>
      <c r="D310" s="78" t="s">
        <v>1307</v>
      </c>
      <c r="E310" s="78" t="s">
        <v>1307</v>
      </c>
      <c r="F310" s="78" t="s">
        <v>661</v>
      </c>
      <c r="G310">
        <v>0.95</v>
      </c>
      <c r="H310" s="78" t="s">
        <v>662</v>
      </c>
      <c r="I310" s="78" t="s">
        <v>1811</v>
      </c>
      <c r="J310">
        <v>0</v>
      </c>
      <c r="K310">
        <v>0</v>
      </c>
      <c r="L310">
        <v>12</v>
      </c>
      <c r="M310">
        <v>6302</v>
      </c>
      <c r="N310" s="78" t="s">
        <v>1342</v>
      </c>
      <c r="O310">
        <v>1</v>
      </c>
      <c r="P310" s="82">
        <v>3.5</v>
      </c>
    </row>
    <row r="311" spans="1:16" x14ac:dyDescent="0.25">
      <c r="A311">
        <v>6303</v>
      </c>
      <c r="B311">
        <v>6303</v>
      </c>
      <c r="C311" s="78" t="s">
        <v>1343</v>
      </c>
      <c r="D311" s="78" t="s">
        <v>1307</v>
      </c>
      <c r="E311" s="78" t="s">
        <v>1307</v>
      </c>
      <c r="F311" s="78" t="s">
        <v>661</v>
      </c>
      <c r="G311">
        <v>0.95</v>
      </c>
      <c r="H311" s="78" t="s">
        <v>662</v>
      </c>
      <c r="I311" s="78" t="s">
        <v>1812</v>
      </c>
      <c r="J311">
        <v>0</v>
      </c>
      <c r="K311">
        <v>0</v>
      </c>
      <c r="L311">
        <v>12</v>
      </c>
      <c r="M311">
        <v>6303</v>
      </c>
      <c r="N311" s="78" t="s">
        <v>355</v>
      </c>
      <c r="O311">
        <v>1</v>
      </c>
      <c r="P311" s="82">
        <v>3.5</v>
      </c>
    </row>
    <row r="312" spans="1:16" x14ac:dyDescent="0.25">
      <c r="A312">
        <v>6311</v>
      </c>
      <c r="B312">
        <v>6311</v>
      </c>
      <c r="C312" s="78" t="s">
        <v>1344</v>
      </c>
      <c r="D312" s="78" t="s">
        <v>1307</v>
      </c>
      <c r="E312" s="78" t="s">
        <v>1307</v>
      </c>
      <c r="F312" s="78" t="s">
        <v>661</v>
      </c>
      <c r="G312">
        <v>0.95</v>
      </c>
      <c r="H312" s="78" t="s">
        <v>662</v>
      </c>
      <c r="I312" s="78" t="s">
        <v>1813</v>
      </c>
      <c r="J312">
        <v>0</v>
      </c>
      <c r="K312">
        <v>0</v>
      </c>
      <c r="L312">
        <v>12</v>
      </c>
      <c r="M312">
        <v>6311</v>
      </c>
      <c r="N312" s="78" t="s">
        <v>358</v>
      </c>
      <c r="O312">
        <v>1</v>
      </c>
      <c r="P312" s="82">
        <v>3.5</v>
      </c>
    </row>
    <row r="313" spans="1:16" x14ac:dyDescent="0.25">
      <c r="A313">
        <v>6312</v>
      </c>
      <c r="B313">
        <v>6312</v>
      </c>
      <c r="C313" s="78" t="s">
        <v>1345</v>
      </c>
      <c r="D313" s="78" t="s">
        <v>1307</v>
      </c>
      <c r="E313" s="78" t="s">
        <v>1307</v>
      </c>
      <c r="F313" s="78" t="s">
        <v>661</v>
      </c>
      <c r="G313">
        <v>0.95</v>
      </c>
      <c r="H313" s="78" t="s">
        <v>662</v>
      </c>
      <c r="I313" s="78" t="s">
        <v>1814</v>
      </c>
      <c r="J313">
        <v>0</v>
      </c>
      <c r="K313">
        <v>0</v>
      </c>
      <c r="L313">
        <v>12</v>
      </c>
      <c r="M313">
        <v>6312</v>
      </c>
      <c r="N313" s="78" t="s">
        <v>361</v>
      </c>
      <c r="O313">
        <v>1</v>
      </c>
      <c r="P313" s="82">
        <v>3.5</v>
      </c>
    </row>
    <row r="314" spans="1:16" x14ac:dyDescent="0.25">
      <c r="A314">
        <v>6320</v>
      </c>
      <c r="B314">
        <v>6320</v>
      </c>
      <c r="C314" s="78" t="s">
        <v>1346</v>
      </c>
      <c r="D314" s="78" t="s">
        <v>1307</v>
      </c>
      <c r="E314" s="78" t="s">
        <v>1307</v>
      </c>
      <c r="F314" s="78" t="s">
        <v>661</v>
      </c>
      <c r="G314">
        <v>0.23330000000000001</v>
      </c>
      <c r="H314" s="78" t="s">
        <v>662</v>
      </c>
      <c r="I314" s="78" t="s">
        <v>1347</v>
      </c>
      <c r="J314">
        <v>0</v>
      </c>
      <c r="K314">
        <v>0</v>
      </c>
      <c r="L314">
        <v>72</v>
      </c>
      <c r="M314">
        <v>6320</v>
      </c>
      <c r="N314" s="78" t="s">
        <v>364</v>
      </c>
      <c r="O314">
        <v>1</v>
      </c>
      <c r="P314" s="82">
        <v>1</v>
      </c>
    </row>
    <row r="315" spans="1:16" x14ac:dyDescent="0.25">
      <c r="A315">
        <v>6321</v>
      </c>
      <c r="B315">
        <v>6321</v>
      </c>
      <c r="C315" s="78" t="s">
        <v>1348</v>
      </c>
      <c r="D315" s="78" t="s">
        <v>1307</v>
      </c>
      <c r="E315" s="78" t="s">
        <v>1307</v>
      </c>
      <c r="F315" s="78" t="s">
        <v>661</v>
      </c>
      <c r="G315">
        <v>0.23330000000000001</v>
      </c>
      <c r="H315" s="78" t="s">
        <v>662</v>
      </c>
      <c r="I315" s="78" t="s">
        <v>1349</v>
      </c>
      <c r="J315">
        <v>0</v>
      </c>
      <c r="K315">
        <v>0</v>
      </c>
      <c r="L315">
        <v>72</v>
      </c>
      <c r="M315">
        <v>6321</v>
      </c>
      <c r="N315" s="78" t="s">
        <v>1350</v>
      </c>
      <c r="O315">
        <v>1</v>
      </c>
      <c r="P315" s="82">
        <v>1</v>
      </c>
    </row>
    <row r="316" spans="1:16" x14ac:dyDescent="0.25">
      <c r="A316">
        <v>6322</v>
      </c>
      <c r="B316">
        <v>6322</v>
      </c>
      <c r="C316" s="78" t="s">
        <v>1351</v>
      </c>
      <c r="D316" s="78" t="s">
        <v>1307</v>
      </c>
      <c r="E316" s="78" t="s">
        <v>1307</v>
      </c>
      <c r="F316" s="78" t="s">
        <v>661</v>
      </c>
      <c r="G316">
        <v>0.23330000000000001</v>
      </c>
      <c r="H316" s="78" t="s">
        <v>662</v>
      </c>
      <c r="I316" s="78" t="s">
        <v>1352</v>
      </c>
      <c r="J316">
        <v>0</v>
      </c>
      <c r="K316">
        <v>0</v>
      </c>
      <c r="L316">
        <v>72</v>
      </c>
      <c r="M316">
        <v>6322</v>
      </c>
      <c r="N316" s="78" t="s">
        <v>370</v>
      </c>
      <c r="O316">
        <v>1</v>
      </c>
      <c r="P316" s="82">
        <v>1</v>
      </c>
    </row>
    <row r="317" spans="1:16" x14ac:dyDescent="0.25">
      <c r="A317">
        <v>6343</v>
      </c>
      <c r="B317">
        <v>6343</v>
      </c>
      <c r="C317" s="78" t="s">
        <v>1353</v>
      </c>
      <c r="D317" s="78" t="s">
        <v>1307</v>
      </c>
      <c r="E317" s="78" t="s">
        <v>1307</v>
      </c>
      <c r="F317" s="78" t="s">
        <v>661</v>
      </c>
      <c r="G317">
        <v>0.95</v>
      </c>
      <c r="H317" s="78" t="s">
        <v>662</v>
      </c>
      <c r="I317" s="78" t="s">
        <v>1815</v>
      </c>
      <c r="J317">
        <v>0</v>
      </c>
      <c r="K317">
        <v>0</v>
      </c>
      <c r="L317">
        <v>12</v>
      </c>
      <c r="M317">
        <v>6343</v>
      </c>
      <c r="N317" s="78" t="s">
        <v>373</v>
      </c>
      <c r="O317">
        <v>1</v>
      </c>
      <c r="P317" s="82">
        <v>3.5</v>
      </c>
    </row>
    <row r="318" spans="1:16" x14ac:dyDescent="0.25">
      <c r="A318">
        <v>6350</v>
      </c>
      <c r="B318">
        <v>6350</v>
      </c>
      <c r="C318" s="78" t="s">
        <v>1798</v>
      </c>
      <c r="D318" s="78" t="s">
        <v>1307</v>
      </c>
      <c r="E318" s="78" t="s">
        <v>1307</v>
      </c>
      <c r="F318" s="78" t="s">
        <v>661</v>
      </c>
      <c r="G318">
        <v>2.19</v>
      </c>
      <c r="H318" s="78" t="s">
        <v>662</v>
      </c>
      <c r="I318" s="78" t="s">
        <v>1816</v>
      </c>
      <c r="J318">
        <v>0</v>
      </c>
      <c r="K318">
        <v>0</v>
      </c>
      <c r="L318">
        <v>12</v>
      </c>
      <c r="M318">
        <v>6350</v>
      </c>
      <c r="N318" s="78" t="s">
        <v>375</v>
      </c>
      <c r="O318">
        <v>1</v>
      </c>
      <c r="P318" s="82">
        <v>8</v>
      </c>
    </row>
    <row r="319" spans="1:16" x14ac:dyDescent="0.25">
      <c r="A319">
        <v>6400</v>
      </c>
      <c r="B319">
        <v>6400</v>
      </c>
      <c r="C319" s="78" t="s">
        <v>1354</v>
      </c>
      <c r="D319" s="78" t="s">
        <v>1307</v>
      </c>
      <c r="E319" s="78" t="s">
        <v>1307</v>
      </c>
      <c r="F319" s="78" t="s">
        <v>661</v>
      </c>
      <c r="G319">
        <v>5.09</v>
      </c>
      <c r="H319" s="78" t="s">
        <v>662</v>
      </c>
      <c r="I319" s="78" t="s">
        <v>1355</v>
      </c>
      <c r="J319">
        <v>0</v>
      </c>
      <c r="K319">
        <v>0</v>
      </c>
      <c r="L319">
        <v>6</v>
      </c>
      <c r="M319">
        <v>6400</v>
      </c>
      <c r="N319" s="78" t="s">
        <v>1356</v>
      </c>
      <c r="O319">
        <v>1</v>
      </c>
      <c r="P319" s="82">
        <v>16.25</v>
      </c>
    </row>
    <row r="320" spans="1:16" x14ac:dyDescent="0.25">
      <c r="A320">
        <v>6401</v>
      </c>
      <c r="B320">
        <v>6401</v>
      </c>
      <c r="C320" s="78" t="s">
        <v>1357</v>
      </c>
      <c r="D320" s="78" t="s">
        <v>1307</v>
      </c>
      <c r="E320" s="78" t="s">
        <v>1307</v>
      </c>
      <c r="F320" s="78" t="s">
        <v>661</v>
      </c>
      <c r="G320">
        <v>3</v>
      </c>
      <c r="H320" s="78" t="s">
        <v>662</v>
      </c>
      <c r="I320" s="78" t="s">
        <v>1358</v>
      </c>
      <c r="J320">
        <v>0</v>
      </c>
      <c r="K320">
        <v>0</v>
      </c>
      <c r="L320">
        <v>24</v>
      </c>
      <c r="M320">
        <v>6401</v>
      </c>
      <c r="N320" s="78" t="s">
        <v>1359</v>
      </c>
      <c r="O320">
        <v>1</v>
      </c>
      <c r="P320" s="82">
        <v>9.5</v>
      </c>
    </row>
    <row r="321" spans="1:16" x14ac:dyDescent="0.25">
      <c r="A321">
        <v>6410</v>
      </c>
      <c r="B321">
        <v>6410</v>
      </c>
      <c r="C321" s="78" t="s">
        <v>1360</v>
      </c>
      <c r="D321" s="78" t="s">
        <v>1307</v>
      </c>
      <c r="E321" s="78" t="s">
        <v>1307</v>
      </c>
      <c r="F321" s="78" t="s">
        <v>661</v>
      </c>
      <c r="G321">
        <v>2.57</v>
      </c>
      <c r="H321" s="78" t="s">
        <v>662</v>
      </c>
      <c r="I321" s="78" t="s">
        <v>1361</v>
      </c>
      <c r="J321">
        <v>0</v>
      </c>
      <c r="K321">
        <v>0</v>
      </c>
      <c r="L321">
        <v>24</v>
      </c>
      <c r="M321">
        <v>6410</v>
      </c>
      <c r="N321" s="78" t="s">
        <v>1362</v>
      </c>
      <c r="O321">
        <v>1</v>
      </c>
      <c r="P321" s="82">
        <v>8.5500000000000007</v>
      </c>
    </row>
    <row r="322" spans="1:16" x14ac:dyDescent="0.25">
      <c r="A322">
        <v>6411</v>
      </c>
      <c r="B322">
        <v>6411</v>
      </c>
      <c r="C322" s="78" t="s">
        <v>1799</v>
      </c>
      <c r="D322" s="78" t="s">
        <v>1363</v>
      </c>
      <c r="E322" s="78" t="s">
        <v>1363</v>
      </c>
      <c r="F322" s="78" t="s">
        <v>661</v>
      </c>
      <c r="G322">
        <v>1.5</v>
      </c>
      <c r="H322" s="78" t="s">
        <v>662</v>
      </c>
      <c r="I322" s="78" t="s">
        <v>1364</v>
      </c>
      <c r="J322">
        <v>0</v>
      </c>
      <c r="K322">
        <v>0</v>
      </c>
      <c r="L322">
        <v>40</v>
      </c>
      <c r="M322">
        <v>6411</v>
      </c>
      <c r="N322" s="78" t="s">
        <v>1365</v>
      </c>
      <c r="O322">
        <v>1</v>
      </c>
      <c r="P322" s="82">
        <v>5.25</v>
      </c>
    </row>
    <row r="323" spans="1:16" x14ac:dyDescent="0.25">
      <c r="A323">
        <v>6420</v>
      </c>
      <c r="B323">
        <v>6420</v>
      </c>
      <c r="C323" s="78" t="s">
        <v>1366</v>
      </c>
      <c r="D323" s="78" t="s">
        <v>1307</v>
      </c>
      <c r="E323" s="78" t="s">
        <v>1307</v>
      </c>
      <c r="F323" s="78" t="s">
        <v>661</v>
      </c>
      <c r="G323">
        <v>1.06</v>
      </c>
      <c r="H323" s="78" t="s">
        <v>662</v>
      </c>
      <c r="I323" s="78" t="s">
        <v>1367</v>
      </c>
      <c r="J323">
        <v>0</v>
      </c>
      <c r="K323">
        <v>0</v>
      </c>
      <c r="L323">
        <v>64</v>
      </c>
      <c r="M323">
        <v>6420</v>
      </c>
      <c r="N323" s="78" t="s">
        <v>362</v>
      </c>
      <c r="O323">
        <v>1</v>
      </c>
      <c r="P323" s="82">
        <v>3.6</v>
      </c>
    </row>
    <row r="324" spans="1:16" x14ac:dyDescent="0.25">
      <c r="A324">
        <v>6421</v>
      </c>
      <c r="B324">
        <v>6421</v>
      </c>
      <c r="C324" s="78" t="s">
        <v>1368</v>
      </c>
      <c r="D324" s="78" t="s">
        <v>1307</v>
      </c>
      <c r="E324" s="78" t="s">
        <v>1307</v>
      </c>
      <c r="F324" s="78" t="s">
        <v>661</v>
      </c>
      <c r="G324">
        <v>1.45</v>
      </c>
      <c r="H324" s="78" t="s">
        <v>662</v>
      </c>
      <c r="I324" s="78" t="s">
        <v>1369</v>
      </c>
      <c r="J324">
        <v>0</v>
      </c>
      <c r="K324">
        <v>0</v>
      </c>
      <c r="L324">
        <v>24</v>
      </c>
      <c r="M324">
        <v>6421</v>
      </c>
      <c r="N324" s="78" t="s">
        <v>365</v>
      </c>
      <c r="O324">
        <v>1</v>
      </c>
      <c r="P324" s="82">
        <v>6.05</v>
      </c>
    </row>
    <row r="325" spans="1:16" x14ac:dyDescent="0.25">
      <c r="A325">
        <v>6440</v>
      </c>
      <c r="B325">
        <v>6440</v>
      </c>
      <c r="C325" s="78" t="s">
        <v>1370</v>
      </c>
      <c r="D325" s="78" t="s">
        <v>1307</v>
      </c>
      <c r="E325" s="78" t="s">
        <v>1307</v>
      </c>
      <c r="F325" s="78" t="s">
        <v>661</v>
      </c>
      <c r="G325">
        <v>0.16200000000000001</v>
      </c>
      <c r="H325" s="78" t="s">
        <v>662</v>
      </c>
      <c r="I325" s="78" t="s">
        <v>1371</v>
      </c>
      <c r="J325">
        <v>0</v>
      </c>
      <c r="K325">
        <v>0</v>
      </c>
      <c r="L325">
        <v>50</v>
      </c>
      <c r="M325">
        <v>6440</v>
      </c>
      <c r="N325" s="78" t="s">
        <v>378</v>
      </c>
      <c r="O325">
        <v>1</v>
      </c>
      <c r="P325" s="82">
        <v>0.55000000000000004</v>
      </c>
    </row>
    <row r="326" spans="1:16" x14ac:dyDescent="0.25">
      <c r="A326">
        <v>6441</v>
      </c>
      <c r="B326">
        <v>6441</v>
      </c>
      <c r="C326" s="78" t="s">
        <v>1372</v>
      </c>
      <c r="D326" s="78" t="s">
        <v>1307</v>
      </c>
      <c r="E326" s="78" t="s">
        <v>1307</v>
      </c>
      <c r="F326" s="78" t="s">
        <v>661</v>
      </c>
      <c r="G326">
        <v>0.19</v>
      </c>
      <c r="H326" s="78" t="s">
        <v>662</v>
      </c>
      <c r="I326" s="78" t="s">
        <v>1373</v>
      </c>
      <c r="J326">
        <v>0</v>
      </c>
      <c r="K326">
        <v>0</v>
      </c>
      <c r="L326">
        <v>300</v>
      </c>
      <c r="M326">
        <v>6441</v>
      </c>
      <c r="N326" s="78" t="s">
        <v>381</v>
      </c>
      <c r="O326">
        <v>1</v>
      </c>
      <c r="P326" s="82">
        <v>0.75</v>
      </c>
    </row>
    <row r="327" spans="1:16" x14ac:dyDescent="0.25">
      <c r="A327">
        <v>6442</v>
      </c>
      <c r="B327">
        <v>6442</v>
      </c>
      <c r="C327" s="78" t="s">
        <v>1374</v>
      </c>
      <c r="D327" s="78" t="s">
        <v>1307</v>
      </c>
      <c r="E327" s="78" t="s">
        <v>1307</v>
      </c>
      <c r="F327" s="78" t="s">
        <v>661</v>
      </c>
      <c r="G327">
        <v>0.49</v>
      </c>
      <c r="H327" s="78" t="s">
        <v>662</v>
      </c>
      <c r="I327" s="78" t="s">
        <v>1375</v>
      </c>
      <c r="J327">
        <v>0</v>
      </c>
      <c r="K327">
        <v>0</v>
      </c>
      <c r="L327">
        <v>60</v>
      </c>
      <c r="M327">
        <v>6442</v>
      </c>
      <c r="N327" s="78" t="s">
        <v>384</v>
      </c>
      <c r="O327">
        <v>1</v>
      </c>
      <c r="P327" s="82">
        <v>1.85</v>
      </c>
    </row>
    <row r="328" spans="1:16" x14ac:dyDescent="0.25">
      <c r="A328">
        <v>6443</v>
      </c>
      <c r="B328">
        <v>6443</v>
      </c>
      <c r="C328" s="78" t="s">
        <v>1376</v>
      </c>
      <c r="D328" s="78" t="s">
        <v>1307</v>
      </c>
      <c r="E328" s="78" t="s">
        <v>1307</v>
      </c>
      <c r="F328" s="78" t="s">
        <v>661</v>
      </c>
      <c r="G328">
        <v>0.49</v>
      </c>
      <c r="H328" s="78" t="s">
        <v>662</v>
      </c>
      <c r="I328" s="78" t="s">
        <v>1377</v>
      </c>
      <c r="J328">
        <v>0</v>
      </c>
      <c r="K328">
        <v>0</v>
      </c>
      <c r="L328">
        <v>60</v>
      </c>
      <c r="M328">
        <v>6443</v>
      </c>
      <c r="N328" s="78" t="s">
        <v>387</v>
      </c>
      <c r="O328">
        <v>1</v>
      </c>
      <c r="P328" s="82">
        <v>1.85</v>
      </c>
    </row>
    <row r="329" spans="1:16" x14ac:dyDescent="0.25">
      <c r="A329">
        <v>6450</v>
      </c>
      <c r="B329">
        <v>6450</v>
      </c>
      <c r="C329" s="78" t="s">
        <v>1378</v>
      </c>
      <c r="D329" s="78" t="s">
        <v>1307</v>
      </c>
      <c r="E329" s="78" t="s">
        <v>1307</v>
      </c>
      <c r="F329" s="78" t="s">
        <v>661</v>
      </c>
      <c r="G329">
        <v>1.0832999999999999</v>
      </c>
      <c r="H329" s="78" t="s">
        <v>662</v>
      </c>
      <c r="I329" s="78" t="s">
        <v>1379</v>
      </c>
      <c r="J329">
        <v>0</v>
      </c>
      <c r="K329">
        <v>0</v>
      </c>
      <c r="L329">
        <v>36</v>
      </c>
      <c r="M329">
        <v>6450</v>
      </c>
      <c r="N329" s="78" t="s">
        <v>390</v>
      </c>
      <c r="O329">
        <v>1</v>
      </c>
      <c r="P329" s="82">
        <v>3.4</v>
      </c>
    </row>
    <row r="330" spans="1:16" x14ac:dyDescent="0.25">
      <c r="A330">
        <v>6460</v>
      </c>
      <c r="B330">
        <v>6460</v>
      </c>
      <c r="C330" s="78" t="s">
        <v>1380</v>
      </c>
      <c r="D330" s="78" t="s">
        <v>1307</v>
      </c>
      <c r="E330" s="78" t="s">
        <v>1307</v>
      </c>
      <c r="F330" s="78" t="s">
        <v>661</v>
      </c>
      <c r="G330">
        <v>0.14280000000000001</v>
      </c>
      <c r="H330" s="78" t="s">
        <v>662</v>
      </c>
      <c r="I330" s="78" t="s">
        <v>1381</v>
      </c>
      <c r="J330">
        <v>0</v>
      </c>
      <c r="K330">
        <v>0</v>
      </c>
      <c r="L330">
        <v>84</v>
      </c>
      <c r="M330">
        <v>6460</v>
      </c>
      <c r="N330" s="78" t="s">
        <v>368</v>
      </c>
      <c r="O330">
        <v>7</v>
      </c>
      <c r="P330" s="82">
        <v>3.5</v>
      </c>
    </row>
    <row r="331" spans="1:16" x14ac:dyDescent="0.25">
      <c r="A331">
        <v>6461</v>
      </c>
      <c r="B331">
        <v>6460</v>
      </c>
      <c r="C331" s="78" t="s">
        <v>1382</v>
      </c>
      <c r="D331" s="78" t="s">
        <v>1307</v>
      </c>
      <c r="E331" s="78" t="s">
        <v>1307</v>
      </c>
      <c r="F331" s="78" t="s">
        <v>661</v>
      </c>
      <c r="G331">
        <v>0.1429</v>
      </c>
      <c r="H331" s="78" t="s">
        <v>662</v>
      </c>
      <c r="I331" s="78" t="s">
        <v>1383</v>
      </c>
      <c r="J331">
        <v>0</v>
      </c>
      <c r="K331">
        <v>0</v>
      </c>
      <c r="L331">
        <v>1</v>
      </c>
      <c r="M331">
        <v>6461</v>
      </c>
      <c r="N331" s="78" t="s">
        <v>371</v>
      </c>
      <c r="O331">
        <v>1</v>
      </c>
      <c r="P331" s="82">
        <v>1</v>
      </c>
    </row>
    <row r="332" spans="1:16" x14ac:dyDescent="0.25">
      <c r="A332">
        <v>6500</v>
      </c>
      <c r="B332">
        <v>6500</v>
      </c>
      <c r="C332" s="78" t="s">
        <v>1384</v>
      </c>
      <c r="D332" s="78" t="s">
        <v>1385</v>
      </c>
      <c r="E332" s="78" t="s">
        <v>1385</v>
      </c>
      <c r="F332" s="78" t="s">
        <v>661</v>
      </c>
      <c r="G332">
        <v>1.55</v>
      </c>
      <c r="H332" s="78" t="s">
        <v>662</v>
      </c>
      <c r="I332" s="78" t="s">
        <v>1386</v>
      </c>
      <c r="J332">
        <v>0</v>
      </c>
      <c r="K332">
        <v>0</v>
      </c>
      <c r="L332">
        <v>8</v>
      </c>
      <c r="M332">
        <v>6500</v>
      </c>
      <c r="N332" s="78" t="s">
        <v>379</v>
      </c>
      <c r="O332">
        <v>1</v>
      </c>
      <c r="P332" s="82">
        <v>5</v>
      </c>
    </row>
    <row r="333" spans="1:16" x14ac:dyDescent="0.25">
      <c r="A333">
        <v>6510</v>
      </c>
      <c r="B333">
        <v>6510</v>
      </c>
      <c r="C333" s="78" t="s">
        <v>1387</v>
      </c>
      <c r="D333" s="78" t="s">
        <v>1385</v>
      </c>
      <c r="E333" s="78" t="s">
        <v>1385</v>
      </c>
      <c r="F333" s="78" t="s">
        <v>661</v>
      </c>
      <c r="G333">
        <v>7.4999999999999997E-3</v>
      </c>
      <c r="H333" s="78" t="s">
        <v>662</v>
      </c>
      <c r="I333" s="78" t="s">
        <v>1388</v>
      </c>
      <c r="J333">
        <v>0</v>
      </c>
      <c r="K333">
        <v>0</v>
      </c>
      <c r="L333">
        <v>2000</v>
      </c>
      <c r="M333">
        <v>6510</v>
      </c>
      <c r="N333" s="78" t="s">
        <v>382</v>
      </c>
      <c r="O333">
        <v>1</v>
      </c>
      <c r="P333" s="82">
        <v>0.1</v>
      </c>
    </row>
    <row r="334" spans="1:16" x14ac:dyDescent="0.25">
      <c r="A334">
        <v>6520</v>
      </c>
      <c r="B334">
        <v>6520</v>
      </c>
      <c r="C334" s="78" t="s">
        <v>1389</v>
      </c>
      <c r="D334" s="78" t="s">
        <v>1390</v>
      </c>
      <c r="E334" s="78" t="s">
        <v>1390</v>
      </c>
      <c r="F334" s="78" t="s">
        <v>661</v>
      </c>
      <c r="G334">
        <v>1.32E-2</v>
      </c>
      <c r="H334" s="78" t="s">
        <v>662</v>
      </c>
      <c r="I334" s="78" t="s">
        <v>1391</v>
      </c>
      <c r="J334">
        <v>0</v>
      </c>
      <c r="K334">
        <v>0</v>
      </c>
      <c r="L334">
        <v>1200</v>
      </c>
      <c r="M334">
        <v>6520</v>
      </c>
      <c r="N334" s="78" t="s">
        <v>385</v>
      </c>
      <c r="O334">
        <v>100</v>
      </c>
      <c r="P334" s="82">
        <v>4.4000000000000004</v>
      </c>
    </row>
    <row r="335" spans="1:16" x14ac:dyDescent="0.25">
      <c r="A335">
        <v>6521</v>
      </c>
      <c r="B335">
        <v>6520</v>
      </c>
      <c r="C335" s="78" t="s">
        <v>1392</v>
      </c>
      <c r="D335" s="78" t="s">
        <v>1390</v>
      </c>
      <c r="E335" s="78" t="s">
        <v>1390</v>
      </c>
      <c r="F335" s="78" t="s">
        <v>661</v>
      </c>
      <c r="G335">
        <v>1.32E-2</v>
      </c>
      <c r="H335" s="78" t="s">
        <v>662</v>
      </c>
      <c r="I335" s="78" t="s">
        <v>1393</v>
      </c>
      <c r="J335">
        <v>0</v>
      </c>
      <c r="K335">
        <v>0</v>
      </c>
      <c r="L335">
        <v>1</v>
      </c>
      <c r="M335">
        <v>6521</v>
      </c>
      <c r="N335" s="78" t="s">
        <v>1394</v>
      </c>
      <c r="O335">
        <v>10</v>
      </c>
      <c r="P335" s="82">
        <v>0.45</v>
      </c>
    </row>
    <row r="336" spans="1:16" x14ac:dyDescent="0.25">
      <c r="A336">
        <v>6530</v>
      </c>
      <c r="B336">
        <v>6530</v>
      </c>
      <c r="C336" s="78" t="s">
        <v>1395</v>
      </c>
      <c r="D336" s="78" t="s">
        <v>1396</v>
      </c>
      <c r="E336" s="78" t="s">
        <v>1396</v>
      </c>
      <c r="F336" s="78" t="s">
        <v>661</v>
      </c>
      <c r="G336">
        <v>1.8100000000000002E-2</v>
      </c>
      <c r="H336" s="78" t="s">
        <v>662</v>
      </c>
      <c r="I336" s="78" t="s">
        <v>1397</v>
      </c>
      <c r="J336">
        <v>0</v>
      </c>
      <c r="K336">
        <v>0</v>
      </c>
      <c r="L336">
        <v>1000</v>
      </c>
      <c r="M336">
        <v>6530</v>
      </c>
      <c r="N336" s="78" t="s">
        <v>391</v>
      </c>
      <c r="O336">
        <v>1</v>
      </c>
      <c r="P336" s="82">
        <v>0.1</v>
      </c>
    </row>
    <row r="337" spans="1:16" x14ac:dyDescent="0.25">
      <c r="A337">
        <v>6531</v>
      </c>
      <c r="B337">
        <v>6531</v>
      </c>
      <c r="C337" s="78" t="s">
        <v>1398</v>
      </c>
      <c r="D337" s="78" t="s">
        <v>1396</v>
      </c>
      <c r="E337" s="78" t="s">
        <v>1396</v>
      </c>
      <c r="F337" s="78" t="s">
        <v>661</v>
      </c>
      <c r="G337">
        <v>1.65</v>
      </c>
      <c r="H337" s="78" t="s">
        <v>662</v>
      </c>
      <c r="I337" s="78" t="s">
        <v>1399</v>
      </c>
      <c r="J337">
        <v>0</v>
      </c>
      <c r="K337">
        <v>0</v>
      </c>
      <c r="L337">
        <v>8</v>
      </c>
      <c r="M337">
        <v>6531</v>
      </c>
      <c r="N337" s="78" t="s">
        <v>392</v>
      </c>
      <c r="O337">
        <v>1</v>
      </c>
      <c r="P337" s="82">
        <v>5</v>
      </c>
    </row>
    <row r="338" spans="1:16" x14ac:dyDescent="0.25">
      <c r="A338">
        <v>6600</v>
      </c>
      <c r="B338">
        <v>6600</v>
      </c>
      <c r="C338" s="78" t="s">
        <v>1400</v>
      </c>
      <c r="D338" s="78" t="s">
        <v>1401</v>
      </c>
      <c r="E338" s="78" t="s">
        <v>1401</v>
      </c>
      <c r="F338" s="78" t="s">
        <v>661</v>
      </c>
      <c r="G338">
        <v>2.1700000000000001E-2</v>
      </c>
      <c r="H338" s="78" t="s">
        <v>662</v>
      </c>
      <c r="I338" s="78" t="s">
        <v>1402</v>
      </c>
      <c r="J338">
        <v>0</v>
      </c>
      <c r="K338">
        <v>0</v>
      </c>
      <c r="L338">
        <v>1000</v>
      </c>
      <c r="M338">
        <v>6600</v>
      </c>
      <c r="N338" s="78" t="s">
        <v>397</v>
      </c>
      <c r="O338">
        <v>1</v>
      </c>
      <c r="P338" s="82">
        <v>0.1</v>
      </c>
    </row>
    <row r="339" spans="1:16" x14ac:dyDescent="0.25">
      <c r="A339">
        <v>6601</v>
      </c>
      <c r="B339">
        <v>6601</v>
      </c>
      <c r="C339" s="78" t="s">
        <v>1403</v>
      </c>
      <c r="D339" s="78" t="s">
        <v>1401</v>
      </c>
      <c r="E339" s="78" t="s">
        <v>1401</v>
      </c>
      <c r="F339" s="78" t="s">
        <v>661</v>
      </c>
      <c r="G339">
        <v>4.1799999999999997E-2</v>
      </c>
      <c r="H339" s="78" t="s">
        <v>662</v>
      </c>
      <c r="I339" s="78" t="s">
        <v>1404</v>
      </c>
      <c r="J339">
        <v>0</v>
      </c>
      <c r="K339">
        <v>0</v>
      </c>
      <c r="L339">
        <v>200</v>
      </c>
      <c r="M339">
        <v>6601</v>
      </c>
      <c r="N339" s="78" t="s">
        <v>400</v>
      </c>
      <c r="O339">
        <v>1</v>
      </c>
      <c r="P339" s="82">
        <v>0.15</v>
      </c>
    </row>
    <row r="340" spans="1:16" x14ac:dyDescent="0.25">
      <c r="A340">
        <v>6602</v>
      </c>
      <c r="B340">
        <v>6602</v>
      </c>
      <c r="C340" s="78" t="s">
        <v>1405</v>
      </c>
      <c r="D340" s="78" t="s">
        <v>1401</v>
      </c>
      <c r="E340" s="78" t="s">
        <v>1401</v>
      </c>
      <c r="F340" s="78" t="s">
        <v>661</v>
      </c>
      <c r="G340">
        <v>5.7000000000000002E-2</v>
      </c>
      <c r="H340" s="78" t="s">
        <v>662</v>
      </c>
      <c r="I340" s="78" t="s">
        <v>1406</v>
      </c>
      <c r="J340">
        <v>0</v>
      </c>
      <c r="K340">
        <v>0</v>
      </c>
      <c r="L340">
        <v>500</v>
      </c>
      <c r="M340">
        <v>6602</v>
      </c>
      <c r="N340" s="78" t="s">
        <v>403</v>
      </c>
      <c r="O340">
        <v>1</v>
      </c>
      <c r="P340" s="82">
        <v>0.2</v>
      </c>
    </row>
    <row r="341" spans="1:16" x14ac:dyDescent="0.25">
      <c r="A341">
        <v>6603</v>
      </c>
      <c r="B341">
        <v>6603</v>
      </c>
      <c r="C341" s="78" t="s">
        <v>1407</v>
      </c>
      <c r="D341" s="78" t="s">
        <v>1401</v>
      </c>
      <c r="E341" s="78" t="s">
        <v>1401</v>
      </c>
      <c r="F341" s="78" t="s">
        <v>661</v>
      </c>
      <c r="G341">
        <v>1.9699999999999999E-2</v>
      </c>
      <c r="H341" s="78" t="s">
        <v>662</v>
      </c>
      <c r="I341" s="78" t="s">
        <v>1408</v>
      </c>
      <c r="J341">
        <v>0</v>
      </c>
      <c r="K341">
        <v>0</v>
      </c>
      <c r="L341">
        <v>500</v>
      </c>
      <c r="M341">
        <v>6603</v>
      </c>
      <c r="N341" s="78" t="s">
        <v>406</v>
      </c>
      <c r="O341">
        <v>1</v>
      </c>
      <c r="P341" s="82">
        <v>0.1</v>
      </c>
    </row>
    <row r="342" spans="1:16" x14ac:dyDescent="0.25">
      <c r="A342">
        <v>6610</v>
      </c>
      <c r="B342">
        <v>6610</v>
      </c>
      <c r="C342" s="78" t="s">
        <v>1409</v>
      </c>
      <c r="D342" s="78" t="s">
        <v>1401</v>
      </c>
      <c r="E342" s="78" t="s">
        <v>1401</v>
      </c>
      <c r="F342" s="78" t="s">
        <v>661</v>
      </c>
      <c r="G342">
        <v>5.7700000000000001E-2</v>
      </c>
      <c r="H342" s="78" t="s">
        <v>1308</v>
      </c>
      <c r="I342" s="78" t="s">
        <v>1410</v>
      </c>
      <c r="J342">
        <v>0</v>
      </c>
      <c r="K342">
        <v>0</v>
      </c>
      <c r="L342">
        <v>200</v>
      </c>
      <c r="M342">
        <v>6610</v>
      </c>
      <c r="N342" s="78" t="s">
        <v>409</v>
      </c>
      <c r="O342">
        <v>1</v>
      </c>
      <c r="P342" s="82">
        <v>0.2</v>
      </c>
    </row>
    <row r="343" spans="1:16" x14ac:dyDescent="0.25">
      <c r="A343">
        <v>6611</v>
      </c>
      <c r="B343">
        <v>6611</v>
      </c>
      <c r="C343" s="78" t="s">
        <v>1411</v>
      </c>
      <c r="D343" s="78" t="s">
        <v>1401</v>
      </c>
      <c r="E343" s="78" t="s">
        <v>1401</v>
      </c>
      <c r="F343" s="78" t="s">
        <v>661</v>
      </c>
      <c r="G343">
        <v>7.0000000000000007E-2</v>
      </c>
      <c r="H343" s="78" t="s">
        <v>662</v>
      </c>
      <c r="I343" s="78" t="s">
        <v>1412</v>
      </c>
      <c r="J343">
        <v>0</v>
      </c>
      <c r="K343">
        <v>0</v>
      </c>
      <c r="L343">
        <v>300</v>
      </c>
      <c r="M343">
        <v>6611</v>
      </c>
      <c r="N343" s="78" t="s">
        <v>1413</v>
      </c>
      <c r="O343">
        <v>1</v>
      </c>
      <c r="P343" s="82">
        <v>0.3</v>
      </c>
    </row>
    <row r="344" spans="1:16" x14ac:dyDescent="0.25">
      <c r="A344">
        <v>6612</v>
      </c>
      <c r="B344">
        <v>6612</v>
      </c>
      <c r="C344" s="78" t="s">
        <v>1414</v>
      </c>
      <c r="D344" s="78" t="s">
        <v>1401</v>
      </c>
      <c r="E344" s="78" t="s">
        <v>1401</v>
      </c>
      <c r="F344" s="78" t="s">
        <v>661</v>
      </c>
      <c r="G344">
        <v>0.32</v>
      </c>
      <c r="H344" s="78" t="s">
        <v>662</v>
      </c>
      <c r="I344" s="78" t="s">
        <v>1415</v>
      </c>
      <c r="J344">
        <v>0</v>
      </c>
      <c r="K344">
        <v>0</v>
      </c>
      <c r="L344">
        <v>200</v>
      </c>
      <c r="M344">
        <v>6612</v>
      </c>
      <c r="N344" s="78" t="s">
        <v>414</v>
      </c>
      <c r="O344">
        <v>1</v>
      </c>
      <c r="P344" s="82">
        <v>1.05</v>
      </c>
    </row>
    <row r="345" spans="1:16" x14ac:dyDescent="0.25">
      <c r="A345">
        <v>6613</v>
      </c>
      <c r="B345">
        <v>6613</v>
      </c>
      <c r="C345" s="78" t="s">
        <v>1416</v>
      </c>
      <c r="D345" s="78" t="s">
        <v>1401</v>
      </c>
      <c r="E345" s="78" t="s">
        <v>1401</v>
      </c>
      <c r="F345" s="78" t="s">
        <v>661</v>
      </c>
      <c r="G345">
        <v>0.27500000000000002</v>
      </c>
      <c r="H345" s="78" t="s">
        <v>662</v>
      </c>
      <c r="I345" s="78" t="s">
        <v>1417</v>
      </c>
      <c r="J345">
        <v>0</v>
      </c>
      <c r="K345">
        <v>0</v>
      </c>
      <c r="L345">
        <v>300</v>
      </c>
      <c r="M345">
        <v>6613</v>
      </c>
      <c r="N345" s="78" t="s">
        <v>467</v>
      </c>
      <c r="O345">
        <v>1</v>
      </c>
      <c r="P345" s="82">
        <v>0.95</v>
      </c>
    </row>
    <row r="346" spans="1:16" x14ac:dyDescent="0.25">
      <c r="A346">
        <v>6630</v>
      </c>
      <c r="B346">
        <v>6630</v>
      </c>
      <c r="C346" s="78" t="s">
        <v>1418</v>
      </c>
      <c r="D346" s="78" t="s">
        <v>1401</v>
      </c>
      <c r="E346" s="78" t="s">
        <v>1401</v>
      </c>
      <c r="F346" s="78" t="s">
        <v>661</v>
      </c>
      <c r="G346">
        <v>0.13500000000000001</v>
      </c>
      <c r="H346" s="78" t="s">
        <v>662</v>
      </c>
      <c r="I346" s="78" t="s">
        <v>1419</v>
      </c>
      <c r="J346">
        <v>0</v>
      </c>
      <c r="K346">
        <v>0</v>
      </c>
      <c r="L346">
        <v>200</v>
      </c>
      <c r="M346">
        <v>6630</v>
      </c>
      <c r="N346" s="78" t="s">
        <v>476</v>
      </c>
      <c r="O346">
        <v>1</v>
      </c>
      <c r="P346" s="82">
        <v>0.55000000000000004</v>
      </c>
    </row>
    <row r="347" spans="1:16" x14ac:dyDescent="0.25">
      <c r="A347">
        <v>6631</v>
      </c>
      <c r="B347">
        <v>6631</v>
      </c>
      <c r="C347" s="78" t="s">
        <v>1420</v>
      </c>
      <c r="D347" s="78" t="s">
        <v>1401</v>
      </c>
      <c r="E347" s="78" t="s">
        <v>1401</v>
      </c>
      <c r="F347" s="78" t="s">
        <v>661</v>
      </c>
      <c r="G347">
        <v>0.12740000000000001</v>
      </c>
      <c r="H347" s="78" t="s">
        <v>662</v>
      </c>
      <c r="I347" s="78" t="s">
        <v>1421</v>
      </c>
      <c r="J347">
        <v>0</v>
      </c>
      <c r="K347">
        <v>0</v>
      </c>
      <c r="L347">
        <v>200</v>
      </c>
      <c r="M347">
        <v>6631</v>
      </c>
      <c r="N347" s="78" t="s">
        <v>479</v>
      </c>
      <c r="O347">
        <v>1</v>
      </c>
      <c r="P347" s="82">
        <v>0.5</v>
      </c>
    </row>
    <row r="348" spans="1:16" x14ac:dyDescent="0.25">
      <c r="A348">
        <v>6650</v>
      </c>
      <c r="B348">
        <v>6650</v>
      </c>
      <c r="C348" s="78" t="s">
        <v>1422</v>
      </c>
      <c r="D348" s="78" t="s">
        <v>1401</v>
      </c>
      <c r="E348" s="78" t="s">
        <v>1401</v>
      </c>
      <c r="F348" s="78" t="s">
        <v>661</v>
      </c>
      <c r="G348">
        <v>1.55</v>
      </c>
      <c r="H348" s="78" t="s">
        <v>662</v>
      </c>
      <c r="I348" s="78" t="s">
        <v>1423</v>
      </c>
      <c r="J348">
        <v>0</v>
      </c>
      <c r="K348">
        <v>0</v>
      </c>
      <c r="L348">
        <v>12</v>
      </c>
      <c r="M348">
        <v>6650</v>
      </c>
      <c r="N348" s="78" t="s">
        <v>1424</v>
      </c>
      <c r="O348">
        <v>1</v>
      </c>
      <c r="P348" s="82">
        <v>6</v>
      </c>
    </row>
    <row r="349" spans="1:16" x14ac:dyDescent="0.25">
      <c r="A349">
        <v>6651</v>
      </c>
      <c r="B349">
        <v>6651</v>
      </c>
      <c r="C349" s="78" t="s">
        <v>1425</v>
      </c>
      <c r="D349" s="78" t="s">
        <v>1401</v>
      </c>
      <c r="E349" s="78" t="s">
        <v>1401</v>
      </c>
      <c r="F349" s="78" t="s">
        <v>661</v>
      </c>
      <c r="G349">
        <v>2.5</v>
      </c>
      <c r="H349" s="78" t="s">
        <v>662</v>
      </c>
      <c r="I349" s="78" t="s">
        <v>1426</v>
      </c>
      <c r="J349">
        <v>0</v>
      </c>
      <c r="K349">
        <v>0</v>
      </c>
      <c r="L349">
        <v>12</v>
      </c>
      <c r="M349">
        <v>6651</v>
      </c>
      <c r="N349" s="78" t="s">
        <v>1427</v>
      </c>
      <c r="O349">
        <v>1</v>
      </c>
      <c r="P349" s="82">
        <v>8.75</v>
      </c>
    </row>
    <row r="350" spans="1:16" x14ac:dyDescent="0.25">
      <c r="A350">
        <v>6660</v>
      </c>
      <c r="B350">
        <v>6660</v>
      </c>
      <c r="C350" s="78" t="s">
        <v>1428</v>
      </c>
      <c r="D350" s="78" t="s">
        <v>1401</v>
      </c>
      <c r="E350" s="78" t="s">
        <v>1401</v>
      </c>
      <c r="F350" s="78" t="s">
        <v>661</v>
      </c>
      <c r="G350">
        <v>1.68</v>
      </c>
      <c r="H350" s="78" t="s">
        <v>662</v>
      </c>
      <c r="I350" s="78" t="s">
        <v>1429</v>
      </c>
      <c r="J350">
        <v>0</v>
      </c>
      <c r="K350">
        <v>0</v>
      </c>
      <c r="L350">
        <v>12</v>
      </c>
      <c r="M350">
        <v>6660</v>
      </c>
      <c r="N350" s="78" t="s">
        <v>1430</v>
      </c>
      <c r="O350">
        <v>1</v>
      </c>
      <c r="P350" s="82">
        <v>6</v>
      </c>
    </row>
    <row r="351" spans="1:16" x14ac:dyDescent="0.25">
      <c r="A351">
        <v>6661</v>
      </c>
      <c r="B351">
        <v>6661</v>
      </c>
      <c r="C351" s="78" t="s">
        <v>1431</v>
      </c>
      <c r="D351" s="78" t="s">
        <v>1401</v>
      </c>
      <c r="E351" s="78" t="s">
        <v>1401</v>
      </c>
      <c r="F351" s="78" t="s">
        <v>661</v>
      </c>
      <c r="G351">
        <v>1.68</v>
      </c>
      <c r="H351" s="78" t="s">
        <v>662</v>
      </c>
      <c r="I351" s="78" t="s">
        <v>1432</v>
      </c>
      <c r="J351">
        <v>0</v>
      </c>
      <c r="K351">
        <v>0</v>
      </c>
      <c r="L351">
        <v>12</v>
      </c>
      <c r="M351">
        <v>6661</v>
      </c>
      <c r="N351" s="78" t="s">
        <v>1433</v>
      </c>
      <c r="O351">
        <v>1</v>
      </c>
      <c r="P351" s="82">
        <v>6</v>
      </c>
    </row>
    <row r="352" spans="1:16" x14ac:dyDescent="0.25">
      <c r="A352">
        <v>6700</v>
      </c>
      <c r="B352">
        <v>6700</v>
      </c>
      <c r="C352" s="78" t="s">
        <v>1434</v>
      </c>
      <c r="D352" s="78" t="s">
        <v>1401</v>
      </c>
      <c r="E352" s="78" t="s">
        <v>1401</v>
      </c>
      <c r="F352" s="78" t="s">
        <v>661</v>
      </c>
      <c r="G352">
        <v>0.52100000000000002</v>
      </c>
      <c r="H352" s="78" t="s">
        <v>1308</v>
      </c>
      <c r="I352" s="78" t="s">
        <v>1435</v>
      </c>
      <c r="J352">
        <v>0</v>
      </c>
      <c r="K352">
        <v>0</v>
      </c>
      <c r="L352">
        <v>30</v>
      </c>
      <c r="M352">
        <v>6700</v>
      </c>
      <c r="N352" s="78" t="s">
        <v>423</v>
      </c>
      <c r="O352">
        <v>1</v>
      </c>
      <c r="P352" s="82">
        <v>1.65</v>
      </c>
    </row>
    <row r="353" spans="1:16" x14ac:dyDescent="0.25">
      <c r="A353">
        <v>6701</v>
      </c>
      <c r="B353">
        <v>6701</v>
      </c>
      <c r="C353" s="78" t="s">
        <v>1436</v>
      </c>
      <c r="D353" s="78" t="s">
        <v>1401</v>
      </c>
      <c r="E353" s="78" t="s">
        <v>1401</v>
      </c>
      <c r="F353" s="78" t="s">
        <v>661</v>
      </c>
      <c r="G353">
        <v>0.6966</v>
      </c>
      <c r="H353" s="78" t="s">
        <v>1308</v>
      </c>
      <c r="I353" s="78" t="s">
        <v>1437</v>
      </c>
      <c r="J353">
        <v>0</v>
      </c>
      <c r="K353">
        <v>0</v>
      </c>
      <c r="L353">
        <v>48</v>
      </c>
      <c r="M353">
        <v>6701</v>
      </c>
      <c r="N353" s="78" t="s">
        <v>426</v>
      </c>
      <c r="O353">
        <v>1</v>
      </c>
      <c r="P353" s="82">
        <v>1.9</v>
      </c>
    </row>
    <row r="354" spans="1:16" x14ac:dyDescent="0.25">
      <c r="A354">
        <v>6720</v>
      </c>
      <c r="B354">
        <v>6720</v>
      </c>
      <c r="C354" s="78" t="s">
        <v>1438</v>
      </c>
      <c r="D354" s="78" t="s">
        <v>1401</v>
      </c>
      <c r="E354" s="78" t="s">
        <v>1401</v>
      </c>
      <c r="F354" s="78" t="s">
        <v>661</v>
      </c>
      <c r="G354">
        <v>0.49459999999999998</v>
      </c>
      <c r="H354" s="78" t="s">
        <v>1308</v>
      </c>
      <c r="I354" s="78" t="s">
        <v>1439</v>
      </c>
      <c r="J354">
        <v>0</v>
      </c>
      <c r="K354">
        <v>0</v>
      </c>
      <c r="L354">
        <v>60</v>
      </c>
      <c r="M354">
        <v>6720</v>
      </c>
      <c r="N354" s="78" t="s">
        <v>437</v>
      </c>
      <c r="O354">
        <v>1</v>
      </c>
      <c r="P354" s="82">
        <v>1.65</v>
      </c>
    </row>
    <row r="355" spans="1:16" x14ac:dyDescent="0.25">
      <c r="A355">
        <v>6722</v>
      </c>
      <c r="B355">
        <v>6722</v>
      </c>
      <c r="C355" s="78" t="s">
        <v>1440</v>
      </c>
      <c r="D355" s="78" t="s">
        <v>1401</v>
      </c>
      <c r="E355" s="78" t="s">
        <v>1401</v>
      </c>
      <c r="F355" s="78" t="s">
        <v>661</v>
      </c>
      <c r="G355">
        <v>1.23</v>
      </c>
      <c r="H355" s="78" t="s">
        <v>662</v>
      </c>
      <c r="I355" s="78" t="s">
        <v>1441</v>
      </c>
      <c r="J355">
        <v>0</v>
      </c>
      <c r="K355">
        <v>0</v>
      </c>
      <c r="L355">
        <v>12</v>
      </c>
      <c r="M355">
        <v>6722</v>
      </c>
      <c r="N355" s="78" t="s">
        <v>1442</v>
      </c>
      <c r="O355">
        <v>1</v>
      </c>
      <c r="P355" s="82">
        <v>4.3</v>
      </c>
    </row>
    <row r="356" spans="1:16" x14ac:dyDescent="0.25">
      <c r="A356">
        <v>6740</v>
      </c>
      <c r="B356">
        <v>6740</v>
      </c>
      <c r="C356" s="78" t="s">
        <v>1443</v>
      </c>
      <c r="D356" s="78" t="s">
        <v>1444</v>
      </c>
      <c r="E356" s="78" t="s">
        <v>1444</v>
      </c>
      <c r="F356" s="78" t="s">
        <v>661</v>
      </c>
      <c r="G356">
        <v>1.8</v>
      </c>
      <c r="H356" s="78" t="s">
        <v>662</v>
      </c>
      <c r="I356" s="78" t="s">
        <v>1445</v>
      </c>
      <c r="J356">
        <v>0</v>
      </c>
      <c r="K356">
        <v>0</v>
      </c>
      <c r="L356">
        <v>12</v>
      </c>
      <c r="M356">
        <v>6740</v>
      </c>
      <c r="N356" s="78" t="s">
        <v>1446</v>
      </c>
      <c r="O356">
        <v>1</v>
      </c>
      <c r="P356" s="82">
        <v>6.3</v>
      </c>
    </row>
    <row r="357" spans="1:16" x14ac:dyDescent="0.25">
      <c r="A357">
        <v>6741</v>
      </c>
      <c r="B357">
        <v>6741</v>
      </c>
      <c r="C357" s="78" t="s">
        <v>1447</v>
      </c>
      <c r="D357" s="78" t="s">
        <v>1444</v>
      </c>
      <c r="E357" s="78" t="s">
        <v>1444</v>
      </c>
      <c r="F357" s="78" t="s">
        <v>661</v>
      </c>
      <c r="G357">
        <v>0.28449999999999998</v>
      </c>
      <c r="H357" s="78" t="s">
        <v>662</v>
      </c>
      <c r="I357" s="78" t="s">
        <v>1448</v>
      </c>
      <c r="J357">
        <v>0</v>
      </c>
      <c r="K357">
        <v>0</v>
      </c>
      <c r="L357">
        <v>48</v>
      </c>
      <c r="M357">
        <v>6741</v>
      </c>
      <c r="N357" s="78" t="s">
        <v>497</v>
      </c>
      <c r="O357">
        <v>1</v>
      </c>
      <c r="P357" s="82">
        <v>1.05</v>
      </c>
    </row>
    <row r="358" spans="1:16" x14ac:dyDescent="0.25">
      <c r="A358">
        <v>6742</v>
      </c>
      <c r="B358">
        <v>6742</v>
      </c>
      <c r="C358" s="78" t="s">
        <v>1449</v>
      </c>
      <c r="D358" s="78" t="s">
        <v>1444</v>
      </c>
      <c r="E358" s="78" t="s">
        <v>1444</v>
      </c>
      <c r="F358" s="78" t="s">
        <v>661</v>
      </c>
      <c r="G358">
        <v>1.8</v>
      </c>
      <c r="H358" s="78" t="s">
        <v>662</v>
      </c>
      <c r="I358" s="78" t="s">
        <v>1450</v>
      </c>
      <c r="J358">
        <v>0</v>
      </c>
      <c r="K358">
        <v>0</v>
      </c>
      <c r="L358">
        <v>12</v>
      </c>
      <c r="M358">
        <v>6742</v>
      </c>
      <c r="N358" s="78" t="s">
        <v>1451</v>
      </c>
      <c r="O358">
        <v>1</v>
      </c>
      <c r="P358" s="82">
        <v>6.3</v>
      </c>
    </row>
    <row r="359" spans="1:16" x14ac:dyDescent="0.25">
      <c r="A359">
        <v>6800</v>
      </c>
      <c r="B359">
        <v>6800</v>
      </c>
      <c r="C359" s="78" t="s">
        <v>1452</v>
      </c>
      <c r="D359" s="78" t="s">
        <v>1401</v>
      </c>
      <c r="E359" s="78" t="s">
        <v>1401</v>
      </c>
      <c r="F359" s="78" t="s">
        <v>661</v>
      </c>
      <c r="G359">
        <v>1.72E-2</v>
      </c>
      <c r="H359" s="78" t="s">
        <v>662</v>
      </c>
      <c r="I359" s="78" t="s">
        <v>1453</v>
      </c>
      <c r="J359">
        <v>0</v>
      </c>
      <c r="K359">
        <v>0</v>
      </c>
      <c r="L359">
        <v>1000</v>
      </c>
      <c r="M359">
        <v>6800</v>
      </c>
      <c r="N359" s="78" t="s">
        <v>443</v>
      </c>
      <c r="O359">
        <v>20</v>
      </c>
      <c r="P359" s="82">
        <v>0.95</v>
      </c>
    </row>
    <row r="360" spans="1:16" x14ac:dyDescent="0.25">
      <c r="A360">
        <v>6801</v>
      </c>
      <c r="B360">
        <v>6801</v>
      </c>
      <c r="C360" s="78" t="s">
        <v>1454</v>
      </c>
      <c r="D360" s="78" t="s">
        <v>1401</v>
      </c>
      <c r="E360" s="78" t="s">
        <v>1401</v>
      </c>
      <c r="F360" s="78" t="s">
        <v>661</v>
      </c>
      <c r="G360">
        <v>2.5999999999999999E-3</v>
      </c>
      <c r="H360" s="78" t="s">
        <v>662</v>
      </c>
      <c r="I360" s="78" t="s">
        <v>1455</v>
      </c>
      <c r="J360">
        <v>0</v>
      </c>
      <c r="K360">
        <v>0</v>
      </c>
      <c r="L360">
        <v>3000</v>
      </c>
      <c r="M360">
        <v>6801</v>
      </c>
      <c r="N360" s="78" t="s">
        <v>446</v>
      </c>
      <c r="O360">
        <v>10</v>
      </c>
      <c r="P360" s="82">
        <v>0.25</v>
      </c>
    </row>
    <row r="361" spans="1:16" x14ac:dyDescent="0.25">
      <c r="A361">
        <v>6802</v>
      </c>
      <c r="B361">
        <v>6802</v>
      </c>
      <c r="C361" s="78" t="s">
        <v>1456</v>
      </c>
      <c r="D361" s="78" t="s">
        <v>1401</v>
      </c>
      <c r="E361" s="78" t="s">
        <v>1401</v>
      </c>
      <c r="F361" s="78" t="s">
        <v>661</v>
      </c>
      <c r="G361">
        <v>4.4999999999999997E-3</v>
      </c>
      <c r="H361" s="78" t="s">
        <v>662</v>
      </c>
      <c r="I361" s="78" t="s">
        <v>1457</v>
      </c>
      <c r="J361">
        <v>0</v>
      </c>
      <c r="K361">
        <v>0</v>
      </c>
      <c r="L361">
        <v>3000</v>
      </c>
      <c r="M361">
        <v>6802</v>
      </c>
      <c r="N361" s="78" t="s">
        <v>449</v>
      </c>
      <c r="O361">
        <v>10</v>
      </c>
      <c r="P361" s="82">
        <v>0.25</v>
      </c>
    </row>
    <row r="362" spans="1:16" x14ac:dyDescent="0.25">
      <c r="A362">
        <v>6810</v>
      </c>
      <c r="B362">
        <v>6810</v>
      </c>
      <c r="C362" s="78" t="s">
        <v>1458</v>
      </c>
      <c r="D362" s="78" t="s">
        <v>1401</v>
      </c>
      <c r="E362" s="78" t="s">
        <v>1401</v>
      </c>
      <c r="F362" s="78" t="s">
        <v>661</v>
      </c>
      <c r="G362">
        <v>0.89</v>
      </c>
      <c r="H362" s="78" t="s">
        <v>662</v>
      </c>
      <c r="I362" s="78" t="s">
        <v>1459</v>
      </c>
      <c r="J362">
        <v>0</v>
      </c>
      <c r="K362">
        <v>0</v>
      </c>
      <c r="L362">
        <v>12</v>
      </c>
      <c r="M362">
        <v>6810</v>
      </c>
      <c r="N362" s="78" t="s">
        <v>452</v>
      </c>
      <c r="O362">
        <v>1</v>
      </c>
      <c r="P362" s="82">
        <v>2.75</v>
      </c>
    </row>
    <row r="363" spans="1:16" x14ac:dyDescent="0.25">
      <c r="A363">
        <v>6811</v>
      </c>
      <c r="B363">
        <v>6811</v>
      </c>
      <c r="C363" s="78" t="s">
        <v>1460</v>
      </c>
      <c r="D363" s="78" t="s">
        <v>1401</v>
      </c>
      <c r="E363" s="78" t="s">
        <v>1401</v>
      </c>
      <c r="F363" s="78" t="s">
        <v>661</v>
      </c>
      <c r="G363">
        <v>0.56999999999999995</v>
      </c>
      <c r="H363" s="78" t="s">
        <v>662</v>
      </c>
      <c r="I363" s="78" t="s">
        <v>1461</v>
      </c>
      <c r="J363">
        <v>0</v>
      </c>
      <c r="K363">
        <v>0</v>
      </c>
      <c r="L363">
        <v>12</v>
      </c>
      <c r="M363">
        <v>6811</v>
      </c>
      <c r="N363" s="78" t="s">
        <v>454</v>
      </c>
      <c r="O363">
        <v>1</v>
      </c>
      <c r="P363" s="82">
        <v>1.8</v>
      </c>
    </row>
    <row r="364" spans="1:16" x14ac:dyDescent="0.25">
      <c r="A364">
        <v>6812</v>
      </c>
      <c r="B364">
        <v>6812</v>
      </c>
      <c r="C364" s="78" t="s">
        <v>1462</v>
      </c>
      <c r="D364" s="78" t="s">
        <v>1401</v>
      </c>
      <c r="E364" s="78" t="s">
        <v>1401</v>
      </c>
      <c r="F364" s="78" t="s">
        <v>661</v>
      </c>
      <c r="G364">
        <v>0.59409999999999996</v>
      </c>
      <c r="H364" s="78" t="s">
        <v>662</v>
      </c>
      <c r="I364" s="78" t="s">
        <v>1463</v>
      </c>
      <c r="J364">
        <v>0</v>
      </c>
      <c r="K364">
        <v>0</v>
      </c>
      <c r="L364">
        <v>12</v>
      </c>
      <c r="M364">
        <v>6812</v>
      </c>
      <c r="N364" s="78" t="s">
        <v>457</v>
      </c>
      <c r="O364">
        <v>1</v>
      </c>
      <c r="P364" s="82">
        <v>1.8</v>
      </c>
    </row>
    <row r="365" spans="1:16" x14ac:dyDescent="0.25">
      <c r="A365">
        <v>6820</v>
      </c>
      <c r="B365">
        <v>6820</v>
      </c>
      <c r="C365" s="78" t="s">
        <v>1464</v>
      </c>
      <c r="D365" s="78" t="s">
        <v>1401</v>
      </c>
      <c r="E365" s="78" t="s">
        <v>1401</v>
      </c>
      <c r="F365" s="78" t="s">
        <v>661</v>
      </c>
      <c r="G365">
        <v>0.78</v>
      </c>
      <c r="H365" s="78" t="s">
        <v>662</v>
      </c>
      <c r="I365" s="78" t="s">
        <v>1465</v>
      </c>
      <c r="J365">
        <v>0</v>
      </c>
      <c r="K365">
        <v>0</v>
      </c>
      <c r="L365">
        <v>24</v>
      </c>
      <c r="M365">
        <v>6820</v>
      </c>
      <c r="N365" s="78" t="s">
        <v>460</v>
      </c>
      <c r="O365">
        <v>1</v>
      </c>
      <c r="P365" s="82">
        <v>3</v>
      </c>
    </row>
    <row r="366" spans="1:16" x14ac:dyDescent="0.25">
      <c r="A366">
        <v>7000</v>
      </c>
      <c r="B366">
        <v>7000</v>
      </c>
      <c r="C366" s="78" t="s">
        <v>1466</v>
      </c>
      <c r="D366" s="78" t="s">
        <v>1444</v>
      </c>
      <c r="E366" s="78" t="s">
        <v>1444</v>
      </c>
      <c r="F366" s="78" t="s">
        <v>661</v>
      </c>
      <c r="G366">
        <v>1.28</v>
      </c>
      <c r="H366" s="78" t="s">
        <v>662</v>
      </c>
      <c r="I366" s="78" t="s">
        <v>1467</v>
      </c>
      <c r="J366">
        <v>0</v>
      </c>
      <c r="K366">
        <v>0</v>
      </c>
      <c r="L366">
        <v>24</v>
      </c>
      <c r="M366">
        <v>7000</v>
      </c>
      <c r="N366" s="78" t="s">
        <v>398</v>
      </c>
      <c r="O366">
        <v>1</v>
      </c>
      <c r="P366" s="82">
        <v>4.2</v>
      </c>
    </row>
    <row r="367" spans="1:16" x14ac:dyDescent="0.25">
      <c r="A367">
        <v>7002</v>
      </c>
      <c r="B367">
        <v>7002</v>
      </c>
      <c r="C367" s="78" t="s">
        <v>1468</v>
      </c>
      <c r="D367" s="78" t="s">
        <v>1444</v>
      </c>
      <c r="E367" s="78" t="s">
        <v>1444</v>
      </c>
      <c r="F367" s="78" t="s">
        <v>661</v>
      </c>
      <c r="G367">
        <v>1.3919999999999999</v>
      </c>
      <c r="H367" s="78" t="s">
        <v>662</v>
      </c>
      <c r="I367" s="78" t="s">
        <v>1469</v>
      </c>
      <c r="J367">
        <v>0</v>
      </c>
      <c r="K367">
        <v>0</v>
      </c>
      <c r="L367">
        <v>24</v>
      </c>
      <c r="M367">
        <v>7002</v>
      </c>
      <c r="N367" s="78" t="s">
        <v>401</v>
      </c>
      <c r="O367">
        <v>1</v>
      </c>
      <c r="P367" s="82">
        <v>4.2</v>
      </c>
    </row>
    <row r="368" spans="1:16" x14ac:dyDescent="0.25">
      <c r="A368">
        <v>7003</v>
      </c>
      <c r="B368">
        <v>7003</v>
      </c>
      <c r="C368" s="78" t="s">
        <v>1470</v>
      </c>
      <c r="D368" s="78" t="s">
        <v>1444</v>
      </c>
      <c r="E368" s="78" t="s">
        <v>1444</v>
      </c>
      <c r="F368" s="78" t="s">
        <v>661</v>
      </c>
      <c r="G368">
        <v>1.4216</v>
      </c>
      <c r="H368" s="78" t="s">
        <v>662</v>
      </c>
      <c r="I368" s="78" t="s">
        <v>1471</v>
      </c>
      <c r="J368">
        <v>0</v>
      </c>
      <c r="K368">
        <v>0</v>
      </c>
      <c r="L368">
        <v>24</v>
      </c>
      <c r="M368">
        <v>7003</v>
      </c>
      <c r="N368" s="78" t="s">
        <v>404</v>
      </c>
      <c r="O368">
        <v>1</v>
      </c>
      <c r="P368" s="82">
        <v>4.2</v>
      </c>
    </row>
    <row r="369" spans="1:16" x14ac:dyDescent="0.25">
      <c r="A369">
        <v>7004</v>
      </c>
      <c r="B369">
        <v>7004</v>
      </c>
      <c r="C369" s="78" t="s">
        <v>1472</v>
      </c>
      <c r="D369" s="78" t="s">
        <v>1444</v>
      </c>
      <c r="E369" s="78" t="s">
        <v>1444</v>
      </c>
      <c r="F369" s="78" t="s">
        <v>661</v>
      </c>
      <c r="G369">
        <v>1.43</v>
      </c>
      <c r="H369" s="78" t="s">
        <v>662</v>
      </c>
      <c r="I369" s="78" t="s">
        <v>1473</v>
      </c>
      <c r="J369">
        <v>0</v>
      </c>
      <c r="K369">
        <v>0</v>
      </c>
      <c r="L369">
        <v>24</v>
      </c>
      <c r="M369">
        <v>7004</v>
      </c>
      <c r="N369" s="78" t="s">
        <v>407</v>
      </c>
      <c r="O369">
        <v>1</v>
      </c>
      <c r="P369" s="82">
        <v>4.2</v>
      </c>
    </row>
    <row r="370" spans="1:16" x14ac:dyDescent="0.25">
      <c r="A370">
        <v>7005</v>
      </c>
      <c r="B370">
        <v>7005</v>
      </c>
      <c r="C370" s="78" t="s">
        <v>1474</v>
      </c>
      <c r="D370" s="78" t="s">
        <v>1444</v>
      </c>
      <c r="E370" s="78" t="s">
        <v>1444</v>
      </c>
      <c r="F370" s="78" t="s">
        <v>661</v>
      </c>
      <c r="G370">
        <v>0.67</v>
      </c>
      <c r="H370" s="78" t="s">
        <v>662</v>
      </c>
      <c r="I370" s="78" t="s">
        <v>1475</v>
      </c>
      <c r="J370">
        <v>0</v>
      </c>
      <c r="K370">
        <v>0</v>
      </c>
      <c r="L370">
        <v>24</v>
      </c>
      <c r="M370">
        <v>7005</v>
      </c>
      <c r="N370" s="78" t="s">
        <v>410</v>
      </c>
      <c r="O370">
        <v>1</v>
      </c>
      <c r="P370" s="82">
        <v>2.2000000000000002</v>
      </c>
    </row>
    <row r="371" spans="1:16" x14ac:dyDescent="0.25">
      <c r="A371">
        <v>7006</v>
      </c>
      <c r="B371">
        <v>7006</v>
      </c>
      <c r="C371" s="78" t="s">
        <v>1476</v>
      </c>
      <c r="D371" s="78" t="s">
        <v>1444</v>
      </c>
      <c r="E371" s="78" t="s">
        <v>1444</v>
      </c>
      <c r="F371" s="78" t="s">
        <v>661</v>
      </c>
      <c r="G371">
        <v>0.67</v>
      </c>
      <c r="H371" s="78" t="s">
        <v>662</v>
      </c>
      <c r="I371" s="78" t="s">
        <v>1477</v>
      </c>
      <c r="J371">
        <v>0</v>
      </c>
      <c r="K371">
        <v>0</v>
      </c>
      <c r="L371">
        <v>24</v>
      </c>
      <c r="M371">
        <v>7006</v>
      </c>
      <c r="N371" s="78" t="s">
        <v>413</v>
      </c>
      <c r="O371">
        <v>1</v>
      </c>
      <c r="P371" s="82">
        <v>2.2000000000000002</v>
      </c>
    </row>
    <row r="372" spans="1:16" x14ac:dyDescent="0.25">
      <c r="A372">
        <v>7007</v>
      </c>
      <c r="B372">
        <v>7007</v>
      </c>
      <c r="C372" s="78" t="s">
        <v>1478</v>
      </c>
      <c r="D372" s="78" t="s">
        <v>1444</v>
      </c>
      <c r="E372" s="78" t="s">
        <v>1444</v>
      </c>
      <c r="F372" s="78" t="s">
        <v>661</v>
      </c>
      <c r="G372">
        <v>1.26</v>
      </c>
      <c r="H372" s="78" t="s">
        <v>662</v>
      </c>
      <c r="I372" s="78" t="s">
        <v>1479</v>
      </c>
      <c r="J372">
        <v>0</v>
      </c>
      <c r="K372">
        <v>0</v>
      </c>
      <c r="L372">
        <v>24</v>
      </c>
      <c r="M372">
        <v>7007</v>
      </c>
      <c r="N372" s="78" t="s">
        <v>415</v>
      </c>
      <c r="O372">
        <v>1</v>
      </c>
      <c r="P372" s="82">
        <v>5.5</v>
      </c>
    </row>
    <row r="373" spans="1:16" x14ac:dyDescent="0.25">
      <c r="A373">
        <v>7009</v>
      </c>
      <c r="B373">
        <v>7009</v>
      </c>
      <c r="C373" s="78" t="s">
        <v>1480</v>
      </c>
      <c r="D373" s="78" t="s">
        <v>1444</v>
      </c>
      <c r="E373" s="78" t="s">
        <v>1444</v>
      </c>
      <c r="F373" s="78" t="s">
        <v>661</v>
      </c>
      <c r="G373">
        <v>1.65</v>
      </c>
      <c r="H373" s="78" t="s">
        <v>662</v>
      </c>
      <c r="I373" s="78" t="s">
        <v>1481</v>
      </c>
      <c r="J373">
        <v>0</v>
      </c>
      <c r="K373">
        <v>0</v>
      </c>
      <c r="L373">
        <v>70</v>
      </c>
      <c r="M373">
        <v>7009</v>
      </c>
      <c r="N373" s="78" t="s">
        <v>418</v>
      </c>
      <c r="O373">
        <v>1</v>
      </c>
      <c r="P373" s="82">
        <v>4.4000000000000004</v>
      </c>
    </row>
    <row r="374" spans="1:16" x14ac:dyDescent="0.25">
      <c r="A374">
        <v>7015</v>
      </c>
      <c r="B374">
        <v>7015</v>
      </c>
      <c r="C374" s="78" t="s">
        <v>1482</v>
      </c>
      <c r="D374" s="78" t="s">
        <v>1444</v>
      </c>
      <c r="E374" s="78" t="s">
        <v>1444</v>
      </c>
      <c r="F374" s="78" t="s">
        <v>661</v>
      </c>
      <c r="G374">
        <v>0.75</v>
      </c>
      <c r="H374" s="78" t="s">
        <v>662</v>
      </c>
      <c r="I374" s="78" t="s">
        <v>1483</v>
      </c>
      <c r="J374">
        <v>0</v>
      </c>
      <c r="K374">
        <v>0</v>
      </c>
      <c r="L374">
        <v>24</v>
      </c>
      <c r="M374">
        <v>7015</v>
      </c>
      <c r="N374" s="78" t="s">
        <v>421</v>
      </c>
      <c r="O374">
        <v>1</v>
      </c>
      <c r="P374" s="82">
        <v>3</v>
      </c>
    </row>
    <row r="375" spans="1:16" x14ac:dyDescent="0.25">
      <c r="A375">
        <v>7018</v>
      </c>
      <c r="B375">
        <v>7018</v>
      </c>
      <c r="C375" s="78" t="s">
        <v>1484</v>
      </c>
      <c r="D375" s="78" t="s">
        <v>1444</v>
      </c>
      <c r="E375" s="78" t="s">
        <v>1444</v>
      </c>
      <c r="F375" s="78" t="s">
        <v>661</v>
      </c>
      <c r="G375">
        <v>1.23</v>
      </c>
      <c r="H375" s="78" t="s">
        <v>662</v>
      </c>
      <c r="I375" s="78" t="s">
        <v>1817</v>
      </c>
      <c r="J375">
        <v>0</v>
      </c>
      <c r="K375">
        <v>0</v>
      </c>
      <c r="L375">
        <v>24</v>
      </c>
      <c r="M375">
        <v>7018</v>
      </c>
      <c r="N375" s="78" t="s">
        <v>424</v>
      </c>
      <c r="O375">
        <v>1</v>
      </c>
      <c r="P375" s="82">
        <v>3.6</v>
      </c>
    </row>
    <row r="376" spans="1:16" x14ac:dyDescent="0.25">
      <c r="A376">
        <v>7040</v>
      </c>
      <c r="B376">
        <v>7040</v>
      </c>
      <c r="C376" s="78" t="s">
        <v>1485</v>
      </c>
      <c r="D376" s="78" t="s">
        <v>1444</v>
      </c>
      <c r="E376" s="78" t="s">
        <v>1444</v>
      </c>
      <c r="F376" s="78" t="s">
        <v>661</v>
      </c>
      <c r="G376">
        <v>2.79</v>
      </c>
      <c r="H376" s="78" t="s">
        <v>662</v>
      </c>
      <c r="I376" s="78" t="s">
        <v>1486</v>
      </c>
      <c r="J376">
        <v>0</v>
      </c>
      <c r="K376">
        <v>0</v>
      </c>
      <c r="L376">
        <v>12</v>
      </c>
      <c r="M376">
        <v>7040</v>
      </c>
      <c r="N376" s="78" t="s">
        <v>432</v>
      </c>
      <c r="O376">
        <v>1</v>
      </c>
      <c r="P376" s="82">
        <v>9.75</v>
      </c>
    </row>
    <row r="377" spans="1:16" x14ac:dyDescent="0.25">
      <c r="A377">
        <v>7051</v>
      </c>
      <c r="B377">
        <v>7051</v>
      </c>
      <c r="C377" s="78" t="s">
        <v>1488</v>
      </c>
      <c r="D377" s="78" t="s">
        <v>1444</v>
      </c>
      <c r="E377" s="78" t="s">
        <v>1444</v>
      </c>
      <c r="F377" s="78" t="s">
        <v>661</v>
      </c>
      <c r="G377">
        <v>1.0900000000000001</v>
      </c>
      <c r="H377" s="78" t="s">
        <v>662</v>
      </c>
      <c r="I377" s="78" t="s">
        <v>1489</v>
      </c>
      <c r="J377">
        <v>0</v>
      </c>
      <c r="K377">
        <v>0</v>
      </c>
      <c r="L377">
        <v>60</v>
      </c>
      <c r="M377">
        <v>7051</v>
      </c>
      <c r="N377" s="78" t="s">
        <v>438</v>
      </c>
      <c r="O377">
        <v>1</v>
      </c>
      <c r="P377" s="82">
        <v>3.65</v>
      </c>
    </row>
    <row r="378" spans="1:16" x14ac:dyDescent="0.25">
      <c r="A378">
        <v>7052</v>
      </c>
      <c r="B378">
        <v>7052</v>
      </c>
      <c r="C378" s="78" t="s">
        <v>1490</v>
      </c>
      <c r="D378" s="78" t="s">
        <v>1444</v>
      </c>
      <c r="E378" s="78" t="s">
        <v>1444</v>
      </c>
      <c r="F378" s="78" t="s">
        <v>661</v>
      </c>
      <c r="G378">
        <v>0.49</v>
      </c>
      <c r="H378" s="78" t="s">
        <v>662</v>
      </c>
      <c r="I378" s="78" t="s">
        <v>1491</v>
      </c>
      <c r="J378">
        <v>0</v>
      </c>
      <c r="K378">
        <v>0</v>
      </c>
      <c r="L378">
        <v>48</v>
      </c>
      <c r="M378">
        <v>7052</v>
      </c>
      <c r="N378" s="78" t="s">
        <v>439</v>
      </c>
      <c r="O378">
        <v>1</v>
      </c>
      <c r="P378" s="82">
        <v>1.65</v>
      </c>
    </row>
    <row r="379" spans="1:16" x14ac:dyDescent="0.25">
      <c r="A379">
        <v>7053</v>
      </c>
      <c r="B379">
        <v>7053</v>
      </c>
      <c r="C379" s="78" t="s">
        <v>1492</v>
      </c>
      <c r="D379" s="78" t="s">
        <v>1444</v>
      </c>
      <c r="E379" s="78" t="s">
        <v>1444</v>
      </c>
      <c r="F379" s="78" t="s">
        <v>661</v>
      </c>
      <c r="G379">
        <v>0.79</v>
      </c>
      <c r="H379" s="78" t="s">
        <v>662</v>
      </c>
      <c r="I379" s="78" t="s">
        <v>1493</v>
      </c>
      <c r="J379">
        <v>0</v>
      </c>
      <c r="K379">
        <v>0</v>
      </c>
      <c r="L379">
        <v>48</v>
      </c>
      <c r="M379">
        <v>7053</v>
      </c>
      <c r="N379" s="78" t="s">
        <v>441</v>
      </c>
      <c r="O379">
        <v>1</v>
      </c>
      <c r="P379" s="82">
        <v>2.5</v>
      </c>
    </row>
    <row r="380" spans="1:16" x14ac:dyDescent="0.25">
      <c r="A380">
        <v>7054</v>
      </c>
      <c r="B380">
        <v>7054</v>
      </c>
      <c r="C380" s="78" t="s">
        <v>1494</v>
      </c>
      <c r="D380" s="78" t="s">
        <v>1444</v>
      </c>
      <c r="E380" s="78" t="s">
        <v>1444</v>
      </c>
      <c r="F380" s="78" t="s">
        <v>661</v>
      </c>
      <c r="G380">
        <v>1.2</v>
      </c>
      <c r="H380" s="78" t="s">
        <v>662</v>
      </c>
      <c r="I380" s="78" t="s">
        <v>1495</v>
      </c>
      <c r="J380">
        <v>0</v>
      </c>
      <c r="K380">
        <v>0</v>
      </c>
      <c r="L380">
        <v>12</v>
      </c>
      <c r="M380">
        <v>7054</v>
      </c>
      <c r="N380" s="78" t="s">
        <v>1496</v>
      </c>
      <c r="O380">
        <v>1</v>
      </c>
      <c r="P380" s="82">
        <v>4.2</v>
      </c>
    </row>
    <row r="381" spans="1:16" x14ac:dyDescent="0.25">
      <c r="A381">
        <v>7055</v>
      </c>
      <c r="B381">
        <v>7055</v>
      </c>
      <c r="C381" s="78" t="s">
        <v>1800</v>
      </c>
      <c r="D381" s="78" t="s">
        <v>1444</v>
      </c>
      <c r="E381" s="78" t="s">
        <v>1444</v>
      </c>
      <c r="F381" s="78" t="s">
        <v>661</v>
      </c>
      <c r="G381">
        <v>1.2</v>
      </c>
      <c r="H381" s="78" t="s">
        <v>662</v>
      </c>
      <c r="I381" s="78" t="s">
        <v>1497</v>
      </c>
      <c r="J381">
        <v>0</v>
      </c>
      <c r="K381">
        <v>0</v>
      </c>
      <c r="L381">
        <v>12</v>
      </c>
      <c r="M381">
        <v>7055</v>
      </c>
      <c r="N381" s="78" t="s">
        <v>1498</v>
      </c>
      <c r="O381">
        <v>1</v>
      </c>
      <c r="P381" s="82">
        <v>4.2</v>
      </c>
    </row>
    <row r="382" spans="1:16" x14ac:dyDescent="0.25">
      <c r="A382">
        <v>7058</v>
      </c>
      <c r="B382">
        <v>7058</v>
      </c>
      <c r="C382" s="78" t="s">
        <v>1499</v>
      </c>
      <c r="D382" s="78" t="s">
        <v>1444</v>
      </c>
      <c r="E382" s="78" t="s">
        <v>1444</v>
      </c>
      <c r="F382" s="78" t="s">
        <v>661</v>
      </c>
      <c r="G382">
        <v>0.9</v>
      </c>
      <c r="H382" s="78" t="s">
        <v>662</v>
      </c>
      <c r="I382" s="78" t="s">
        <v>1500</v>
      </c>
      <c r="J382">
        <v>0</v>
      </c>
      <c r="K382">
        <v>0</v>
      </c>
      <c r="L382">
        <v>48</v>
      </c>
      <c r="M382">
        <v>7058</v>
      </c>
      <c r="N382" s="78" t="s">
        <v>1501</v>
      </c>
      <c r="O382">
        <v>1</v>
      </c>
      <c r="P382" s="82">
        <v>3.15</v>
      </c>
    </row>
    <row r="383" spans="1:16" x14ac:dyDescent="0.25">
      <c r="A383">
        <v>7070</v>
      </c>
      <c r="B383">
        <v>7070</v>
      </c>
      <c r="C383" s="78" t="s">
        <v>1502</v>
      </c>
      <c r="D383" s="78" t="s">
        <v>1444</v>
      </c>
      <c r="E383" s="78" t="s">
        <v>1444</v>
      </c>
      <c r="F383" s="78" t="s">
        <v>661</v>
      </c>
      <c r="G383">
        <v>1.1000000000000001</v>
      </c>
      <c r="H383" s="78" t="s">
        <v>662</v>
      </c>
      <c r="I383" s="78" t="s">
        <v>1503</v>
      </c>
      <c r="J383">
        <v>0</v>
      </c>
      <c r="K383">
        <v>0</v>
      </c>
      <c r="L383">
        <v>30</v>
      </c>
      <c r="M383">
        <v>7070</v>
      </c>
      <c r="N383" s="78" t="s">
        <v>458</v>
      </c>
      <c r="O383">
        <v>1</v>
      </c>
      <c r="P383" s="82">
        <v>3.75</v>
      </c>
    </row>
    <row r="384" spans="1:16" x14ac:dyDescent="0.25">
      <c r="A384">
        <v>7080</v>
      </c>
      <c r="B384">
        <v>7080</v>
      </c>
      <c r="C384" s="78" t="s">
        <v>1504</v>
      </c>
      <c r="D384" s="78" t="s">
        <v>1444</v>
      </c>
      <c r="E384" s="78" t="s">
        <v>1444</v>
      </c>
      <c r="F384" s="78" t="s">
        <v>661</v>
      </c>
      <c r="G384">
        <v>1.4516</v>
      </c>
      <c r="H384" s="78" t="s">
        <v>662</v>
      </c>
      <c r="I384" s="78" t="s">
        <v>1505</v>
      </c>
      <c r="J384">
        <v>0</v>
      </c>
      <c r="K384">
        <v>0</v>
      </c>
      <c r="L384">
        <v>12</v>
      </c>
      <c r="M384">
        <v>7080</v>
      </c>
      <c r="N384" s="78" t="s">
        <v>461</v>
      </c>
      <c r="O384">
        <v>1</v>
      </c>
      <c r="P384" s="82">
        <v>4.75</v>
      </c>
    </row>
    <row r="385" spans="1:16" x14ac:dyDescent="0.25">
      <c r="A385">
        <v>7081</v>
      </c>
      <c r="B385">
        <v>7081</v>
      </c>
      <c r="C385" s="78" t="s">
        <v>1506</v>
      </c>
      <c r="D385" s="78" t="s">
        <v>1444</v>
      </c>
      <c r="E385" s="78" t="s">
        <v>1444</v>
      </c>
      <c r="F385" s="78" t="s">
        <v>661</v>
      </c>
      <c r="G385">
        <v>1.61</v>
      </c>
      <c r="H385" s="78" t="s">
        <v>662</v>
      </c>
      <c r="I385" s="78" t="s">
        <v>1507</v>
      </c>
      <c r="J385">
        <v>0</v>
      </c>
      <c r="K385">
        <v>0</v>
      </c>
      <c r="L385">
        <v>12</v>
      </c>
      <c r="M385">
        <v>7081</v>
      </c>
      <c r="N385" s="78" t="s">
        <v>463</v>
      </c>
      <c r="O385">
        <v>1</v>
      </c>
      <c r="P385" s="82">
        <v>5</v>
      </c>
    </row>
    <row r="386" spans="1:16" x14ac:dyDescent="0.25">
      <c r="A386">
        <v>7100</v>
      </c>
      <c r="B386">
        <v>7100</v>
      </c>
      <c r="C386" s="78" t="s">
        <v>1508</v>
      </c>
      <c r="D386" s="78" t="s">
        <v>1509</v>
      </c>
      <c r="E386" s="78" t="s">
        <v>1509</v>
      </c>
      <c r="F386" s="78" t="s">
        <v>661</v>
      </c>
      <c r="G386">
        <v>2</v>
      </c>
      <c r="H386" s="78" t="s">
        <v>662</v>
      </c>
      <c r="I386" s="78" t="s">
        <v>1510</v>
      </c>
      <c r="J386">
        <v>0</v>
      </c>
      <c r="K386">
        <v>0</v>
      </c>
      <c r="L386">
        <v>12</v>
      </c>
      <c r="M386">
        <v>7100</v>
      </c>
      <c r="N386" s="78" t="s">
        <v>528</v>
      </c>
      <c r="O386">
        <v>1</v>
      </c>
      <c r="P386" s="82">
        <v>7</v>
      </c>
    </row>
    <row r="387" spans="1:16" x14ac:dyDescent="0.25">
      <c r="A387">
        <v>7101</v>
      </c>
      <c r="B387">
        <v>7101</v>
      </c>
      <c r="C387" s="78" t="s">
        <v>1511</v>
      </c>
      <c r="D387" s="78" t="s">
        <v>1509</v>
      </c>
      <c r="E387" s="78" t="s">
        <v>1509</v>
      </c>
      <c r="F387" s="78" t="s">
        <v>661</v>
      </c>
      <c r="G387">
        <v>1.78</v>
      </c>
      <c r="H387" s="78" t="s">
        <v>662</v>
      </c>
      <c r="I387" s="78" t="s">
        <v>1512</v>
      </c>
      <c r="J387">
        <v>0</v>
      </c>
      <c r="K387">
        <v>0</v>
      </c>
      <c r="L387">
        <v>12</v>
      </c>
      <c r="M387">
        <v>7101</v>
      </c>
      <c r="N387" s="78" t="s">
        <v>531</v>
      </c>
      <c r="O387">
        <v>1</v>
      </c>
      <c r="P387" s="82">
        <v>5.8</v>
      </c>
    </row>
    <row r="388" spans="1:16" x14ac:dyDescent="0.25">
      <c r="A388">
        <v>7110</v>
      </c>
      <c r="B388">
        <v>7110</v>
      </c>
      <c r="C388" s="78" t="s">
        <v>1513</v>
      </c>
      <c r="D388" s="78" t="s">
        <v>1509</v>
      </c>
      <c r="E388" s="78" t="s">
        <v>1509</v>
      </c>
      <c r="F388" s="78" t="s">
        <v>661</v>
      </c>
      <c r="G388">
        <v>0.21410000000000001</v>
      </c>
      <c r="H388" s="78" t="s">
        <v>662</v>
      </c>
      <c r="I388" s="78" t="s">
        <v>1514</v>
      </c>
      <c r="J388">
        <v>0</v>
      </c>
      <c r="K388">
        <v>0</v>
      </c>
      <c r="L388">
        <v>96</v>
      </c>
      <c r="M388">
        <v>7110</v>
      </c>
      <c r="N388" s="78" t="s">
        <v>534</v>
      </c>
      <c r="O388">
        <v>1</v>
      </c>
      <c r="P388" s="82">
        <v>0.75</v>
      </c>
    </row>
    <row r="389" spans="1:16" x14ac:dyDescent="0.25">
      <c r="A389">
        <v>7111</v>
      </c>
      <c r="B389">
        <v>7111</v>
      </c>
      <c r="C389" s="78" t="s">
        <v>1515</v>
      </c>
      <c r="D389" s="78" t="s">
        <v>1509</v>
      </c>
      <c r="E389" s="78" t="s">
        <v>1509</v>
      </c>
      <c r="F389" s="78" t="s">
        <v>661</v>
      </c>
      <c r="G389">
        <v>0.21410000000000001</v>
      </c>
      <c r="H389" s="78" t="s">
        <v>662</v>
      </c>
      <c r="I389" s="78" t="s">
        <v>1516</v>
      </c>
      <c r="J389">
        <v>0</v>
      </c>
      <c r="K389">
        <v>0</v>
      </c>
      <c r="L389">
        <v>96</v>
      </c>
      <c r="M389">
        <v>7111</v>
      </c>
      <c r="N389" s="78" t="s">
        <v>537</v>
      </c>
      <c r="O389">
        <v>1</v>
      </c>
      <c r="P389" s="82">
        <v>0.75</v>
      </c>
    </row>
    <row r="390" spans="1:16" x14ac:dyDescent="0.25">
      <c r="A390">
        <v>7120</v>
      </c>
      <c r="B390">
        <v>7120</v>
      </c>
      <c r="C390" s="78" t="s">
        <v>1517</v>
      </c>
      <c r="D390" s="78" t="s">
        <v>1509</v>
      </c>
      <c r="E390" s="78" t="s">
        <v>1509</v>
      </c>
      <c r="F390" s="78" t="s">
        <v>661</v>
      </c>
      <c r="G390">
        <v>0.38</v>
      </c>
      <c r="H390" s="78" t="s">
        <v>662</v>
      </c>
      <c r="I390" s="78" t="s">
        <v>1518</v>
      </c>
      <c r="J390">
        <v>0</v>
      </c>
      <c r="K390">
        <v>0</v>
      </c>
      <c r="L390">
        <v>36</v>
      </c>
      <c r="M390">
        <v>7120</v>
      </c>
      <c r="N390" s="78" t="s">
        <v>529</v>
      </c>
      <c r="O390">
        <v>3</v>
      </c>
      <c r="P390" s="82">
        <v>3.7</v>
      </c>
    </row>
    <row r="391" spans="1:16" x14ac:dyDescent="0.25">
      <c r="A391">
        <v>7121</v>
      </c>
      <c r="B391">
        <v>7121</v>
      </c>
      <c r="C391" s="78" t="s">
        <v>1519</v>
      </c>
      <c r="D391" s="78" t="s">
        <v>1509</v>
      </c>
      <c r="E391" s="78" t="s">
        <v>1509</v>
      </c>
      <c r="F391" s="78" t="s">
        <v>661</v>
      </c>
      <c r="G391">
        <v>0.38</v>
      </c>
      <c r="H391" s="78" t="s">
        <v>662</v>
      </c>
      <c r="I391" s="78" t="s">
        <v>1520</v>
      </c>
      <c r="J391">
        <v>0</v>
      </c>
      <c r="K391">
        <v>0</v>
      </c>
      <c r="L391">
        <v>36</v>
      </c>
      <c r="M391">
        <v>7121</v>
      </c>
      <c r="N391" s="78" t="s">
        <v>532</v>
      </c>
      <c r="O391">
        <v>3</v>
      </c>
      <c r="P391" s="82">
        <v>3.7</v>
      </c>
    </row>
    <row r="392" spans="1:16" x14ac:dyDescent="0.25">
      <c r="A392">
        <v>7122</v>
      </c>
      <c r="B392">
        <v>7122</v>
      </c>
      <c r="C392" s="78" t="s">
        <v>1521</v>
      </c>
      <c r="D392" s="78" t="s">
        <v>1509</v>
      </c>
      <c r="E392" s="78" t="s">
        <v>1509</v>
      </c>
      <c r="F392" s="78" t="s">
        <v>661</v>
      </c>
      <c r="G392">
        <v>0.38</v>
      </c>
      <c r="H392" s="78" t="s">
        <v>662</v>
      </c>
      <c r="I392" s="78" t="s">
        <v>1522</v>
      </c>
      <c r="J392">
        <v>0</v>
      </c>
      <c r="K392">
        <v>0</v>
      </c>
      <c r="L392">
        <v>36</v>
      </c>
      <c r="M392">
        <v>7122</v>
      </c>
      <c r="N392" s="78" t="s">
        <v>535</v>
      </c>
      <c r="O392">
        <v>3</v>
      </c>
      <c r="P392" s="82">
        <v>3.7</v>
      </c>
    </row>
    <row r="393" spans="1:16" x14ac:dyDescent="0.25">
      <c r="A393">
        <v>7123</v>
      </c>
      <c r="B393">
        <v>7123</v>
      </c>
      <c r="C393" s="78" t="s">
        <v>1523</v>
      </c>
      <c r="D393" s="78" t="s">
        <v>1509</v>
      </c>
      <c r="E393" s="78" t="s">
        <v>1509</v>
      </c>
      <c r="F393" s="78" t="s">
        <v>661</v>
      </c>
      <c r="G393">
        <v>0.38</v>
      </c>
      <c r="H393" s="78" t="s">
        <v>662</v>
      </c>
      <c r="I393" s="78" t="s">
        <v>1524</v>
      </c>
      <c r="J393">
        <v>0</v>
      </c>
      <c r="K393">
        <v>0</v>
      </c>
      <c r="L393">
        <v>36</v>
      </c>
      <c r="M393">
        <v>7123</v>
      </c>
      <c r="N393" s="78" t="s">
        <v>538</v>
      </c>
      <c r="O393">
        <v>3</v>
      </c>
      <c r="P393" s="82">
        <v>3.7</v>
      </c>
    </row>
    <row r="394" spans="1:16" x14ac:dyDescent="0.25">
      <c r="A394">
        <v>7124</v>
      </c>
      <c r="B394">
        <v>7124</v>
      </c>
      <c r="C394" s="78" t="s">
        <v>1525</v>
      </c>
      <c r="D394" s="78" t="s">
        <v>1509</v>
      </c>
      <c r="E394" s="78" t="s">
        <v>1509</v>
      </c>
      <c r="F394" s="78" t="s">
        <v>661</v>
      </c>
      <c r="G394">
        <v>0.38</v>
      </c>
      <c r="H394" s="78" t="s">
        <v>662</v>
      </c>
      <c r="I394" s="78" t="s">
        <v>1526</v>
      </c>
      <c r="J394">
        <v>0</v>
      </c>
      <c r="K394">
        <v>0</v>
      </c>
      <c r="L394">
        <v>36</v>
      </c>
      <c r="M394">
        <v>7124</v>
      </c>
      <c r="N394" s="78" t="s">
        <v>541</v>
      </c>
      <c r="O394">
        <v>3</v>
      </c>
      <c r="P394" s="82">
        <v>3.7</v>
      </c>
    </row>
    <row r="395" spans="1:16" x14ac:dyDescent="0.25">
      <c r="A395">
        <v>7125</v>
      </c>
      <c r="B395">
        <v>7125</v>
      </c>
      <c r="C395" s="78" t="s">
        <v>1527</v>
      </c>
      <c r="D395" s="78" t="s">
        <v>1509</v>
      </c>
      <c r="E395" s="78" t="s">
        <v>1509</v>
      </c>
      <c r="F395" s="78" t="s">
        <v>661</v>
      </c>
      <c r="G395">
        <v>0.38</v>
      </c>
      <c r="H395" s="78" t="s">
        <v>662</v>
      </c>
      <c r="I395" s="78" t="s">
        <v>1528</v>
      </c>
      <c r="J395">
        <v>0</v>
      </c>
      <c r="K395">
        <v>0</v>
      </c>
      <c r="L395">
        <v>36</v>
      </c>
      <c r="M395">
        <v>7125</v>
      </c>
      <c r="N395" s="78" t="s">
        <v>544</v>
      </c>
      <c r="O395">
        <v>3</v>
      </c>
      <c r="P395" s="82">
        <v>3.7</v>
      </c>
    </row>
    <row r="396" spans="1:16" x14ac:dyDescent="0.25">
      <c r="A396">
        <v>7126</v>
      </c>
      <c r="B396">
        <v>7126</v>
      </c>
      <c r="C396" s="78" t="s">
        <v>1529</v>
      </c>
      <c r="D396" s="78" t="s">
        <v>1509</v>
      </c>
      <c r="E396" s="78" t="s">
        <v>1509</v>
      </c>
      <c r="F396" s="78" t="s">
        <v>661</v>
      </c>
      <c r="G396">
        <v>0.38</v>
      </c>
      <c r="H396" s="78" t="s">
        <v>662</v>
      </c>
      <c r="I396" s="78" t="s">
        <v>1530</v>
      </c>
      <c r="J396">
        <v>0</v>
      </c>
      <c r="K396">
        <v>0</v>
      </c>
      <c r="L396">
        <v>36</v>
      </c>
      <c r="M396">
        <v>7126</v>
      </c>
      <c r="N396" s="78" t="s">
        <v>1531</v>
      </c>
      <c r="O396">
        <v>3</v>
      </c>
      <c r="P396" s="82">
        <v>3.7</v>
      </c>
    </row>
    <row r="397" spans="1:16" x14ac:dyDescent="0.25">
      <c r="A397">
        <v>7130</v>
      </c>
      <c r="B397">
        <v>7120</v>
      </c>
      <c r="C397" s="78" t="s">
        <v>1532</v>
      </c>
      <c r="D397" s="78" t="s">
        <v>1509</v>
      </c>
      <c r="E397" s="78" t="s">
        <v>1509</v>
      </c>
      <c r="F397" s="78" t="s">
        <v>661</v>
      </c>
      <c r="G397">
        <v>0.38</v>
      </c>
      <c r="H397" s="78" t="s">
        <v>662</v>
      </c>
      <c r="I397" s="78" t="s">
        <v>1533</v>
      </c>
      <c r="J397">
        <v>0</v>
      </c>
      <c r="K397">
        <v>0</v>
      </c>
      <c r="L397">
        <v>1</v>
      </c>
      <c r="M397">
        <v>7130</v>
      </c>
      <c r="N397" s="78" t="s">
        <v>530</v>
      </c>
      <c r="O397">
        <v>1</v>
      </c>
      <c r="P397" s="82">
        <v>1.2</v>
      </c>
    </row>
    <row r="398" spans="1:16" x14ac:dyDescent="0.25">
      <c r="A398">
        <v>7131</v>
      </c>
      <c r="B398">
        <v>7121</v>
      </c>
      <c r="C398" s="78" t="s">
        <v>1534</v>
      </c>
      <c r="D398" s="78" t="s">
        <v>1509</v>
      </c>
      <c r="E398" s="78" t="s">
        <v>1509</v>
      </c>
      <c r="F398" s="78" t="s">
        <v>661</v>
      </c>
      <c r="G398">
        <v>0.38</v>
      </c>
      <c r="H398" s="78" t="s">
        <v>662</v>
      </c>
      <c r="I398" s="78" t="s">
        <v>1535</v>
      </c>
      <c r="J398">
        <v>0</v>
      </c>
      <c r="K398">
        <v>0</v>
      </c>
      <c r="L398">
        <v>1</v>
      </c>
      <c r="M398">
        <v>7131</v>
      </c>
      <c r="N398" s="78" t="s">
        <v>533</v>
      </c>
      <c r="O398">
        <v>1</v>
      </c>
      <c r="P398" s="82">
        <v>1.2</v>
      </c>
    </row>
    <row r="399" spans="1:16" x14ac:dyDescent="0.25">
      <c r="A399">
        <v>7132</v>
      </c>
      <c r="B399">
        <v>7122</v>
      </c>
      <c r="C399" s="78" t="s">
        <v>1536</v>
      </c>
      <c r="D399" s="78" t="s">
        <v>1509</v>
      </c>
      <c r="E399" s="78" t="s">
        <v>1509</v>
      </c>
      <c r="F399" s="78" t="s">
        <v>661</v>
      </c>
      <c r="G399">
        <v>0.38</v>
      </c>
      <c r="H399" s="78" t="s">
        <v>662</v>
      </c>
      <c r="I399" s="78" t="s">
        <v>1537</v>
      </c>
      <c r="J399">
        <v>0</v>
      </c>
      <c r="K399">
        <v>0</v>
      </c>
      <c r="L399">
        <v>1</v>
      </c>
      <c r="M399">
        <v>7132</v>
      </c>
      <c r="N399" s="78" t="s">
        <v>536</v>
      </c>
      <c r="O399">
        <v>1</v>
      </c>
      <c r="P399" s="82">
        <v>1.2</v>
      </c>
    </row>
    <row r="400" spans="1:16" x14ac:dyDescent="0.25">
      <c r="A400">
        <v>7133</v>
      </c>
      <c r="B400">
        <v>7123</v>
      </c>
      <c r="C400" s="78" t="s">
        <v>1538</v>
      </c>
      <c r="D400" s="78" t="s">
        <v>1509</v>
      </c>
      <c r="E400" s="78" t="s">
        <v>1509</v>
      </c>
      <c r="F400" s="78" t="s">
        <v>661</v>
      </c>
      <c r="G400">
        <v>0.38</v>
      </c>
      <c r="H400" s="78" t="s">
        <v>662</v>
      </c>
      <c r="I400" s="78" t="s">
        <v>1539</v>
      </c>
      <c r="J400">
        <v>0</v>
      </c>
      <c r="K400">
        <v>0</v>
      </c>
      <c r="L400">
        <v>1</v>
      </c>
      <c r="M400">
        <v>7133</v>
      </c>
      <c r="N400" s="78" t="s">
        <v>539</v>
      </c>
      <c r="O400">
        <v>1</v>
      </c>
      <c r="P400" s="82">
        <v>1.2</v>
      </c>
    </row>
    <row r="401" spans="1:16" x14ac:dyDescent="0.25">
      <c r="A401">
        <v>7134</v>
      </c>
      <c r="B401">
        <v>7124</v>
      </c>
      <c r="C401" s="78" t="s">
        <v>1540</v>
      </c>
      <c r="D401" s="78" t="s">
        <v>1509</v>
      </c>
      <c r="E401" s="78" t="s">
        <v>1509</v>
      </c>
      <c r="F401" s="78" t="s">
        <v>661</v>
      </c>
      <c r="G401">
        <v>0.38</v>
      </c>
      <c r="H401" s="78" t="s">
        <v>662</v>
      </c>
      <c r="I401" s="78" t="s">
        <v>1541</v>
      </c>
      <c r="J401">
        <v>0</v>
      </c>
      <c r="K401">
        <v>0</v>
      </c>
      <c r="L401">
        <v>1</v>
      </c>
      <c r="M401">
        <v>7134</v>
      </c>
      <c r="N401" s="78" t="s">
        <v>542</v>
      </c>
      <c r="O401">
        <v>1</v>
      </c>
      <c r="P401" s="82">
        <v>1.2</v>
      </c>
    </row>
    <row r="402" spans="1:16" x14ac:dyDescent="0.25">
      <c r="A402">
        <v>7135</v>
      </c>
      <c r="B402">
        <v>7125</v>
      </c>
      <c r="C402" s="78" t="s">
        <v>545</v>
      </c>
      <c r="D402" s="78" t="s">
        <v>1509</v>
      </c>
      <c r="E402" s="78" t="s">
        <v>1509</v>
      </c>
      <c r="F402" s="78" t="s">
        <v>661</v>
      </c>
      <c r="G402">
        <v>0.38</v>
      </c>
      <c r="H402" s="78" t="s">
        <v>662</v>
      </c>
      <c r="I402" s="78" t="s">
        <v>1542</v>
      </c>
      <c r="J402">
        <v>0</v>
      </c>
      <c r="K402">
        <v>0</v>
      </c>
      <c r="L402">
        <v>1</v>
      </c>
      <c r="M402">
        <v>7135</v>
      </c>
      <c r="N402" s="78" t="s">
        <v>545</v>
      </c>
      <c r="O402">
        <v>1</v>
      </c>
      <c r="P402" s="82">
        <v>1.2</v>
      </c>
    </row>
    <row r="403" spans="1:16" x14ac:dyDescent="0.25">
      <c r="A403">
        <v>7136</v>
      </c>
      <c r="B403">
        <v>7126</v>
      </c>
      <c r="C403" s="78" t="s">
        <v>1543</v>
      </c>
      <c r="D403" s="78" t="s">
        <v>1509</v>
      </c>
      <c r="E403" s="78" t="s">
        <v>1509</v>
      </c>
      <c r="F403" s="78" t="s">
        <v>661</v>
      </c>
      <c r="G403">
        <v>0.38</v>
      </c>
      <c r="H403" s="78" t="s">
        <v>662</v>
      </c>
      <c r="I403" s="78" t="s">
        <v>1544</v>
      </c>
      <c r="J403">
        <v>0</v>
      </c>
      <c r="K403">
        <v>0</v>
      </c>
      <c r="L403">
        <v>1</v>
      </c>
      <c r="M403">
        <v>7136</v>
      </c>
      <c r="N403" s="78" t="s">
        <v>547</v>
      </c>
      <c r="O403">
        <v>1</v>
      </c>
      <c r="P403" s="82">
        <v>1.2</v>
      </c>
    </row>
    <row r="404" spans="1:16" x14ac:dyDescent="0.25">
      <c r="A404">
        <v>7200</v>
      </c>
      <c r="B404">
        <v>7200</v>
      </c>
      <c r="C404" s="78" t="s">
        <v>1545</v>
      </c>
      <c r="D404" s="78" t="s">
        <v>1546</v>
      </c>
      <c r="E404" s="78" t="s">
        <v>1546</v>
      </c>
      <c r="F404" s="78" t="s">
        <v>661</v>
      </c>
      <c r="G404">
        <v>0.39410000000000001</v>
      </c>
      <c r="H404" s="78" t="s">
        <v>662</v>
      </c>
      <c r="I404" s="78" t="s">
        <v>1547</v>
      </c>
      <c r="J404">
        <v>0</v>
      </c>
      <c r="K404">
        <v>0</v>
      </c>
      <c r="L404">
        <v>12</v>
      </c>
      <c r="M404">
        <v>7200</v>
      </c>
      <c r="N404" s="78" t="s">
        <v>553</v>
      </c>
      <c r="O404">
        <v>1</v>
      </c>
      <c r="P404" s="82">
        <v>1.6</v>
      </c>
    </row>
    <row r="405" spans="1:16" x14ac:dyDescent="0.25">
      <c r="A405">
        <v>7201</v>
      </c>
      <c r="B405">
        <v>7201</v>
      </c>
      <c r="C405" s="78" t="s">
        <v>1548</v>
      </c>
      <c r="D405" s="78" t="s">
        <v>1546</v>
      </c>
      <c r="E405" s="78" t="s">
        <v>1546</v>
      </c>
      <c r="F405" s="78" t="s">
        <v>661</v>
      </c>
      <c r="G405">
        <v>0.39410000000000001</v>
      </c>
      <c r="H405" s="78" t="s">
        <v>662</v>
      </c>
      <c r="I405" s="78" t="s">
        <v>1549</v>
      </c>
      <c r="J405">
        <v>0</v>
      </c>
      <c r="K405">
        <v>0</v>
      </c>
      <c r="L405">
        <v>12</v>
      </c>
      <c r="M405">
        <v>7201</v>
      </c>
      <c r="N405" s="78" t="s">
        <v>556</v>
      </c>
      <c r="O405">
        <v>1</v>
      </c>
      <c r="P405" s="82">
        <v>1.6</v>
      </c>
    </row>
    <row r="406" spans="1:16" x14ac:dyDescent="0.25">
      <c r="A406">
        <v>7202</v>
      </c>
      <c r="B406">
        <v>7202</v>
      </c>
      <c r="C406" s="78" t="s">
        <v>1550</v>
      </c>
      <c r="D406" s="78" t="s">
        <v>1546</v>
      </c>
      <c r="E406" s="78" t="s">
        <v>1546</v>
      </c>
      <c r="F406" s="78" t="s">
        <v>661</v>
      </c>
      <c r="G406">
        <v>0.39410000000000001</v>
      </c>
      <c r="H406" s="78" t="s">
        <v>662</v>
      </c>
      <c r="I406" s="78" t="s">
        <v>1551</v>
      </c>
      <c r="J406">
        <v>0</v>
      </c>
      <c r="K406">
        <v>0</v>
      </c>
      <c r="L406">
        <v>12</v>
      </c>
      <c r="M406">
        <v>7202</v>
      </c>
      <c r="N406" s="78" t="s">
        <v>559</v>
      </c>
      <c r="O406">
        <v>1</v>
      </c>
      <c r="P406" s="82">
        <v>1.6</v>
      </c>
    </row>
    <row r="407" spans="1:16" x14ac:dyDescent="0.25">
      <c r="A407">
        <v>7203</v>
      </c>
      <c r="B407">
        <v>7203</v>
      </c>
      <c r="C407" s="78" t="s">
        <v>1552</v>
      </c>
      <c r="D407" s="78" t="s">
        <v>1546</v>
      </c>
      <c r="E407" s="78" t="s">
        <v>1546</v>
      </c>
      <c r="F407" s="78" t="s">
        <v>661</v>
      </c>
      <c r="G407">
        <v>0.39410000000000001</v>
      </c>
      <c r="H407" s="78" t="s">
        <v>662</v>
      </c>
      <c r="I407" s="78" t="s">
        <v>1553</v>
      </c>
      <c r="J407">
        <v>0</v>
      </c>
      <c r="K407">
        <v>0</v>
      </c>
      <c r="L407">
        <v>12</v>
      </c>
      <c r="M407">
        <v>7203</v>
      </c>
      <c r="N407" s="78" t="s">
        <v>562</v>
      </c>
      <c r="O407">
        <v>1</v>
      </c>
      <c r="P407" s="82">
        <v>1.6</v>
      </c>
    </row>
    <row r="408" spans="1:16" x14ac:dyDescent="0.25">
      <c r="A408">
        <v>7204</v>
      </c>
      <c r="B408">
        <v>7204</v>
      </c>
      <c r="C408" s="78" t="s">
        <v>1554</v>
      </c>
      <c r="D408" s="78" t="s">
        <v>1546</v>
      </c>
      <c r="E408" s="78" t="s">
        <v>1546</v>
      </c>
      <c r="F408" s="78" t="s">
        <v>661</v>
      </c>
      <c r="G408">
        <v>0.39410000000000001</v>
      </c>
      <c r="H408" s="78" t="s">
        <v>662</v>
      </c>
      <c r="I408" s="78" t="s">
        <v>1555</v>
      </c>
      <c r="J408">
        <v>0</v>
      </c>
      <c r="K408">
        <v>0</v>
      </c>
      <c r="L408">
        <v>12</v>
      </c>
      <c r="M408">
        <v>7204</v>
      </c>
      <c r="N408" s="78" t="s">
        <v>565</v>
      </c>
      <c r="O408">
        <v>1</v>
      </c>
      <c r="P408" s="82">
        <v>1.6</v>
      </c>
    </row>
    <row r="409" spans="1:16" x14ac:dyDescent="0.25">
      <c r="A409">
        <v>7205</v>
      </c>
      <c r="B409">
        <v>7205</v>
      </c>
      <c r="C409" s="78" t="s">
        <v>1801</v>
      </c>
      <c r="D409" s="78" t="s">
        <v>1546</v>
      </c>
      <c r="E409" s="78" t="s">
        <v>1546</v>
      </c>
      <c r="F409" s="78" t="s">
        <v>661</v>
      </c>
      <c r="G409">
        <v>0.39410000000000001</v>
      </c>
      <c r="H409" s="78" t="s">
        <v>662</v>
      </c>
      <c r="I409" s="78" t="s">
        <v>1556</v>
      </c>
      <c r="J409">
        <v>0</v>
      </c>
      <c r="K409">
        <v>0</v>
      </c>
      <c r="L409">
        <v>12</v>
      </c>
      <c r="M409">
        <v>7205</v>
      </c>
      <c r="N409" s="78" t="s">
        <v>568</v>
      </c>
      <c r="O409">
        <v>1</v>
      </c>
      <c r="P409" s="82">
        <v>1.6</v>
      </c>
    </row>
    <row r="410" spans="1:16" x14ac:dyDescent="0.25">
      <c r="A410">
        <v>7220</v>
      </c>
      <c r="B410">
        <v>7220</v>
      </c>
      <c r="C410" s="78" t="s">
        <v>1557</v>
      </c>
      <c r="D410" s="78" t="s">
        <v>1546</v>
      </c>
      <c r="E410" s="78" t="s">
        <v>1546</v>
      </c>
      <c r="F410" s="78" t="s">
        <v>661</v>
      </c>
      <c r="G410">
        <v>0.39410000000000001</v>
      </c>
      <c r="H410" s="78" t="s">
        <v>662</v>
      </c>
      <c r="I410" s="78" t="s">
        <v>1558</v>
      </c>
      <c r="J410">
        <v>0</v>
      </c>
      <c r="K410">
        <v>0</v>
      </c>
      <c r="L410">
        <v>12</v>
      </c>
      <c r="M410">
        <v>7220</v>
      </c>
      <c r="N410" s="78" t="s">
        <v>571</v>
      </c>
      <c r="O410">
        <v>1</v>
      </c>
      <c r="P410" s="82">
        <v>1.6</v>
      </c>
    </row>
    <row r="411" spans="1:16" x14ac:dyDescent="0.25">
      <c r="A411">
        <v>7221</v>
      </c>
      <c r="B411">
        <v>7221</v>
      </c>
      <c r="C411" s="78" t="s">
        <v>1559</v>
      </c>
      <c r="D411" s="78" t="s">
        <v>1546</v>
      </c>
      <c r="E411" s="78" t="s">
        <v>1546</v>
      </c>
      <c r="F411" s="78" t="s">
        <v>661</v>
      </c>
      <c r="G411">
        <v>0.39410000000000001</v>
      </c>
      <c r="H411" s="78" t="s">
        <v>662</v>
      </c>
      <c r="I411" s="78" t="s">
        <v>1560</v>
      </c>
      <c r="J411">
        <v>0</v>
      </c>
      <c r="K411">
        <v>0</v>
      </c>
      <c r="L411">
        <v>12</v>
      </c>
      <c r="M411">
        <v>7221</v>
      </c>
      <c r="N411" s="78" t="s">
        <v>574</v>
      </c>
      <c r="O411">
        <v>1</v>
      </c>
      <c r="P411" s="82">
        <v>1.6</v>
      </c>
    </row>
    <row r="412" spans="1:16" x14ac:dyDescent="0.25">
      <c r="A412">
        <v>7241</v>
      </c>
      <c r="B412">
        <v>7241</v>
      </c>
      <c r="C412" s="78" t="s">
        <v>1561</v>
      </c>
      <c r="D412" s="78" t="s">
        <v>1546</v>
      </c>
      <c r="E412" s="78" t="s">
        <v>1546</v>
      </c>
      <c r="F412" s="78" t="s">
        <v>661</v>
      </c>
      <c r="G412">
        <v>1.02</v>
      </c>
      <c r="H412" s="78" t="s">
        <v>662</v>
      </c>
      <c r="I412" s="78" t="s">
        <v>1562</v>
      </c>
      <c r="J412">
        <v>0</v>
      </c>
      <c r="K412">
        <v>0</v>
      </c>
      <c r="L412">
        <v>12</v>
      </c>
      <c r="M412">
        <v>7241</v>
      </c>
      <c r="N412" s="78" t="s">
        <v>580</v>
      </c>
      <c r="O412">
        <v>1</v>
      </c>
      <c r="P412" s="82">
        <v>3</v>
      </c>
    </row>
    <row r="413" spans="1:16" x14ac:dyDescent="0.25">
      <c r="A413">
        <v>7244</v>
      </c>
      <c r="B413">
        <v>7244</v>
      </c>
      <c r="C413" s="78" t="s">
        <v>1805</v>
      </c>
      <c r="D413" s="78" t="s">
        <v>1546</v>
      </c>
      <c r="E413" s="78" t="s">
        <v>1546</v>
      </c>
      <c r="F413" s="78" t="s">
        <v>661</v>
      </c>
      <c r="G413">
        <v>0.66190000000000004</v>
      </c>
      <c r="H413" s="78" t="s">
        <v>1308</v>
      </c>
      <c r="I413" s="78" t="s">
        <v>1806</v>
      </c>
      <c r="J413">
        <v>0</v>
      </c>
      <c r="K413">
        <v>0</v>
      </c>
      <c r="L413">
        <v>36</v>
      </c>
      <c r="M413">
        <v>7244</v>
      </c>
      <c r="N413" s="78" t="s">
        <v>1807</v>
      </c>
      <c r="O413">
        <v>1</v>
      </c>
      <c r="P413" s="82">
        <v>2.2999999999999998</v>
      </c>
    </row>
    <row r="414" spans="1:16" x14ac:dyDescent="0.25">
      <c r="A414">
        <v>7260</v>
      </c>
      <c r="B414">
        <v>7260</v>
      </c>
      <c r="C414" s="78" t="s">
        <v>1563</v>
      </c>
      <c r="D414" s="78" t="s">
        <v>1564</v>
      </c>
      <c r="E414" s="78" t="s">
        <v>1564</v>
      </c>
      <c r="F414" s="78" t="s">
        <v>661</v>
      </c>
      <c r="G414">
        <v>0.57999999999999996</v>
      </c>
      <c r="H414" s="78" t="s">
        <v>662</v>
      </c>
      <c r="I414" s="78" t="s">
        <v>1565</v>
      </c>
      <c r="J414">
        <v>0</v>
      </c>
      <c r="K414">
        <v>0</v>
      </c>
      <c r="L414">
        <v>30</v>
      </c>
      <c r="M414">
        <v>7260</v>
      </c>
      <c r="N414" s="78" t="s">
        <v>540</v>
      </c>
      <c r="O414">
        <v>1</v>
      </c>
      <c r="P414" s="82">
        <v>1.85</v>
      </c>
    </row>
    <row r="415" spans="1:16" x14ac:dyDescent="0.25">
      <c r="A415">
        <v>7261</v>
      </c>
      <c r="B415">
        <v>7261</v>
      </c>
      <c r="C415" s="78" t="s">
        <v>1566</v>
      </c>
      <c r="D415" s="78" t="s">
        <v>1564</v>
      </c>
      <c r="E415" s="78" t="s">
        <v>1564</v>
      </c>
      <c r="F415" s="78" t="s">
        <v>661</v>
      </c>
      <c r="G415">
        <v>0.49390000000000001</v>
      </c>
      <c r="H415" s="78" t="s">
        <v>1308</v>
      </c>
      <c r="I415" s="78" t="s">
        <v>1567</v>
      </c>
      <c r="J415">
        <v>0</v>
      </c>
      <c r="K415">
        <v>0</v>
      </c>
      <c r="L415">
        <v>28</v>
      </c>
      <c r="M415">
        <v>7261</v>
      </c>
      <c r="N415" s="78" t="s">
        <v>543</v>
      </c>
      <c r="O415">
        <v>1</v>
      </c>
      <c r="P415" s="82">
        <v>1.3</v>
      </c>
    </row>
    <row r="416" spans="1:16" x14ac:dyDescent="0.25">
      <c r="A416">
        <v>7262</v>
      </c>
      <c r="B416">
        <v>7262</v>
      </c>
      <c r="C416" s="78" t="s">
        <v>1568</v>
      </c>
      <c r="D416" s="78" t="s">
        <v>1546</v>
      </c>
      <c r="E416" s="78" t="s">
        <v>1546</v>
      </c>
      <c r="F416" s="78" t="s">
        <v>661</v>
      </c>
      <c r="G416">
        <v>0.49709999999999999</v>
      </c>
      <c r="H416" s="78" t="s">
        <v>1308</v>
      </c>
      <c r="I416" s="78" t="s">
        <v>1569</v>
      </c>
      <c r="J416">
        <v>0</v>
      </c>
      <c r="K416">
        <v>0</v>
      </c>
      <c r="L416">
        <v>96</v>
      </c>
      <c r="M416">
        <v>7262</v>
      </c>
      <c r="N416" s="78" t="s">
        <v>613</v>
      </c>
      <c r="O416">
        <v>1</v>
      </c>
      <c r="P416" s="82">
        <v>1.6</v>
      </c>
    </row>
    <row r="417" spans="1:16" x14ac:dyDescent="0.25">
      <c r="A417">
        <v>7263</v>
      </c>
      <c r="B417">
        <v>7263</v>
      </c>
      <c r="C417" s="78" t="s">
        <v>1570</v>
      </c>
      <c r="D417" s="78" t="s">
        <v>1546</v>
      </c>
      <c r="E417" s="78" t="s">
        <v>1546</v>
      </c>
      <c r="F417" s="78" t="s">
        <v>661</v>
      </c>
      <c r="G417">
        <v>0.56869999999999998</v>
      </c>
      <c r="H417" s="78" t="s">
        <v>1308</v>
      </c>
      <c r="I417" s="78" t="s">
        <v>1571</v>
      </c>
      <c r="J417">
        <v>0</v>
      </c>
      <c r="K417">
        <v>0</v>
      </c>
      <c r="L417">
        <v>48</v>
      </c>
      <c r="M417">
        <v>7263</v>
      </c>
      <c r="N417" s="78" t="s">
        <v>615</v>
      </c>
      <c r="O417">
        <v>1</v>
      </c>
      <c r="P417" s="82">
        <v>1.65</v>
      </c>
    </row>
    <row r="418" spans="1:16" x14ac:dyDescent="0.25">
      <c r="A418">
        <v>7300</v>
      </c>
      <c r="B418">
        <v>7300</v>
      </c>
      <c r="C418" s="78" t="s">
        <v>1572</v>
      </c>
      <c r="D418" s="78" t="s">
        <v>1573</v>
      </c>
      <c r="E418" s="78" t="s">
        <v>1573</v>
      </c>
      <c r="F418" s="78" t="s">
        <v>661</v>
      </c>
      <c r="G418">
        <v>0.62139999999999995</v>
      </c>
      <c r="H418" s="78" t="s">
        <v>1308</v>
      </c>
      <c r="I418" s="78" t="s">
        <v>1574</v>
      </c>
      <c r="J418">
        <v>0</v>
      </c>
      <c r="K418">
        <v>0</v>
      </c>
      <c r="L418">
        <v>48</v>
      </c>
      <c r="M418">
        <v>7300</v>
      </c>
      <c r="N418" s="78" t="s">
        <v>552</v>
      </c>
      <c r="O418">
        <v>1</v>
      </c>
      <c r="P418" s="82">
        <v>1.75</v>
      </c>
    </row>
    <row r="419" spans="1:16" x14ac:dyDescent="0.25">
      <c r="A419">
        <v>7301</v>
      </c>
      <c r="B419">
        <v>7301</v>
      </c>
      <c r="C419" s="78" t="s">
        <v>1575</v>
      </c>
      <c r="D419" s="78" t="s">
        <v>1573</v>
      </c>
      <c r="E419" s="78" t="s">
        <v>1573</v>
      </c>
      <c r="F419" s="78" t="s">
        <v>661</v>
      </c>
      <c r="G419">
        <v>0.55369999999999997</v>
      </c>
      <c r="H419" s="78" t="s">
        <v>1308</v>
      </c>
      <c r="I419" s="78" t="s">
        <v>1576</v>
      </c>
      <c r="J419">
        <v>0</v>
      </c>
      <c r="K419">
        <v>0</v>
      </c>
      <c r="L419">
        <v>48</v>
      </c>
      <c r="M419">
        <v>7301</v>
      </c>
      <c r="N419" s="78" t="s">
        <v>555</v>
      </c>
      <c r="O419">
        <v>1</v>
      </c>
      <c r="P419" s="82">
        <v>1.75</v>
      </c>
    </row>
    <row r="420" spans="1:16" x14ac:dyDescent="0.25">
      <c r="A420">
        <v>7302</v>
      </c>
      <c r="B420">
        <v>7302</v>
      </c>
      <c r="C420" s="78" t="s">
        <v>1577</v>
      </c>
      <c r="D420" s="78" t="s">
        <v>1573</v>
      </c>
      <c r="E420" s="78" t="s">
        <v>1573</v>
      </c>
      <c r="F420" s="78" t="s">
        <v>661</v>
      </c>
      <c r="G420">
        <v>0.61329999999999996</v>
      </c>
      <c r="H420" s="78" t="s">
        <v>1308</v>
      </c>
      <c r="I420" s="78" t="s">
        <v>1578</v>
      </c>
      <c r="J420">
        <v>0</v>
      </c>
      <c r="K420">
        <v>0</v>
      </c>
      <c r="L420">
        <v>36</v>
      </c>
      <c r="M420">
        <v>7302</v>
      </c>
      <c r="N420" s="78" t="s">
        <v>558</v>
      </c>
      <c r="O420">
        <v>1</v>
      </c>
      <c r="P420" s="82">
        <v>1.95</v>
      </c>
    </row>
    <row r="421" spans="1:16" x14ac:dyDescent="0.25">
      <c r="A421">
        <v>7303</v>
      </c>
      <c r="B421">
        <v>7303</v>
      </c>
      <c r="C421" s="78" t="s">
        <v>1579</v>
      </c>
      <c r="D421" s="78" t="s">
        <v>1573</v>
      </c>
      <c r="E421" s="78" t="s">
        <v>1573</v>
      </c>
      <c r="F421" s="78" t="s">
        <v>661</v>
      </c>
      <c r="G421">
        <v>0.56499999999999995</v>
      </c>
      <c r="H421" s="78" t="s">
        <v>1308</v>
      </c>
      <c r="I421" s="78" t="s">
        <v>1580</v>
      </c>
      <c r="J421">
        <v>0</v>
      </c>
      <c r="K421">
        <v>0</v>
      </c>
      <c r="L421">
        <v>54</v>
      </c>
      <c r="M421">
        <v>7303</v>
      </c>
      <c r="N421" s="78" t="s">
        <v>561</v>
      </c>
      <c r="O421">
        <v>1</v>
      </c>
      <c r="P421" s="82">
        <v>2.1</v>
      </c>
    </row>
    <row r="422" spans="1:16" x14ac:dyDescent="0.25">
      <c r="A422">
        <v>7304</v>
      </c>
      <c r="B422">
        <v>7304</v>
      </c>
      <c r="C422" s="78" t="s">
        <v>1581</v>
      </c>
      <c r="D422" s="78" t="s">
        <v>1573</v>
      </c>
      <c r="E422" s="78" t="s">
        <v>1573</v>
      </c>
      <c r="F422" s="78" t="s">
        <v>661</v>
      </c>
      <c r="G422">
        <v>0.56499999999999995</v>
      </c>
      <c r="H422" s="78" t="s">
        <v>1308</v>
      </c>
      <c r="I422" s="78" t="s">
        <v>1582</v>
      </c>
      <c r="J422">
        <v>0</v>
      </c>
      <c r="K422">
        <v>0</v>
      </c>
      <c r="L422">
        <v>54</v>
      </c>
      <c r="M422">
        <v>7304</v>
      </c>
      <c r="N422" s="78" t="s">
        <v>564</v>
      </c>
      <c r="O422">
        <v>1</v>
      </c>
      <c r="P422" s="82">
        <v>2.1</v>
      </c>
    </row>
    <row r="423" spans="1:16" x14ac:dyDescent="0.25">
      <c r="A423">
        <v>7305</v>
      </c>
      <c r="B423">
        <v>7305</v>
      </c>
      <c r="C423" s="78" t="s">
        <v>1583</v>
      </c>
      <c r="D423" s="78" t="s">
        <v>1573</v>
      </c>
      <c r="E423" s="78" t="s">
        <v>1573</v>
      </c>
      <c r="F423" s="78" t="s">
        <v>661</v>
      </c>
      <c r="G423">
        <v>0.5877</v>
      </c>
      <c r="H423" s="78" t="s">
        <v>1308</v>
      </c>
      <c r="I423" s="78" t="s">
        <v>1584</v>
      </c>
      <c r="J423">
        <v>0</v>
      </c>
      <c r="K423">
        <v>0</v>
      </c>
      <c r="L423">
        <v>48</v>
      </c>
      <c r="M423">
        <v>7305</v>
      </c>
      <c r="N423" s="78" t="s">
        <v>567</v>
      </c>
      <c r="O423">
        <v>1</v>
      </c>
      <c r="P423" s="82">
        <v>2.0499999999999998</v>
      </c>
    </row>
    <row r="424" spans="1:16" x14ac:dyDescent="0.25">
      <c r="A424">
        <v>7320</v>
      </c>
      <c r="B424">
        <v>7320</v>
      </c>
      <c r="C424" s="78" t="s">
        <v>1585</v>
      </c>
      <c r="D424" s="78" t="s">
        <v>1573</v>
      </c>
      <c r="E424" s="78" t="s">
        <v>1573</v>
      </c>
      <c r="F424" s="78" t="s">
        <v>661</v>
      </c>
      <c r="G424">
        <v>0.5877</v>
      </c>
      <c r="H424" s="78" t="s">
        <v>1308</v>
      </c>
      <c r="I424" s="78" t="s">
        <v>1586</v>
      </c>
      <c r="J424">
        <v>0</v>
      </c>
      <c r="K424">
        <v>0</v>
      </c>
      <c r="L424">
        <v>36</v>
      </c>
      <c r="M424">
        <v>7320</v>
      </c>
      <c r="N424" s="78" t="s">
        <v>570</v>
      </c>
      <c r="O424">
        <v>1</v>
      </c>
      <c r="P424" s="82">
        <v>1.85</v>
      </c>
    </row>
    <row r="425" spans="1:16" x14ac:dyDescent="0.25">
      <c r="A425">
        <v>7326</v>
      </c>
      <c r="B425">
        <v>7326</v>
      </c>
      <c r="C425" s="78" t="s">
        <v>1587</v>
      </c>
      <c r="D425" s="78" t="s">
        <v>1573</v>
      </c>
      <c r="E425" s="78" t="s">
        <v>1573</v>
      </c>
      <c r="F425" s="78" t="s">
        <v>661</v>
      </c>
      <c r="G425">
        <v>1.3794999999999999</v>
      </c>
      <c r="H425" s="78" t="s">
        <v>1308</v>
      </c>
      <c r="I425" s="78" t="s">
        <v>1588</v>
      </c>
      <c r="J425">
        <v>0</v>
      </c>
      <c r="K425">
        <v>0</v>
      </c>
      <c r="L425">
        <v>24</v>
      </c>
      <c r="M425">
        <v>7326</v>
      </c>
      <c r="N425" s="78" t="s">
        <v>582</v>
      </c>
      <c r="O425">
        <v>1</v>
      </c>
      <c r="P425" s="82">
        <v>4.8</v>
      </c>
    </row>
    <row r="426" spans="1:16" x14ac:dyDescent="0.25">
      <c r="A426">
        <v>7327</v>
      </c>
      <c r="B426">
        <v>7327</v>
      </c>
      <c r="C426" s="78" t="s">
        <v>1824</v>
      </c>
      <c r="D426" s="78" t="s">
        <v>1573</v>
      </c>
      <c r="E426" s="78" t="s">
        <v>1573</v>
      </c>
      <c r="F426" s="78" t="s">
        <v>661</v>
      </c>
      <c r="G426">
        <v>0.62190000000000001</v>
      </c>
      <c r="H426" s="78" t="s">
        <v>1308</v>
      </c>
      <c r="I426" s="78" t="s">
        <v>1825</v>
      </c>
      <c r="J426">
        <v>0</v>
      </c>
      <c r="K426">
        <v>0</v>
      </c>
      <c r="L426">
        <v>36</v>
      </c>
      <c r="M426">
        <v>7327</v>
      </c>
      <c r="N426" s="78" t="s">
        <v>1826</v>
      </c>
      <c r="O426">
        <v>1</v>
      </c>
      <c r="P426" s="82">
        <v>1.85</v>
      </c>
    </row>
    <row r="427" spans="1:16" x14ac:dyDescent="0.25">
      <c r="A427">
        <v>7329</v>
      </c>
      <c r="B427">
        <v>7329</v>
      </c>
      <c r="C427" s="78" t="s">
        <v>1827</v>
      </c>
      <c r="D427" s="78" t="s">
        <v>1573</v>
      </c>
      <c r="E427" s="78" t="s">
        <v>1573</v>
      </c>
      <c r="F427" s="78" t="s">
        <v>661</v>
      </c>
      <c r="G427">
        <v>0.59889999999999999</v>
      </c>
      <c r="H427" s="78" t="s">
        <v>1308</v>
      </c>
      <c r="I427" s="78" t="s">
        <v>1828</v>
      </c>
      <c r="J427">
        <v>0</v>
      </c>
      <c r="K427">
        <v>0</v>
      </c>
      <c r="L427">
        <v>48</v>
      </c>
      <c r="M427">
        <v>7329</v>
      </c>
      <c r="N427" s="78" t="s">
        <v>1829</v>
      </c>
      <c r="O427">
        <v>1</v>
      </c>
      <c r="P427" s="82">
        <v>2.35</v>
      </c>
    </row>
    <row r="428" spans="1:16" x14ac:dyDescent="0.25">
      <c r="A428">
        <v>7340</v>
      </c>
      <c r="B428">
        <v>7340</v>
      </c>
      <c r="C428" s="78" t="s">
        <v>1589</v>
      </c>
      <c r="D428" s="78" t="s">
        <v>1573</v>
      </c>
      <c r="E428" s="78" t="s">
        <v>1573</v>
      </c>
      <c r="F428" s="78" t="s">
        <v>661</v>
      </c>
      <c r="G428">
        <v>0.55940000000000001</v>
      </c>
      <c r="H428" s="78" t="s">
        <v>1308</v>
      </c>
      <c r="I428" s="78" t="s">
        <v>1590</v>
      </c>
      <c r="J428">
        <v>0</v>
      </c>
      <c r="K428">
        <v>0</v>
      </c>
      <c r="L428">
        <v>72</v>
      </c>
      <c r="M428">
        <v>7340</v>
      </c>
      <c r="N428" s="78" t="s">
        <v>584</v>
      </c>
      <c r="O428">
        <v>1</v>
      </c>
      <c r="P428" s="82">
        <v>1.85</v>
      </c>
    </row>
    <row r="429" spans="1:16" x14ac:dyDescent="0.25">
      <c r="A429">
        <v>7341</v>
      </c>
      <c r="B429">
        <v>7341</v>
      </c>
      <c r="C429" s="78" t="s">
        <v>1591</v>
      </c>
      <c r="D429" s="78" t="s">
        <v>1573</v>
      </c>
      <c r="E429" s="78" t="s">
        <v>1573</v>
      </c>
      <c r="F429" s="78" t="s">
        <v>661</v>
      </c>
      <c r="G429">
        <v>0.5706</v>
      </c>
      <c r="H429" s="78" t="s">
        <v>1308</v>
      </c>
      <c r="I429" s="78" t="s">
        <v>1592</v>
      </c>
      <c r="J429">
        <v>0</v>
      </c>
      <c r="K429">
        <v>0</v>
      </c>
      <c r="L429">
        <v>48</v>
      </c>
      <c r="M429">
        <v>7341</v>
      </c>
      <c r="N429" s="78" t="s">
        <v>587</v>
      </c>
      <c r="O429">
        <v>1</v>
      </c>
      <c r="P429" s="82">
        <v>1.85</v>
      </c>
    </row>
    <row r="430" spans="1:16" x14ac:dyDescent="0.25">
      <c r="A430">
        <v>7342</v>
      </c>
      <c r="B430">
        <v>7342</v>
      </c>
      <c r="C430" s="78" t="s">
        <v>1593</v>
      </c>
      <c r="D430" s="78" t="s">
        <v>1573</v>
      </c>
      <c r="E430" s="78" t="s">
        <v>1573</v>
      </c>
      <c r="F430" s="78" t="s">
        <v>661</v>
      </c>
      <c r="G430">
        <v>0.6</v>
      </c>
      <c r="H430" s="78" t="s">
        <v>662</v>
      </c>
      <c r="I430" s="78" t="s">
        <v>1594</v>
      </c>
      <c r="J430">
        <v>0</v>
      </c>
      <c r="K430">
        <v>0</v>
      </c>
      <c r="L430">
        <v>72</v>
      </c>
      <c r="M430">
        <v>7342</v>
      </c>
      <c r="N430" s="78" t="s">
        <v>1802</v>
      </c>
      <c r="O430">
        <v>1</v>
      </c>
      <c r="P430" s="82">
        <v>1.85</v>
      </c>
    </row>
    <row r="431" spans="1:16" x14ac:dyDescent="0.25">
      <c r="A431">
        <v>7350</v>
      </c>
      <c r="B431">
        <v>7350</v>
      </c>
      <c r="C431" s="78" t="s">
        <v>1595</v>
      </c>
      <c r="D431" s="78" t="s">
        <v>1573</v>
      </c>
      <c r="E431" s="78" t="s">
        <v>1573</v>
      </c>
      <c r="F431" s="78" t="s">
        <v>661</v>
      </c>
      <c r="G431">
        <v>0.67810000000000004</v>
      </c>
      <c r="H431" s="78" t="s">
        <v>1308</v>
      </c>
      <c r="I431" s="78" t="s">
        <v>1596</v>
      </c>
      <c r="J431">
        <v>0</v>
      </c>
      <c r="K431">
        <v>0</v>
      </c>
      <c r="L431">
        <v>48</v>
      </c>
      <c r="M431">
        <v>7350</v>
      </c>
      <c r="N431" s="78" t="s">
        <v>593</v>
      </c>
      <c r="O431">
        <v>1</v>
      </c>
      <c r="P431" s="82">
        <v>2</v>
      </c>
    </row>
    <row r="432" spans="1:16" x14ac:dyDescent="0.25">
      <c r="A432">
        <v>7360</v>
      </c>
      <c r="B432">
        <v>7360</v>
      </c>
      <c r="C432" s="78" t="s">
        <v>1597</v>
      </c>
      <c r="D432" s="78" t="s">
        <v>1546</v>
      </c>
      <c r="E432" s="78" t="s">
        <v>1546</v>
      </c>
      <c r="F432" s="78" t="s">
        <v>661</v>
      </c>
      <c r="G432">
        <v>0.46289999999999998</v>
      </c>
      <c r="H432" s="78" t="s">
        <v>1487</v>
      </c>
      <c r="I432" s="78" t="s">
        <v>1598</v>
      </c>
      <c r="J432">
        <v>0</v>
      </c>
      <c r="K432">
        <v>0</v>
      </c>
      <c r="L432">
        <v>81</v>
      </c>
      <c r="M432">
        <v>7360</v>
      </c>
      <c r="N432" s="78" t="s">
        <v>596</v>
      </c>
      <c r="O432">
        <v>1</v>
      </c>
      <c r="P432" s="82">
        <v>1.4</v>
      </c>
    </row>
    <row r="433" spans="1:16" x14ac:dyDescent="0.25">
      <c r="A433">
        <v>7361</v>
      </c>
      <c r="B433">
        <v>7361</v>
      </c>
      <c r="C433" s="78" t="s">
        <v>1599</v>
      </c>
      <c r="D433" s="78" t="s">
        <v>1546</v>
      </c>
      <c r="E433" s="78" t="s">
        <v>1546</v>
      </c>
      <c r="F433" s="78" t="s">
        <v>661</v>
      </c>
      <c r="G433">
        <v>0.42</v>
      </c>
      <c r="H433" s="78" t="s">
        <v>1487</v>
      </c>
      <c r="I433" s="78" t="s">
        <v>1600</v>
      </c>
      <c r="J433">
        <v>0</v>
      </c>
      <c r="K433">
        <v>0</v>
      </c>
      <c r="L433">
        <v>54</v>
      </c>
      <c r="M433">
        <v>7361</v>
      </c>
      <c r="N433" s="78" t="s">
        <v>599</v>
      </c>
      <c r="O433">
        <v>1</v>
      </c>
      <c r="P433" s="82">
        <v>1.4</v>
      </c>
    </row>
    <row r="434" spans="1:16" x14ac:dyDescent="0.25">
      <c r="A434">
        <v>7362</v>
      </c>
      <c r="B434">
        <v>7362</v>
      </c>
      <c r="C434" s="78" t="s">
        <v>1601</v>
      </c>
      <c r="D434" s="78" t="s">
        <v>1546</v>
      </c>
      <c r="E434" s="78" t="s">
        <v>1546</v>
      </c>
      <c r="F434" s="78" t="s">
        <v>661</v>
      </c>
      <c r="G434">
        <v>0.46110000000000001</v>
      </c>
      <c r="H434" s="78" t="s">
        <v>1487</v>
      </c>
      <c r="I434" s="78" t="s">
        <v>1602</v>
      </c>
      <c r="J434">
        <v>0</v>
      </c>
      <c r="K434">
        <v>0</v>
      </c>
      <c r="L434">
        <v>54</v>
      </c>
      <c r="M434">
        <v>7362</v>
      </c>
      <c r="N434" s="78" t="s">
        <v>602</v>
      </c>
      <c r="O434">
        <v>1</v>
      </c>
      <c r="P434" s="82">
        <v>1.4</v>
      </c>
    </row>
    <row r="435" spans="1:16" x14ac:dyDescent="0.25">
      <c r="A435">
        <v>7363</v>
      </c>
      <c r="B435">
        <v>7363</v>
      </c>
      <c r="C435" s="78" t="s">
        <v>1603</v>
      </c>
      <c r="D435" s="78" t="s">
        <v>1363</v>
      </c>
      <c r="E435" s="78" t="s">
        <v>1363</v>
      </c>
      <c r="F435" s="78" t="s">
        <v>661</v>
      </c>
      <c r="G435">
        <v>0.38</v>
      </c>
      <c r="H435" s="78" t="s">
        <v>662</v>
      </c>
      <c r="I435" s="78" t="s">
        <v>1604</v>
      </c>
      <c r="J435">
        <v>0</v>
      </c>
      <c r="K435">
        <v>0</v>
      </c>
      <c r="L435">
        <v>54</v>
      </c>
      <c r="M435">
        <v>7363</v>
      </c>
      <c r="N435" s="78" t="s">
        <v>605</v>
      </c>
      <c r="O435">
        <v>1</v>
      </c>
      <c r="P435" s="82">
        <v>1.4</v>
      </c>
    </row>
    <row r="436" spans="1:16" x14ac:dyDescent="0.25">
      <c r="A436">
        <v>7371</v>
      </c>
      <c r="B436">
        <v>7371</v>
      </c>
      <c r="C436" s="78" t="s">
        <v>1605</v>
      </c>
      <c r="D436" s="78" t="s">
        <v>1573</v>
      </c>
      <c r="E436" s="78" t="s">
        <v>1573</v>
      </c>
      <c r="F436" s="78" t="s">
        <v>661</v>
      </c>
      <c r="G436">
        <v>0.56000000000000005</v>
      </c>
      <c r="H436" s="78" t="s">
        <v>662</v>
      </c>
      <c r="I436" s="78" t="s">
        <v>1606</v>
      </c>
      <c r="J436">
        <v>0</v>
      </c>
      <c r="K436">
        <v>0</v>
      </c>
      <c r="L436">
        <v>81</v>
      </c>
      <c r="M436">
        <v>7371</v>
      </c>
      <c r="N436" s="78" t="s">
        <v>609</v>
      </c>
      <c r="O436">
        <v>1</v>
      </c>
      <c r="P436" s="82">
        <v>2</v>
      </c>
    </row>
    <row r="437" spans="1:16" x14ac:dyDescent="0.25">
      <c r="A437">
        <v>7375</v>
      </c>
      <c r="B437">
        <v>7375</v>
      </c>
      <c r="C437" s="78" t="s">
        <v>1607</v>
      </c>
      <c r="D437" s="78" t="s">
        <v>1573</v>
      </c>
      <c r="E437" s="78" t="s">
        <v>1573</v>
      </c>
      <c r="F437" s="78" t="s">
        <v>661</v>
      </c>
      <c r="G437">
        <v>0.43290000000000001</v>
      </c>
      <c r="H437" s="78" t="s">
        <v>1487</v>
      </c>
      <c r="I437" s="78" t="s">
        <v>1608</v>
      </c>
      <c r="J437">
        <v>0</v>
      </c>
      <c r="K437">
        <v>0</v>
      </c>
      <c r="L437">
        <v>54</v>
      </c>
      <c r="M437">
        <v>7375</v>
      </c>
      <c r="N437" s="78" t="s">
        <v>1609</v>
      </c>
      <c r="O437">
        <v>1</v>
      </c>
      <c r="P437" s="82">
        <v>2</v>
      </c>
    </row>
    <row r="438" spans="1:16" x14ac:dyDescent="0.25">
      <c r="A438">
        <v>7400</v>
      </c>
      <c r="B438">
        <v>7400</v>
      </c>
      <c r="C438" s="78" t="s">
        <v>1610</v>
      </c>
      <c r="D438" s="78" t="s">
        <v>1611</v>
      </c>
      <c r="E438" s="78" t="s">
        <v>1611</v>
      </c>
      <c r="F438" s="78" t="s">
        <v>661</v>
      </c>
      <c r="G438">
        <v>0.68920000000000003</v>
      </c>
      <c r="H438" s="78" t="s">
        <v>1308</v>
      </c>
      <c r="I438" s="78" t="s">
        <v>1612</v>
      </c>
      <c r="J438">
        <v>0</v>
      </c>
      <c r="K438">
        <v>0</v>
      </c>
      <c r="L438">
        <v>48</v>
      </c>
      <c r="M438">
        <v>7400</v>
      </c>
      <c r="N438" s="78" t="s">
        <v>588</v>
      </c>
      <c r="O438">
        <v>1</v>
      </c>
      <c r="P438" s="82">
        <v>2.25</v>
      </c>
    </row>
    <row r="439" spans="1:16" x14ac:dyDescent="0.25">
      <c r="A439">
        <v>7401</v>
      </c>
      <c r="B439">
        <v>7401</v>
      </c>
      <c r="C439" s="78" t="s">
        <v>1613</v>
      </c>
      <c r="D439" s="78" t="s">
        <v>1611</v>
      </c>
      <c r="E439" s="78" t="s">
        <v>1611</v>
      </c>
      <c r="F439" s="78" t="s">
        <v>661</v>
      </c>
      <c r="G439">
        <v>0.73909999999999998</v>
      </c>
      <c r="H439" s="78" t="s">
        <v>1308</v>
      </c>
      <c r="I439" s="78" t="s">
        <v>1614</v>
      </c>
      <c r="J439">
        <v>0</v>
      </c>
      <c r="K439">
        <v>0</v>
      </c>
      <c r="L439">
        <v>36</v>
      </c>
      <c r="M439">
        <v>7401</v>
      </c>
      <c r="N439" s="78" t="s">
        <v>591</v>
      </c>
      <c r="O439">
        <v>1</v>
      </c>
      <c r="P439" s="82">
        <v>2.25</v>
      </c>
    </row>
    <row r="440" spans="1:16" x14ac:dyDescent="0.25">
      <c r="A440">
        <v>7402</v>
      </c>
      <c r="B440">
        <v>7402</v>
      </c>
      <c r="C440" s="78" t="s">
        <v>1615</v>
      </c>
      <c r="D440" s="78" t="s">
        <v>1611</v>
      </c>
      <c r="E440" s="78" t="s">
        <v>1611</v>
      </c>
      <c r="F440" s="78" t="s">
        <v>661</v>
      </c>
      <c r="G440">
        <v>0.70399999999999996</v>
      </c>
      <c r="H440" s="78" t="s">
        <v>1308</v>
      </c>
      <c r="I440" s="78" t="s">
        <v>1616</v>
      </c>
      <c r="J440">
        <v>0</v>
      </c>
      <c r="K440">
        <v>0</v>
      </c>
      <c r="L440">
        <v>36</v>
      </c>
      <c r="M440">
        <v>7402</v>
      </c>
      <c r="N440" s="78" t="s">
        <v>594</v>
      </c>
      <c r="O440">
        <v>1</v>
      </c>
      <c r="P440" s="82">
        <v>2.25</v>
      </c>
    </row>
    <row r="441" spans="1:16" x14ac:dyDescent="0.25">
      <c r="A441">
        <v>7403</v>
      </c>
      <c r="B441">
        <v>7403</v>
      </c>
      <c r="C441" s="78" t="s">
        <v>1617</v>
      </c>
      <c r="D441" s="78" t="s">
        <v>1611</v>
      </c>
      <c r="E441" s="78" t="s">
        <v>1611</v>
      </c>
      <c r="F441" s="78" t="s">
        <v>661</v>
      </c>
      <c r="G441">
        <v>0.7238</v>
      </c>
      <c r="H441" s="78" t="s">
        <v>1308</v>
      </c>
      <c r="I441" s="78" t="s">
        <v>1618</v>
      </c>
      <c r="J441">
        <v>0</v>
      </c>
      <c r="K441">
        <v>0</v>
      </c>
      <c r="L441">
        <v>36</v>
      </c>
      <c r="M441">
        <v>7403</v>
      </c>
      <c r="N441" s="78" t="s">
        <v>597</v>
      </c>
      <c r="O441">
        <v>1</v>
      </c>
      <c r="P441" s="82">
        <v>2.25</v>
      </c>
    </row>
    <row r="442" spans="1:16" x14ac:dyDescent="0.25">
      <c r="A442">
        <v>7404</v>
      </c>
      <c r="B442">
        <v>7404</v>
      </c>
      <c r="C442" s="78" t="s">
        <v>1619</v>
      </c>
      <c r="D442" s="78" t="s">
        <v>1611</v>
      </c>
      <c r="E442" s="78" t="s">
        <v>1611</v>
      </c>
      <c r="F442" s="78" t="s">
        <v>661</v>
      </c>
      <c r="G442">
        <v>0.7</v>
      </c>
      <c r="H442" s="78" t="s">
        <v>1308</v>
      </c>
      <c r="I442" s="78" t="s">
        <v>1620</v>
      </c>
      <c r="J442">
        <v>0</v>
      </c>
      <c r="K442">
        <v>0</v>
      </c>
      <c r="L442">
        <v>36</v>
      </c>
      <c r="M442">
        <v>7404</v>
      </c>
      <c r="N442" s="78" t="s">
        <v>600</v>
      </c>
      <c r="O442">
        <v>1</v>
      </c>
      <c r="P442" s="82">
        <v>2.25</v>
      </c>
    </row>
    <row r="443" spans="1:16" x14ac:dyDescent="0.25">
      <c r="A443">
        <v>7405</v>
      </c>
      <c r="B443">
        <v>7405</v>
      </c>
      <c r="C443" s="78" t="s">
        <v>1621</v>
      </c>
      <c r="D443" s="78" t="s">
        <v>1611</v>
      </c>
      <c r="E443" s="78" t="s">
        <v>1611</v>
      </c>
      <c r="F443" s="78" t="s">
        <v>661</v>
      </c>
      <c r="G443">
        <v>0.68930000000000002</v>
      </c>
      <c r="H443" s="78" t="s">
        <v>1308</v>
      </c>
      <c r="I443" s="78" t="s">
        <v>1622</v>
      </c>
      <c r="J443">
        <v>0</v>
      </c>
      <c r="K443">
        <v>0</v>
      </c>
      <c r="L443">
        <v>36</v>
      </c>
      <c r="M443">
        <v>7405</v>
      </c>
      <c r="N443" s="78" t="s">
        <v>603</v>
      </c>
      <c r="O443">
        <v>1</v>
      </c>
      <c r="P443" s="82">
        <v>2.25</v>
      </c>
    </row>
    <row r="444" spans="1:16" x14ac:dyDescent="0.25">
      <c r="A444">
        <v>7406</v>
      </c>
      <c r="B444">
        <v>7406</v>
      </c>
      <c r="C444" s="78" t="s">
        <v>1623</v>
      </c>
      <c r="D444" s="78" t="s">
        <v>1611</v>
      </c>
      <c r="E444" s="78" t="s">
        <v>1611</v>
      </c>
      <c r="F444" s="78" t="s">
        <v>661</v>
      </c>
      <c r="G444">
        <v>0.68930000000000002</v>
      </c>
      <c r="H444" s="78" t="s">
        <v>1308</v>
      </c>
      <c r="I444" s="78" t="s">
        <v>1624</v>
      </c>
      <c r="J444">
        <v>0</v>
      </c>
      <c r="K444">
        <v>0</v>
      </c>
      <c r="L444">
        <v>24</v>
      </c>
      <c r="M444">
        <v>7406</v>
      </c>
      <c r="N444" s="78" t="s">
        <v>606</v>
      </c>
      <c r="O444">
        <v>1</v>
      </c>
      <c r="P444" s="82">
        <v>2.25</v>
      </c>
    </row>
    <row r="445" spans="1:16" x14ac:dyDescent="0.25">
      <c r="A445">
        <v>7407</v>
      </c>
      <c r="B445">
        <v>7407</v>
      </c>
      <c r="C445" s="78" t="s">
        <v>1625</v>
      </c>
      <c r="D445" s="78" t="s">
        <v>1611</v>
      </c>
      <c r="E445" s="78" t="s">
        <v>1611</v>
      </c>
      <c r="F445" s="78" t="s">
        <v>661</v>
      </c>
      <c r="G445">
        <v>0.73909999999999998</v>
      </c>
      <c r="H445" s="78" t="s">
        <v>1308</v>
      </c>
      <c r="I445" s="78" t="s">
        <v>1626</v>
      </c>
      <c r="J445">
        <v>0</v>
      </c>
      <c r="K445">
        <v>0</v>
      </c>
      <c r="L445">
        <v>36</v>
      </c>
      <c r="M445">
        <v>7407</v>
      </c>
      <c r="N445" s="78" t="s">
        <v>1627</v>
      </c>
      <c r="O445">
        <v>1</v>
      </c>
      <c r="P445" s="82">
        <v>2.25</v>
      </c>
    </row>
    <row r="446" spans="1:16" x14ac:dyDescent="0.25">
      <c r="A446">
        <v>7408</v>
      </c>
      <c r="B446">
        <v>7408</v>
      </c>
      <c r="C446" s="78" t="s">
        <v>1628</v>
      </c>
      <c r="D446" s="78" t="s">
        <v>1611</v>
      </c>
      <c r="E446" s="78" t="s">
        <v>1611</v>
      </c>
      <c r="F446" s="78" t="s">
        <v>661</v>
      </c>
      <c r="G446">
        <v>0.70020000000000004</v>
      </c>
      <c r="H446" s="78" t="s">
        <v>1308</v>
      </c>
      <c r="I446" s="78" t="s">
        <v>1629</v>
      </c>
      <c r="J446">
        <v>0</v>
      </c>
      <c r="K446">
        <v>0</v>
      </c>
      <c r="L446">
        <v>24</v>
      </c>
      <c r="M446">
        <v>7408</v>
      </c>
      <c r="N446" s="78" t="s">
        <v>610</v>
      </c>
      <c r="O446">
        <v>1</v>
      </c>
      <c r="P446" s="82">
        <v>2.25</v>
      </c>
    </row>
    <row r="447" spans="1:16" x14ac:dyDescent="0.25">
      <c r="A447">
        <v>7430</v>
      </c>
      <c r="B447">
        <v>7430</v>
      </c>
      <c r="C447" s="78" t="s">
        <v>1630</v>
      </c>
      <c r="D447" s="78" t="s">
        <v>1611</v>
      </c>
      <c r="E447" s="78" t="s">
        <v>1611</v>
      </c>
      <c r="F447" s="78" t="s">
        <v>661</v>
      </c>
      <c r="G447">
        <v>0.68920000000000003</v>
      </c>
      <c r="H447" s="78" t="s">
        <v>1308</v>
      </c>
      <c r="I447" s="78" t="s">
        <v>1631</v>
      </c>
      <c r="J447">
        <v>0</v>
      </c>
      <c r="K447">
        <v>0</v>
      </c>
      <c r="L447">
        <v>48</v>
      </c>
      <c r="M447">
        <v>7430</v>
      </c>
      <c r="N447" s="78" t="s">
        <v>612</v>
      </c>
      <c r="O447">
        <v>1</v>
      </c>
      <c r="P447" s="82">
        <v>2.25</v>
      </c>
    </row>
    <row r="448" spans="1:16" x14ac:dyDescent="0.25">
      <c r="A448">
        <v>7431</v>
      </c>
      <c r="B448">
        <v>7431</v>
      </c>
      <c r="C448" s="78" t="s">
        <v>1632</v>
      </c>
      <c r="D448" s="78" t="s">
        <v>1611</v>
      </c>
      <c r="E448" s="78" t="s">
        <v>1611</v>
      </c>
      <c r="F448" s="78" t="s">
        <v>661</v>
      </c>
      <c r="G448">
        <v>0.7238</v>
      </c>
      <c r="H448" s="78" t="s">
        <v>1308</v>
      </c>
      <c r="I448" s="78" t="s">
        <v>1633</v>
      </c>
      <c r="J448">
        <v>0</v>
      </c>
      <c r="K448">
        <v>0</v>
      </c>
      <c r="L448">
        <v>36</v>
      </c>
      <c r="M448">
        <v>7431</v>
      </c>
      <c r="N448" s="78" t="s">
        <v>614</v>
      </c>
      <c r="O448">
        <v>1</v>
      </c>
      <c r="P448" s="82">
        <v>2.25</v>
      </c>
    </row>
    <row r="449" spans="1:16" x14ac:dyDescent="0.25">
      <c r="A449">
        <v>7432</v>
      </c>
      <c r="B449">
        <v>7432</v>
      </c>
      <c r="C449" s="78" t="s">
        <v>1634</v>
      </c>
      <c r="D449" s="78" t="s">
        <v>1611</v>
      </c>
      <c r="E449" s="78" t="s">
        <v>1611</v>
      </c>
      <c r="F449" s="78" t="s">
        <v>661</v>
      </c>
      <c r="G449">
        <v>0.68940000000000001</v>
      </c>
      <c r="H449" s="78" t="s">
        <v>1308</v>
      </c>
      <c r="I449" s="78" t="s">
        <v>1635</v>
      </c>
      <c r="J449">
        <v>0</v>
      </c>
      <c r="K449">
        <v>0</v>
      </c>
      <c r="L449">
        <v>36</v>
      </c>
      <c r="M449">
        <v>7432</v>
      </c>
      <c r="N449" s="78" t="s">
        <v>616</v>
      </c>
      <c r="O449">
        <v>1</v>
      </c>
      <c r="P449" s="82">
        <v>2.25</v>
      </c>
    </row>
    <row r="450" spans="1:16" x14ac:dyDescent="0.25">
      <c r="A450">
        <v>7433</v>
      </c>
      <c r="B450">
        <v>7433</v>
      </c>
      <c r="C450" s="78" t="s">
        <v>1636</v>
      </c>
      <c r="D450" s="78" t="s">
        <v>1611</v>
      </c>
      <c r="E450" s="78" t="s">
        <v>1611</v>
      </c>
      <c r="F450" s="78" t="s">
        <v>661</v>
      </c>
      <c r="G450">
        <v>0.70379999999999998</v>
      </c>
      <c r="H450" s="78" t="s">
        <v>1308</v>
      </c>
      <c r="I450" s="78" t="s">
        <v>1637</v>
      </c>
      <c r="J450">
        <v>0</v>
      </c>
      <c r="K450">
        <v>0</v>
      </c>
      <c r="L450">
        <v>36</v>
      </c>
      <c r="M450">
        <v>7433</v>
      </c>
      <c r="N450" s="78" t="s">
        <v>1638</v>
      </c>
      <c r="O450">
        <v>1</v>
      </c>
      <c r="P450" s="82">
        <v>2.25</v>
      </c>
    </row>
    <row r="451" spans="1:16" x14ac:dyDescent="0.25">
      <c r="A451">
        <v>7500</v>
      </c>
      <c r="B451">
        <v>7500</v>
      </c>
      <c r="C451" s="78" t="s">
        <v>1639</v>
      </c>
      <c r="D451" s="78" t="s">
        <v>1611</v>
      </c>
      <c r="E451" s="78" t="s">
        <v>1611</v>
      </c>
      <c r="F451" s="78" t="s">
        <v>661</v>
      </c>
      <c r="G451">
        <v>1.1174999999999999</v>
      </c>
      <c r="H451" s="78" t="s">
        <v>1308</v>
      </c>
      <c r="I451" s="78" t="s">
        <v>1640</v>
      </c>
      <c r="J451">
        <v>0</v>
      </c>
      <c r="K451">
        <v>0</v>
      </c>
      <c r="L451">
        <v>12</v>
      </c>
      <c r="M451">
        <v>7500</v>
      </c>
      <c r="N451" s="78" t="s">
        <v>554</v>
      </c>
      <c r="O451">
        <v>1</v>
      </c>
      <c r="P451" s="82">
        <v>3.15</v>
      </c>
    </row>
    <row r="452" spans="1:16" x14ac:dyDescent="0.25">
      <c r="A452">
        <v>7502</v>
      </c>
      <c r="B452">
        <v>7502</v>
      </c>
      <c r="C452" s="78" t="s">
        <v>1641</v>
      </c>
      <c r="D452" s="78" t="s">
        <v>1611</v>
      </c>
      <c r="E452" s="78" t="s">
        <v>1611</v>
      </c>
      <c r="F452" s="78" t="s">
        <v>661</v>
      </c>
      <c r="G452">
        <v>0.65539999999999998</v>
      </c>
      <c r="H452" s="78" t="s">
        <v>1308</v>
      </c>
      <c r="I452" s="78" t="s">
        <v>1642</v>
      </c>
      <c r="J452">
        <v>0</v>
      </c>
      <c r="K452">
        <v>0</v>
      </c>
      <c r="L452">
        <v>48</v>
      </c>
      <c r="M452">
        <v>7502</v>
      </c>
      <c r="N452" s="78" t="s">
        <v>557</v>
      </c>
      <c r="O452">
        <v>1</v>
      </c>
      <c r="P452" s="82">
        <v>2.1</v>
      </c>
    </row>
    <row r="453" spans="1:16" x14ac:dyDescent="0.25">
      <c r="A453">
        <v>7503</v>
      </c>
      <c r="B453">
        <v>7503</v>
      </c>
      <c r="C453" s="78" t="s">
        <v>1643</v>
      </c>
      <c r="D453" s="78" t="s">
        <v>1611</v>
      </c>
      <c r="E453" s="78" t="s">
        <v>1611</v>
      </c>
      <c r="F453" s="78" t="s">
        <v>661</v>
      </c>
      <c r="G453">
        <v>1.1174999999999999</v>
      </c>
      <c r="H453" s="78" t="s">
        <v>1308</v>
      </c>
      <c r="I453" s="78" t="s">
        <v>1644</v>
      </c>
      <c r="J453">
        <v>0</v>
      </c>
      <c r="K453">
        <v>0</v>
      </c>
      <c r="L453">
        <v>12</v>
      </c>
      <c r="M453">
        <v>7503</v>
      </c>
      <c r="N453" s="78" t="s">
        <v>560</v>
      </c>
      <c r="O453">
        <v>1</v>
      </c>
      <c r="P453" s="82">
        <v>3.5</v>
      </c>
    </row>
    <row r="454" spans="1:16" x14ac:dyDescent="0.25">
      <c r="A454">
        <v>7504</v>
      </c>
      <c r="B454">
        <v>7504</v>
      </c>
      <c r="C454" s="78" t="s">
        <v>1645</v>
      </c>
      <c r="D454" s="78" t="s">
        <v>1611</v>
      </c>
      <c r="E454" s="78" t="s">
        <v>1611</v>
      </c>
      <c r="F454" s="78" t="s">
        <v>661</v>
      </c>
      <c r="G454">
        <v>1.1174999999999999</v>
      </c>
      <c r="H454" s="78" t="s">
        <v>1308</v>
      </c>
      <c r="I454" s="78" t="s">
        <v>1646</v>
      </c>
      <c r="J454">
        <v>0</v>
      </c>
      <c r="K454">
        <v>0</v>
      </c>
      <c r="L454">
        <v>12</v>
      </c>
      <c r="M454">
        <v>7504</v>
      </c>
      <c r="N454" s="78" t="s">
        <v>563</v>
      </c>
      <c r="O454">
        <v>1</v>
      </c>
      <c r="P454" s="82">
        <v>3.5</v>
      </c>
    </row>
    <row r="455" spans="1:16" x14ac:dyDescent="0.25">
      <c r="A455">
        <v>7505</v>
      </c>
      <c r="B455">
        <v>7505</v>
      </c>
      <c r="C455" s="78" t="s">
        <v>1647</v>
      </c>
      <c r="D455" s="78" t="s">
        <v>1611</v>
      </c>
      <c r="E455" s="78" t="s">
        <v>1611</v>
      </c>
      <c r="F455" s="78" t="s">
        <v>661</v>
      </c>
      <c r="G455">
        <v>0.9879</v>
      </c>
      <c r="H455" s="78" t="s">
        <v>1308</v>
      </c>
      <c r="I455" s="78" t="s">
        <v>1648</v>
      </c>
      <c r="J455">
        <v>0</v>
      </c>
      <c r="K455">
        <v>0</v>
      </c>
      <c r="L455">
        <v>24</v>
      </c>
      <c r="M455">
        <v>7505</v>
      </c>
      <c r="N455" s="78" t="s">
        <v>566</v>
      </c>
      <c r="O455">
        <v>1</v>
      </c>
      <c r="P455" s="82">
        <v>3</v>
      </c>
    </row>
    <row r="456" spans="1:16" x14ac:dyDescent="0.25">
      <c r="A456">
        <v>7506</v>
      </c>
      <c r="B456">
        <v>7506</v>
      </c>
      <c r="C456" s="78" t="s">
        <v>1649</v>
      </c>
      <c r="D456" s="78" t="s">
        <v>1611</v>
      </c>
      <c r="E456" s="78" t="s">
        <v>1611</v>
      </c>
      <c r="F456" s="78" t="s">
        <v>661</v>
      </c>
      <c r="G456">
        <v>0.98909999999999998</v>
      </c>
      <c r="H456" s="78" t="s">
        <v>1308</v>
      </c>
      <c r="I456" s="78" t="s">
        <v>1650</v>
      </c>
      <c r="J456">
        <v>0</v>
      </c>
      <c r="K456">
        <v>0</v>
      </c>
      <c r="L456">
        <v>12</v>
      </c>
      <c r="M456">
        <v>7506</v>
      </c>
      <c r="N456" s="78" t="s">
        <v>569</v>
      </c>
      <c r="O456">
        <v>1</v>
      </c>
      <c r="P456" s="82">
        <v>3</v>
      </c>
    </row>
    <row r="457" spans="1:16" x14ac:dyDescent="0.25">
      <c r="A457">
        <v>7520</v>
      </c>
      <c r="B457">
        <v>7520</v>
      </c>
      <c r="C457" s="78" t="s">
        <v>1651</v>
      </c>
      <c r="D457" s="78" t="s">
        <v>1611</v>
      </c>
      <c r="E457" s="78" t="s">
        <v>1611</v>
      </c>
      <c r="F457" s="78" t="s">
        <v>661</v>
      </c>
      <c r="G457">
        <v>0.7238</v>
      </c>
      <c r="H457" s="78" t="s">
        <v>1308</v>
      </c>
      <c r="I457" s="78" t="s">
        <v>1652</v>
      </c>
      <c r="J457">
        <v>0</v>
      </c>
      <c r="K457">
        <v>0</v>
      </c>
      <c r="L457">
        <v>36</v>
      </c>
      <c r="M457">
        <v>7520</v>
      </c>
      <c r="N457" s="78" t="s">
        <v>572</v>
      </c>
      <c r="O457">
        <v>1</v>
      </c>
      <c r="P457" s="82">
        <v>2.2000000000000002</v>
      </c>
    </row>
    <row r="458" spans="1:16" x14ac:dyDescent="0.25">
      <c r="A458">
        <v>7521</v>
      </c>
      <c r="B458">
        <v>7521</v>
      </c>
      <c r="C458" s="78" t="s">
        <v>1653</v>
      </c>
      <c r="D458" s="78" t="s">
        <v>1611</v>
      </c>
      <c r="E458" s="78" t="s">
        <v>1611</v>
      </c>
      <c r="F458" s="78" t="s">
        <v>661</v>
      </c>
      <c r="G458">
        <v>0.7238</v>
      </c>
      <c r="H458" s="78" t="s">
        <v>1308</v>
      </c>
      <c r="I458" s="78" t="s">
        <v>1654</v>
      </c>
      <c r="J458">
        <v>0</v>
      </c>
      <c r="K458">
        <v>0</v>
      </c>
      <c r="L458">
        <v>36</v>
      </c>
      <c r="M458">
        <v>7521</v>
      </c>
      <c r="N458" s="78" t="s">
        <v>575</v>
      </c>
      <c r="O458">
        <v>1</v>
      </c>
      <c r="P458" s="82">
        <v>2.2000000000000002</v>
      </c>
    </row>
    <row r="459" spans="1:16" x14ac:dyDescent="0.25">
      <c r="A459">
        <v>7522</v>
      </c>
      <c r="B459">
        <v>7522</v>
      </c>
      <c r="C459" s="78" t="s">
        <v>1655</v>
      </c>
      <c r="D459" s="78" t="s">
        <v>1611</v>
      </c>
      <c r="E459" s="78" t="s">
        <v>1611</v>
      </c>
      <c r="F459" s="78" t="s">
        <v>661</v>
      </c>
      <c r="G459">
        <v>0.15040000000000001</v>
      </c>
      <c r="H459" s="78" t="s">
        <v>1487</v>
      </c>
      <c r="I459" s="78" t="s">
        <v>1656</v>
      </c>
      <c r="J459">
        <v>0</v>
      </c>
      <c r="K459">
        <v>0</v>
      </c>
      <c r="L459">
        <v>720</v>
      </c>
      <c r="M459">
        <v>7522</v>
      </c>
      <c r="N459" s="78" t="s">
        <v>578</v>
      </c>
      <c r="O459">
        <v>1</v>
      </c>
      <c r="P459" s="82">
        <v>0.5</v>
      </c>
    </row>
    <row r="460" spans="1:16" x14ac:dyDescent="0.25">
      <c r="A460">
        <v>7523</v>
      </c>
      <c r="B460">
        <v>7523</v>
      </c>
      <c r="C460" s="78" t="s">
        <v>1657</v>
      </c>
      <c r="D460" s="78" t="s">
        <v>1611</v>
      </c>
      <c r="E460" s="78" t="s">
        <v>1611</v>
      </c>
      <c r="F460" s="78" t="s">
        <v>661</v>
      </c>
      <c r="G460">
        <v>0.627</v>
      </c>
      <c r="H460" s="78" t="s">
        <v>662</v>
      </c>
      <c r="I460" s="78" t="s">
        <v>1658</v>
      </c>
      <c r="J460">
        <v>0</v>
      </c>
      <c r="K460">
        <v>0</v>
      </c>
      <c r="L460">
        <v>48</v>
      </c>
      <c r="M460">
        <v>7523</v>
      </c>
      <c r="N460" s="78" t="s">
        <v>581</v>
      </c>
      <c r="O460">
        <v>1</v>
      </c>
      <c r="P460" s="82">
        <v>2</v>
      </c>
    </row>
    <row r="461" spans="1:16" x14ac:dyDescent="0.25">
      <c r="A461">
        <v>7600</v>
      </c>
      <c r="B461">
        <v>7600</v>
      </c>
      <c r="C461" s="78" t="s">
        <v>1659</v>
      </c>
      <c r="D461" s="78" t="s">
        <v>1611</v>
      </c>
      <c r="E461" s="78" t="s">
        <v>1611</v>
      </c>
      <c r="F461" s="78" t="s">
        <v>661</v>
      </c>
      <c r="G461">
        <v>0.13</v>
      </c>
      <c r="H461" s="78" t="s">
        <v>662</v>
      </c>
      <c r="I461" s="78" t="s">
        <v>1660</v>
      </c>
      <c r="J461">
        <v>0</v>
      </c>
      <c r="K461">
        <v>0</v>
      </c>
      <c r="L461">
        <v>200</v>
      </c>
      <c r="M461">
        <v>7600</v>
      </c>
      <c r="N461" s="78" t="s">
        <v>583</v>
      </c>
      <c r="O461">
        <v>1</v>
      </c>
      <c r="P461" s="82">
        <v>0.45</v>
      </c>
    </row>
    <row r="462" spans="1:16" x14ac:dyDescent="0.25">
      <c r="A462">
        <v>7601</v>
      </c>
      <c r="B462">
        <v>7601</v>
      </c>
      <c r="C462" s="78" t="s">
        <v>1661</v>
      </c>
      <c r="D462" s="78" t="s">
        <v>1611</v>
      </c>
      <c r="E462" s="78" t="s">
        <v>1611</v>
      </c>
      <c r="F462" s="78" t="s">
        <v>661</v>
      </c>
      <c r="G462">
        <v>0.627</v>
      </c>
      <c r="H462" s="78" t="s">
        <v>662</v>
      </c>
      <c r="I462" s="78" t="s">
        <v>1662</v>
      </c>
      <c r="J462">
        <v>0</v>
      </c>
      <c r="K462">
        <v>0</v>
      </c>
      <c r="L462">
        <v>48</v>
      </c>
      <c r="M462">
        <v>7601</v>
      </c>
      <c r="N462" s="78" t="s">
        <v>586</v>
      </c>
      <c r="O462">
        <v>1</v>
      </c>
      <c r="P462" s="82">
        <v>2</v>
      </c>
    </row>
    <row r="463" spans="1:16" x14ac:dyDescent="0.25">
      <c r="A463">
        <v>7602</v>
      </c>
      <c r="B463">
        <v>7602</v>
      </c>
      <c r="C463" s="78" t="s">
        <v>1663</v>
      </c>
      <c r="D463" s="78" t="s">
        <v>1611</v>
      </c>
      <c r="E463" s="78" t="s">
        <v>1611</v>
      </c>
      <c r="F463" s="78" t="s">
        <v>661</v>
      </c>
      <c r="G463">
        <v>0.55000000000000004</v>
      </c>
      <c r="H463" s="78" t="s">
        <v>662</v>
      </c>
      <c r="I463" s="78" t="s">
        <v>1664</v>
      </c>
      <c r="J463">
        <v>0</v>
      </c>
      <c r="K463">
        <v>0</v>
      </c>
      <c r="L463">
        <v>48</v>
      </c>
      <c r="M463">
        <v>7602</v>
      </c>
      <c r="N463" s="78" t="s">
        <v>589</v>
      </c>
      <c r="O463">
        <v>1</v>
      </c>
      <c r="P463" s="82">
        <v>1.9</v>
      </c>
    </row>
    <row r="464" spans="1:16" x14ac:dyDescent="0.25">
      <c r="A464">
        <v>7603</v>
      </c>
      <c r="B464">
        <v>7603</v>
      </c>
      <c r="C464" s="78" t="s">
        <v>1665</v>
      </c>
      <c r="D464" s="78" t="s">
        <v>1611</v>
      </c>
      <c r="E464" s="78" t="s">
        <v>1611</v>
      </c>
      <c r="F464" s="78" t="s">
        <v>661</v>
      </c>
      <c r="G464">
        <v>0.56000000000000005</v>
      </c>
      <c r="H464" s="78" t="s">
        <v>662</v>
      </c>
      <c r="I464" s="78" t="s">
        <v>1666</v>
      </c>
      <c r="J464">
        <v>0</v>
      </c>
      <c r="K464">
        <v>0</v>
      </c>
      <c r="L464">
        <v>48</v>
      </c>
      <c r="M464">
        <v>7603</v>
      </c>
      <c r="N464" s="78" t="s">
        <v>592</v>
      </c>
      <c r="O464">
        <v>1</v>
      </c>
      <c r="P464" s="82">
        <v>2</v>
      </c>
    </row>
    <row r="465" spans="1:16" x14ac:dyDescent="0.25">
      <c r="A465">
        <v>7604</v>
      </c>
      <c r="B465">
        <v>7604</v>
      </c>
      <c r="C465" s="78" t="s">
        <v>1667</v>
      </c>
      <c r="D465" s="78" t="s">
        <v>1611</v>
      </c>
      <c r="E465" s="78" t="s">
        <v>1611</v>
      </c>
      <c r="F465" s="78" t="s">
        <v>661</v>
      </c>
      <c r="G465">
        <v>0.45100000000000001</v>
      </c>
      <c r="H465" s="78" t="s">
        <v>662</v>
      </c>
      <c r="I465" s="78" t="s">
        <v>1668</v>
      </c>
      <c r="J465">
        <v>0</v>
      </c>
      <c r="K465">
        <v>0</v>
      </c>
      <c r="L465">
        <v>48</v>
      </c>
      <c r="M465">
        <v>7604</v>
      </c>
      <c r="N465" s="78" t="s">
        <v>595</v>
      </c>
      <c r="O465">
        <v>1</v>
      </c>
      <c r="P465" s="82">
        <v>1.9</v>
      </c>
    </row>
    <row r="466" spans="1:16" x14ac:dyDescent="0.25">
      <c r="A466">
        <v>7605</v>
      </c>
      <c r="B466">
        <v>7605</v>
      </c>
      <c r="C466" s="78" t="s">
        <v>1669</v>
      </c>
      <c r="D466" s="78" t="s">
        <v>1611</v>
      </c>
      <c r="E466" s="78" t="s">
        <v>1611</v>
      </c>
      <c r="F466" s="78" t="s">
        <v>661</v>
      </c>
      <c r="G466">
        <v>0.51</v>
      </c>
      <c r="H466" s="78" t="s">
        <v>662</v>
      </c>
      <c r="I466" s="78" t="s">
        <v>1670</v>
      </c>
      <c r="J466">
        <v>0</v>
      </c>
      <c r="K466">
        <v>0</v>
      </c>
      <c r="L466">
        <v>48</v>
      </c>
      <c r="M466">
        <v>7605</v>
      </c>
      <c r="N466" s="78" t="s">
        <v>598</v>
      </c>
      <c r="O466">
        <v>1</v>
      </c>
      <c r="P466" s="82">
        <v>1.9</v>
      </c>
    </row>
    <row r="467" spans="1:16" x14ac:dyDescent="0.25">
      <c r="A467">
        <v>7606</v>
      </c>
      <c r="B467">
        <v>7606</v>
      </c>
      <c r="C467" s="78" t="s">
        <v>1671</v>
      </c>
      <c r="D467" s="78" t="s">
        <v>1611</v>
      </c>
      <c r="E467" s="78" t="s">
        <v>1611</v>
      </c>
      <c r="F467" s="78" t="s">
        <v>661</v>
      </c>
      <c r="G467">
        <v>0.10539999999999999</v>
      </c>
      <c r="H467" s="78" t="s">
        <v>1226</v>
      </c>
      <c r="I467" s="78" t="s">
        <v>1672</v>
      </c>
      <c r="J467">
        <v>0</v>
      </c>
      <c r="K467">
        <v>0</v>
      </c>
      <c r="L467">
        <v>100</v>
      </c>
      <c r="M467">
        <v>7606</v>
      </c>
      <c r="N467" s="78" t="s">
        <v>601</v>
      </c>
      <c r="O467">
        <v>1</v>
      </c>
      <c r="P467" s="82">
        <v>0.45</v>
      </c>
    </row>
    <row r="468" spans="1:16" x14ac:dyDescent="0.25">
      <c r="A468">
        <v>7620</v>
      </c>
      <c r="B468">
        <v>7620</v>
      </c>
      <c r="C468" s="78" t="s">
        <v>1673</v>
      </c>
      <c r="D468" s="78" t="s">
        <v>1611</v>
      </c>
      <c r="E468" s="78" t="s">
        <v>1611</v>
      </c>
      <c r="F468" s="78" t="s">
        <v>661</v>
      </c>
      <c r="G468">
        <v>0.14499999999999999</v>
      </c>
      <c r="H468" s="78" t="s">
        <v>662</v>
      </c>
      <c r="I468" s="78" t="s">
        <v>1674</v>
      </c>
      <c r="J468">
        <v>0</v>
      </c>
      <c r="K468">
        <v>0</v>
      </c>
      <c r="L468">
        <v>200</v>
      </c>
      <c r="M468">
        <v>7620</v>
      </c>
      <c r="N468" s="78" t="s">
        <v>604</v>
      </c>
      <c r="O468">
        <v>1</v>
      </c>
      <c r="P468" s="82">
        <v>0.5</v>
      </c>
    </row>
    <row r="469" spans="1:16" x14ac:dyDescent="0.25">
      <c r="A469">
        <v>7700</v>
      </c>
      <c r="B469">
        <v>7700</v>
      </c>
      <c r="C469" s="78" t="s">
        <v>1675</v>
      </c>
      <c r="D469" s="78" t="s">
        <v>1676</v>
      </c>
      <c r="E469" s="78" t="s">
        <v>1676</v>
      </c>
      <c r="F469" s="78" t="s">
        <v>661</v>
      </c>
      <c r="G469">
        <v>1.38</v>
      </c>
      <c r="H469" s="78" t="s">
        <v>662</v>
      </c>
      <c r="I469" s="78" t="s">
        <v>1677</v>
      </c>
      <c r="J469">
        <v>0</v>
      </c>
      <c r="K469">
        <v>0</v>
      </c>
      <c r="L469">
        <v>40</v>
      </c>
      <c r="M469">
        <v>7700</v>
      </c>
      <c r="N469" s="78" t="s">
        <v>505</v>
      </c>
      <c r="O469">
        <v>1</v>
      </c>
      <c r="P469" s="82">
        <v>4.3499999999999996</v>
      </c>
    </row>
    <row r="470" spans="1:16" x14ac:dyDescent="0.25">
      <c r="A470">
        <v>7701</v>
      </c>
      <c r="B470">
        <v>7701</v>
      </c>
      <c r="C470" s="78" t="s">
        <v>1678</v>
      </c>
      <c r="D470" s="78" t="s">
        <v>1676</v>
      </c>
      <c r="E470" s="78" t="s">
        <v>1676</v>
      </c>
      <c r="F470" s="78" t="s">
        <v>661</v>
      </c>
      <c r="G470">
        <v>1.38</v>
      </c>
      <c r="H470" s="78" t="s">
        <v>662</v>
      </c>
      <c r="I470" s="78" t="s">
        <v>1679</v>
      </c>
      <c r="J470">
        <v>0</v>
      </c>
      <c r="K470">
        <v>0</v>
      </c>
      <c r="L470">
        <v>40</v>
      </c>
      <c r="M470">
        <v>7701</v>
      </c>
      <c r="N470" s="78" t="s">
        <v>509</v>
      </c>
      <c r="O470">
        <v>1</v>
      </c>
      <c r="P470" s="82">
        <v>4.55</v>
      </c>
    </row>
    <row r="471" spans="1:16" x14ac:dyDescent="0.25">
      <c r="A471">
        <v>7702</v>
      </c>
      <c r="B471">
        <v>7702</v>
      </c>
      <c r="C471" s="78" t="s">
        <v>1680</v>
      </c>
      <c r="D471" s="78" t="s">
        <v>1676</v>
      </c>
      <c r="E471" s="78" t="s">
        <v>1676</v>
      </c>
      <c r="F471" s="78" t="s">
        <v>661</v>
      </c>
      <c r="G471">
        <v>0.51500000000000001</v>
      </c>
      <c r="H471" s="78" t="s">
        <v>662</v>
      </c>
      <c r="I471" s="78" t="s">
        <v>1681</v>
      </c>
      <c r="J471">
        <v>0</v>
      </c>
      <c r="K471">
        <v>0</v>
      </c>
      <c r="L471">
        <v>100</v>
      </c>
      <c r="M471">
        <v>7702</v>
      </c>
      <c r="N471" s="78" t="s">
        <v>511</v>
      </c>
      <c r="O471">
        <v>1</v>
      </c>
      <c r="P471" s="82">
        <v>1.7</v>
      </c>
    </row>
    <row r="472" spans="1:16" x14ac:dyDescent="0.25">
      <c r="A472">
        <v>7703</v>
      </c>
      <c r="B472">
        <v>7703</v>
      </c>
      <c r="C472" s="78" t="s">
        <v>1682</v>
      </c>
      <c r="D472" s="78" t="s">
        <v>1676</v>
      </c>
      <c r="E472" s="78" t="s">
        <v>1676</v>
      </c>
      <c r="F472" s="78" t="s">
        <v>661</v>
      </c>
      <c r="G472">
        <v>0.50309999999999999</v>
      </c>
      <c r="H472" s="78" t="s">
        <v>1308</v>
      </c>
      <c r="I472" s="78" t="s">
        <v>1683</v>
      </c>
      <c r="J472">
        <v>0</v>
      </c>
      <c r="K472">
        <v>0</v>
      </c>
      <c r="L472">
        <v>100</v>
      </c>
      <c r="M472">
        <v>7703</v>
      </c>
      <c r="N472" s="78" t="s">
        <v>514</v>
      </c>
      <c r="O472">
        <v>1</v>
      </c>
      <c r="P472" s="82">
        <v>1.7</v>
      </c>
    </row>
    <row r="473" spans="1:16" x14ac:dyDescent="0.25">
      <c r="A473">
        <v>7720</v>
      </c>
      <c r="B473">
        <v>7720</v>
      </c>
      <c r="C473" s="78" t="s">
        <v>1684</v>
      </c>
      <c r="D473" s="78" t="s">
        <v>1676</v>
      </c>
      <c r="E473" s="78" t="s">
        <v>1676</v>
      </c>
      <c r="F473" s="78" t="s">
        <v>661</v>
      </c>
      <c r="G473">
        <v>0.75660000000000005</v>
      </c>
      <c r="H473" s="78" t="s">
        <v>1308</v>
      </c>
      <c r="I473" s="78" t="s">
        <v>1685</v>
      </c>
      <c r="J473">
        <v>0</v>
      </c>
      <c r="K473">
        <v>0</v>
      </c>
      <c r="L473">
        <v>12</v>
      </c>
      <c r="M473">
        <v>7720</v>
      </c>
      <c r="N473" s="78" t="s">
        <v>517</v>
      </c>
      <c r="O473">
        <v>1</v>
      </c>
      <c r="P473" s="82">
        <v>2.25</v>
      </c>
    </row>
    <row r="474" spans="1:16" x14ac:dyDescent="0.25">
      <c r="A474">
        <v>7721</v>
      </c>
      <c r="B474">
        <v>7721</v>
      </c>
      <c r="C474" s="78" t="s">
        <v>1686</v>
      </c>
      <c r="D474" s="78" t="s">
        <v>1676</v>
      </c>
      <c r="E474" s="78" t="s">
        <v>1676</v>
      </c>
      <c r="F474" s="78" t="s">
        <v>661</v>
      </c>
      <c r="G474">
        <v>0.75660000000000005</v>
      </c>
      <c r="H474" s="78" t="s">
        <v>1308</v>
      </c>
      <c r="I474" s="78" t="s">
        <v>1687</v>
      </c>
      <c r="J474">
        <v>0</v>
      </c>
      <c r="K474">
        <v>0</v>
      </c>
      <c r="L474">
        <v>12</v>
      </c>
      <c r="M474">
        <v>7721</v>
      </c>
      <c r="N474" s="78" t="s">
        <v>519</v>
      </c>
      <c r="O474">
        <v>1</v>
      </c>
      <c r="P474" s="82">
        <v>2.25</v>
      </c>
    </row>
    <row r="475" spans="1:16" x14ac:dyDescent="0.25">
      <c r="A475">
        <v>7730</v>
      </c>
      <c r="B475">
        <v>7730</v>
      </c>
      <c r="C475" s="78" t="s">
        <v>1688</v>
      </c>
      <c r="D475" s="78" t="s">
        <v>1676</v>
      </c>
      <c r="E475" s="78" t="s">
        <v>1676</v>
      </c>
      <c r="F475" s="78" t="s">
        <v>661</v>
      </c>
      <c r="G475">
        <v>0.35</v>
      </c>
      <c r="H475" s="78" t="s">
        <v>662</v>
      </c>
      <c r="I475" s="78" t="s">
        <v>1689</v>
      </c>
      <c r="J475">
        <v>0</v>
      </c>
      <c r="K475">
        <v>0</v>
      </c>
      <c r="L475">
        <v>36</v>
      </c>
      <c r="M475">
        <v>7730</v>
      </c>
      <c r="N475" s="78" t="s">
        <v>522</v>
      </c>
      <c r="O475">
        <v>1</v>
      </c>
      <c r="P475" s="82">
        <v>1.05</v>
      </c>
    </row>
    <row r="476" spans="1:16" x14ac:dyDescent="0.25">
      <c r="A476">
        <v>7740</v>
      </c>
      <c r="B476">
        <v>7740</v>
      </c>
      <c r="C476" s="78" t="s">
        <v>1690</v>
      </c>
      <c r="D476" s="78" t="s">
        <v>1564</v>
      </c>
      <c r="E476" s="78" t="s">
        <v>1564</v>
      </c>
      <c r="F476" s="78" t="s">
        <v>661</v>
      </c>
      <c r="G476">
        <v>0.2273</v>
      </c>
      <c r="H476" s="78" t="s">
        <v>1308</v>
      </c>
      <c r="I476" s="78" t="s">
        <v>1691</v>
      </c>
      <c r="J476">
        <v>0</v>
      </c>
      <c r="K476">
        <v>0</v>
      </c>
      <c r="L476">
        <v>100</v>
      </c>
      <c r="M476">
        <v>7740</v>
      </c>
      <c r="N476" s="78" t="s">
        <v>399</v>
      </c>
      <c r="O476">
        <v>1</v>
      </c>
      <c r="P476" s="82">
        <v>0.65</v>
      </c>
    </row>
    <row r="477" spans="1:16" x14ac:dyDescent="0.25">
      <c r="A477">
        <v>7741</v>
      </c>
      <c r="B477">
        <v>7741</v>
      </c>
      <c r="C477" s="78" t="s">
        <v>1692</v>
      </c>
      <c r="D477" s="78" t="s">
        <v>1564</v>
      </c>
      <c r="E477" s="78" t="s">
        <v>1564</v>
      </c>
      <c r="F477" s="78" t="s">
        <v>661</v>
      </c>
      <c r="G477">
        <v>0.40910000000000002</v>
      </c>
      <c r="H477" s="78" t="s">
        <v>1308</v>
      </c>
      <c r="I477" s="78" t="s">
        <v>1693</v>
      </c>
      <c r="J477">
        <v>0</v>
      </c>
      <c r="K477">
        <v>0</v>
      </c>
      <c r="L477">
        <v>72</v>
      </c>
      <c r="M477">
        <v>7741</v>
      </c>
      <c r="N477" s="78" t="s">
        <v>402</v>
      </c>
      <c r="O477">
        <v>1</v>
      </c>
      <c r="P477" s="82">
        <v>1.1499999999999999</v>
      </c>
    </row>
    <row r="478" spans="1:16" x14ac:dyDescent="0.25">
      <c r="A478">
        <v>7742</v>
      </c>
      <c r="B478">
        <v>7742</v>
      </c>
      <c r="C478" s="78" t="s">
        <v>1694</v>
      </c>
      <c r="D478" s="78" t="s">
        <v>1564</v>
      </c>
      <c r="E478" s="78" t="s">
        <v>1564</v>
      </c>
      <c r="F478" s="78" t="s">
        <v>661</v>
      </c>
      <c r="G478">
        <v>1.2</v>
      </c>
      <c r="H478" s="78" t="s">
        <v>662</v>
      </c>
      <c r="I478" s="78" t="s">
        <v>1695</v>
      </c>
      <c r="J478">
        <v>0</v>
      </c>
      <c r="K478">
        <v>0</v>
      </c>
      <c r="L478">
        <v>12</v>
      </c>
      <c r="M478">
        <v>7742</v>
      </c>
      <c r="N478" s="78" t="s">
        <v>405</v>
      </c>
      <c r="O478">
        <v>1</v>
      </c>
      <c r="P478" s="82">
        <v>4.2</v>
      </c>
    </row>
    <row r="479" spans="1:16" x14ac:dyDescent="0.25">
      <c r="A479">
        <v>7760</v>
      </c>
      <c r="B479">
        <v>7760</v>
      </c>
      <c r="C479" s="78" t="s">
        <v>1696</v>
      </c>
      <c r="D479" s="78" t="s">
        <v>1564</v>
      </c>
      <c r="E479" s="78" t="s">
        <v>1564</v>
      </c>
      <c r="F479" s="78" t="s">
        <v>661</v>
      </c>
      <c r="G479">
        <v>0.44330000000000003</v>
      </c>
      <c r="H479" s="78" t="s">
        <v>1308</v>
      </c>
      <c r="I479" s="78" t="s">
        <v>1697</v>
      </c>
      <c r="J479">
        <v>0</v>
      </c>
      <c r="K479">
        <v>0</v>
      </c>
      <c r="L479">
        <v>48</v>
      </c>
      <c r="M479">
        <v>7760</v>
      </c>
      <c r="N479" s="78" t="s">
        <v>408</v>
      </c>
      <c r="O479">
        <v>1</v>
      </c>
      <c r="P479" s="82">
        <v>1.25</v>
      </c>
    </row>
    <row r="480" spans="1:16" x14ac:dyDescent="0.25">
      <c r="A480">
        <v>7761</v>
      </c>
      <c r="B480">
        <v>7761</v>
      </c>
      <c r="C480" s="78" t="s">
        <v>1698</v>
      </c>
      <c r="D480" s="78" t="s">
        <v>1564</v>
      </c>
      <c r="E480" s="78" t="s">
        <v>1564</v>
      </c>
      <c r="F480" s="78" t="s">
        <v>661</v>
      </c>
      <c r="G480">
        <v>0.3977</v>
      </c>
      <c r="H480" s="78" t="s">
        <v>1308</v>
      </c>
      <c r="I480" s="78" t="s">
        <v>1699</v>
      </c>
      <c r="J480">
        <v>0</v>
      </c>
      <c r="K480">
        <v>0</v>
      </c>
      <c r="L480">
        <v>72</v>
      </c>
      <c r="M480">
        <v>7761</v>
      </c>
      <c r="N480" s="78" t="s">
        <v>411</v>
      </c>
      <c r="O480">
        <v>1</v>
      </c>
      <c r="P480" s="82">
        <v>1.2</v>
      </c>
    </row>
    <row r="481" spans="1:16" x14ac:dyDescent="0.25">
      <c r="A481">
        <v>7800</v>
      </c>
      <c r="B481">
        <v>7800</v>
      </c>
      <c r="C481" s="78" t="s">
        <v>1700</v>
      </c>
      <c r="D481" s="78" t="s">
        <v>1546</v>
      </c>
      <c r="E481" s="78" t="s">
        <v>1546</v>
      </c>
      <c r="F481" s="78" t="s">
        <v>661</v>
      </c>
      <c r="G481">
        <v>0.19</v>
      </c>
      <c r="H481" s="78" t="s">
        <v>1308</v>
      </c>
      <c r="I481" s="78" t="s">
        <v>1701</v>
      </c>
      <c r="J481">
        <v>0</v>
      </c>
      <c r="K481">
        <v>0</v>
      </c>
      <c r="L481">
        <v>120</v>
      </c>
      <c r="M481">
        <v>7800</v>
      </c>
      <c r="N481" s="78" t="s">
        <v>419</v>
      </c>
      <c r="O481">
        <v>1</v>
      </c>
      <c r="P481" s="82">
        <v>0.65</v>
      </c>
    </row>
    <row r="482" spans="1:16" x14ac:dyDescent="0.25">
      <c r="A482">
        <v>7801</v>
      </c>
      <c r="B482">
        <v>7801</v>
      </c>
      <c r="C482" s="78" t="s">
        <v>1702</v>
      </c>
      <c r="D482" s="78" t="s">
        <v>1546</v>
      </c>
      <c r="E482" s="78" t="s">
        <v>1546</v>
      </c>
      <c r="F482" s="78" t="s">
        <v>661</v>
      </c>
      <c r="G482">
        <v>0.1867</v>
      </c>
      <c r="H482" s="78" t="s">
        <v>1308</v>
      </c>
      <c r="I482" s="78" t="s">
        <v>1703</v>
      </c>
      <c r="J482">
        <v>0</v>
      </c>
      <c r="K482">
        <v>0</v>
      </c>
      <c r="L482">
        <v>120</v>
      </c>
      <c r="M482">
        <v>7801</v>
      </c>
      <c r="N482" s="78" t="s">
        <v>422</v>
      </c>
      <c r="O482">
        <v>1</v>
      </c>
      <c r="P482" s="82">
        <v>0.65</v>
      </c>
    </row>
    <row r="483" spans="1:16" x14ac:dyDescent="0.25">
      <c r="A483">
        <v>7802</v>
      </c>
      <c r="B483">
        <v>7802</v>
      </c>
      <c r="C483" s="78" t="s">
        <v>1704</v>
      </c>
      <c r="D483" s="78" t="s">
        <v>1546</v>
      </c>
      <c r="E483" s="78" t="s">
        <v>1546</v>
      </c>
      <c r="F483" s="78" t="s">
        <v>661</v>
      </c>
      <c r="G483">
        <v>0.19</v>
      </c>
      <c r="H483" s="78" t="s">
        <v>662</v>
      </c>
      <c r="I483" s="78" t="s">
        <v>1705</v>
      </c>
      <c r="J483">
        <v>0</v>
      </c>
      <c r="K483">
        <v>0</v>
      </c>
      <c r="L483">
        <v>120</v>
      </c>
      <c r="M483">
        <v>7802</v>
      </c>
      <c r="N483" s="78" t="s">
        <v>425</v>
      </c>
      <c r="O483">
        <v>1</v>
      </c>
      <c r="P483" s="82">
        <v>0.65</v>
      </c>
    </row>
    <row r="484" spans="1:16" x14ac:dyDescent="0.25">
      <c r="A484">
        <v>7803</v>
      </c>
      <c r="B484">
        <v>7803</v>
      </c>
      <c r="C484" s="78" t="s">
        <v>1706</v>
      </c>
      <c r="D484" s="78" t="s">
        <v>1546</v>
      </c>
      <c r="E484" s="78" t="s">
        <v>1546</v>
      </c>
      <c r="F484" s="78" t="s">
        <v>661</v>
      </c>
      <c r="G484">
        <v>0.19</v>
      </c>
      <c r="H484" s="78" t="s">
        <v>662</v>
      </c>
      <c r="I484" s="78" t="s">
        <v>1707</v>
      </c>
      <c r="J484">
        <v>0</v>
      </c>
      <c r="K484">
        <v>0</v>
      </c>
      <c r="L484">
        <v>120</v>
      </c>
      <c r="M484">
        <v>7803</v>
      </c>
      <c r="N484" s="78" t="s">
        <v>427</v>
      </c>
      <c r="O484">
        <v>1</v>
      </c>
      <c r="P484" s="82">
        <v>0.65</v>
      </c>
    </row>
    <row r="485" spans="1:16" x14ac:dyDescent="0.25">
      <c r="A485">
        <v>7804</v>
      </c>
      <c r="B485">
        <v>7804</v>
      </c>
      <c r="C485" s="78" t="s">
        <v>1803</v>
      </c>
      <c r="D485" s="78" t="s">
        <v>1546</v>
      </c>
      <c r="E485" s="78" t="s">
        <v>1546</v>
      </c>
      <c r="F485" s="78" t="s">
        <v>661</v>
      </c>
      <c r="G485">
        <v>0.19</v>
      </c>
      <c r="H485" s="78" t="s">
        <v>662</v>
      </c>
      <c r="I485" s="78" t="s">
        <v>1708</v>
      </c>
      <c r="J485">
        <v>0</v>
      </c>
      <c r="K485">
        <v>0</v>
      </c>
      <c r="L485">
        <v>120</v>
      </c>
      <c r="M485">
        <v>7804</v>
      </c>
      <c r="N485" s="78" t="s">
        <v>430</v>
      </c>
      <c r="O485">
        <v>1</v>
      </c>
      <c r="P485" s="82">
        <v>0.65</v>
      </c>
    </row>
    <row r="486" spans="1:16" x14ac:dyDescent="0.25">
      <c r="A486">
        <v>7841</v>
      </c>
      <c r="B486">
        <v>7841</v>
      </c>
      <c r="C486" s="78" t="s">
        <v>1709</v>
      </c>
      <c r="D486" s="78" t="s">
        <v>1546</v>
      </c>
      <c r="E486" s="78" t="s">
        <v>1546</v>
      </c>
      <c r="F486" s="78" t="s">
        <v>661</v>
      </c>
      <c r="G486">
        <v>1.0371999999999999</v>
      </c>
      <c r="H486" s="78" t="s">
        <v>1308</v>
      </c>
      <c r="I486" s="78" t="s">
        <v>1710</v>
      </c>
      <c r="J486">
        <v>0</v>
      </c>
      <c r="K486">
        <v>0</v>
      </c>
      <c r="L486">
        <v>36</v>
      </c>
      <c r="M486">
        <v>7841</v>
      </c>
      <c r="N486" s="78" t="s">
        <v>436</v>
      </c>
      <c r="O486">
        <v>1</v>
      </c>
      <c r="P486" s="82">
        <v>3</v>
      </c>
    </row>
    <row r="487" spans="1:16" x14ac:dyDescent="0.25">
      <c r="A487">
        <v>7900</v>
      </c>
      <c r="B487">
        <v>7900</v>
      </c>
      <c r="C487" s="78" t="s">
        <v>1711</v>
      </c>
      <c r="D487" s="78" t="s">
        <v>1712</v>
      </c>
      <c r="E487" s="78" t="s">
        <v>1712</v>
      </c>
      <c r="F487" s="78" t="s">
        <v>661</v>
      </c>
      <c r="G487">
        <v>0.3241</v>
      </c>
      <c r="H487" s="78" t="s">
        <v>1308</v>
      </c>
      <c r="I487" s="78" t="s">
        <v>1713</v>
      </c>
      <c r="J487">
        <v>0</v>
      </c>
      <c r="K487">
        <v>0</v>
      </c>
      <c r="L487">
        <v>60</v>
      </c>
      <c r="M487">
        <v>7900</v>
      </c>
      <c r="N487" s="78" t="s">
        <v>472</v>
      </c>
      <c r="O487">
        <v>1</v>
      </c>
      <c r="P487" s="82">
        <v>1.1000000000000001</v>
      </c>
    </row>
    <row r="488" spans="1:16" x14ac:dyDescent="0.25">
      <c r="A488">
        <v>7901</v>
      </c>
      <c r="B488">
        <v>7901</v>
      </c>
      <c r="C488" s="78" t="s">
        <v>1714</v>
      </c>
      <c r="D488" s="78" t="s">
        <v>1712</v>
      </c>
      <c r="E488" s="78" t="s">
        <v>1712</v>
      </c>
      <c r="F488" s="78" t="s">
        <v>661</v>
      </c>
      <c r="G488">
        <v>0.3241</v>
      </c>
      <c r="H488" s="78" t="s">
        <v>1308</v>
      </c>
      <c r="I488" s="78" t="s">
        <v>1715</v>
      </c>
      <c r="J488">
        <v>0</v>
      </c>
      <c r="K488">
        <v>0</v>
      </c>
      <c r="L488">
        <v>60</v>
      </c>
      <c r="M488">
        <v>7901</v>
      </c>
      <c r="N488" s="78" t="s">
        <v>475</v>
      </c>
      <c r="O488">
        <v>1</v>
      </c>
      <c r="P488" s="82">
        <v>1.1000000000000001</v>
      </c>
    </row>
    <row r="489" spans="1:16" x14ac:dyDescent="0.25">
      <c r="A489">
        <v>7920</v>
      </c>
      <c r="B489">
        <v>7920</v>
      </c>
      <c r="C489" s="78" t="s">
        <v>1716</v>
      </c>
      <c r="D489" s="78" t="s">
        <v>1712</v>
      </c>
      <c r="E489" s="78" t="s">
        <v>1712</v>
      </c>
      <c r="F489" s="78" t="s">
        <v>661</v>
      </c>
      <c r="G489">
        <v>0.42</v>
      </c>
      <c r="H489" s="78" t="s">
        <v>662</v>
      </c>
      <c r="I489" s="78" t="s">
        <v>1717</v>
      </c>
      <c r="J489">
        <v>0</v>
      </c>
      <c r="K489">
        <v>0</v>
      </c>
      <c r="L489">
        <v>60</v>
      </c>
      <c r="M489">
        <v>7920</v>
      </c>
      <c r="N489" s="78" t="s">
        <v>477</v>
      </c>
      <c r="O489">
        <v>1</v>
      </c>
      <c r="P489" s="82">
        <v>1.65</v>
      </c>
    </row>
    <row r="490" spans="1:16" x14ac:dyDescent="0.25">
      <c r="A490">
        <v>7921</v>
      </c>
      <c r="B490">
        <v>7921</v>
      </c>
      <c r="C490" s="78" t="s">
        <v>1718</v>
      </c>
      <c r="D490" s="78" t="s">
        <v>1712</v>
      </c>
      <c r="E490" s="78" t="s">
        <v>1712</v>
      </c>
      <c r="F490" s="78" t="s">
        <v>661</v>
      </c>
      <c r="G490">
        <v>0.42</v>
      </c>
      <c r="H490" s="78" t="s">
        <v>662</v>
      </c>
      <c r="I490" s="78" t="s">
        <v>1719</v>
      </c>
      <c r="J490">
        <v>0</v>
      </c>
      <c r="K490">
        <v>0</v>
      </c>
      <c r="L490">
        <v>60</v>
      </c>
      <c r="M490">
        <v>7921</v>
      </c>
      <c r="N490" s="78" t="s">
        <v>1720</v>
      </c>
      <c r="O490">
        <v>1</v>
      </c>
      <c r="P490" s="82">
        <v>1.65</v>
      </c>
    </row>
    <row r="491" spans="1:16" x14ac:dyDescent="0.25">
      <c r="A491">
        <v>7930</v>
      </c>
      <c r="B491">
        <v>7930</v>
      </c>
      <c r="C491" s="78" t="s">
        <v>1721</v>
      </c>
      <c r="D491" s="78" t="s">
        <v>1712</v>
      </c>
      <c r="E491" s="78" t="s">
        <v>1712</v>
      </c>
      <c r="F491" s="78" t="s">
        <v>661</v>
      </c>
      <c r="G491">
        <v>0.34760000000000002</v>
      </c>
      <c r="H491" s="78" t="s">
        <v>1487</v>
      </c>
      <c r="I491" s="78" t="s">
        <v>1722</v>
      </c>
      <c r="J491">
        <v>0</v>
      </c>
      <c r="K491">
        <v>0</v>
      </c>
      <c r="L491">
        <v>42</v>
      </c>
      <c r="M491">
        <v>7930</v>
      </c>
      <c r="N491" s="78" t="s">
        <v>484</v>
      </c>
      <c r="O491">
        <v>1</v>
      </c>
      <c r="P491" s="82">
        <v>1.05</v>
      </c>
    </row>
    <row r="492" spans="1:16" x14ac:dyDescent="0.25">
      <c r="A492">
        <v>7931</v>
      </c>
      <c r="B492">
        <v>7931</v>
      </c>
      <c r="C492" s="78" t="s">
        <v>1723</v>
      </c>
      <c r="D492" s="78" t="s">
        <v>1712</v>
      </c>
      <c r="E492" s="78" t="s">
        <v>1712</v>
      </c>
      <c r="F492" s="78" t="s">
        <v>661</v>
      </c>
      <c r="G492">
        <v>0.34760000000000002</v>
      </c>
      <c r="H492" s="78" t="s">
        <v>1308</v>
      </c>
      <c r="I492" s="78" t="s">
        <v>1724</v>
      </c>
      <c r="J492">
        <v>0</v>
      </c>
      <c r="K492">
        <v>0</v>
      </c>
      <c r="L492">
        <v>42</v>
      </c>
      <c r="M492">
        <v>7931</v>
      </c>
      <c r="N492" s="78" t="s">
        <v>487</v>
      </c>
      <c r="O492">
        <v>1</v>
      </c>
      <c r="P492" s="82">
        <v>1.05</v>
      </c>
    </row>
    <row r="493" spans="1:16" x14ac:dyDescent="0.25">
      <c r="A493">
        <v>7932</v>
      </c>
      <c r="B493">
        <v>7932</v>
      </c>
      <c r="C493" s="78" t="s">
        <v>1725</v>
      </c>
      <c r="D493" s="78" t="s">
        <v>1712</v>
      </c>
      <c r="E493" s="78" t="s">
        <v>1712</v>
      </c>
      <c r="F493" s="78" t="s">
        <v>661</v>
      </c>
      <c r="G493">
        <v>1.1189</v>
      </c>
      <c r="H493" s="78" t="s">
        <v>1308</v>
      </c>
      <c r="I493" s="78" t="s">
        <v>1726</v>
      </c>
      <c r="J493">
        <v>0</v>
      </c>
      <c r="K493">
        <v>0</v>
      </c>
      <c r="L493">
        <v>28</v>
      </c>
      <c r="M493">
        <v>7932</v>
      </c>
      <c r="N493" s="78" t="s">
        <v>489</v>
      </c>
      <c r="O493">
        <v>1</v>
      </c>
      <c r="P493" s="82">
        <v>3</v>
      </c>
    </row>
    <row r="494" spans="1:16" x14ac:dyDescent="0.25">
      <c r="A494">
        <v>7933</v>
      </c>
      <c r="B494">
        <v>7933</v>
      </c>
      <c r="C494" s="78" t="s">
        <v>1727</v>
      </c>
      <c r="D494" s="78" t="s">
        <v>1712</v>
      </c>
      <c r="E494" s="78" t="s">
        <v>1712</v>
      </c>
      <c r="F494" s="78" t="s">
        <v>661</v>
      </c>
      <c r="G494">
        <v>1.1189</v>
      </c>
      <c r="H494" s="78" t="s">
        <v>1308</v>
      </c>
      <c r="I494" s="78" t="s">
        <v>1728</v>
      </c>
      <c r="J494">
        <v>0</v>
      </c>
      <c r="K494">
        <v>0</v>
      </c>
      <c r="L494">
        <v>28</v>
      </c>
      <c r="M494">
        <v>7933</v>
      </c>
      <c r="N494" s="78" t="s">
        <v>492</v>
      </c>
      <c r="O494">
        <v>1</v>
      </c>
      <c r="P494" s="82">
        <v>3</v>
      </c>
    </row>
    <row r="495" spans="1:16" x14ac:dyDescent="0.25">
      <c r="A495">
        <v>7950</v>
      </c>
      <c r="B495">
        <v>7950</v>
      </c>
      <c r="C495" s="78" t="s">
        <v>1729</v>
      </c>
      <c r="D495" s="78" t="s">
        <v>1712</v>
      </c>
      <c r="E495" s="78" t="s">
        <v>1712</v>
      </c>
      <c r="F495" s="78" t="s">
        <v>661</v>
      </c>
      <c r="G495">
        <v>0.5071</v>
      </c>
      <c r="H495" s="78" t="s">
        <v>1308</v>
      </c>
      <c r="I495" s="78" t="s">
        <v>1730</v>
      </c>
      <c r="J495">
        <v>0</v>
      </c>
      <c r="K495">
        <v>0</v>
      </c>
      <c r="L495">
        <v>42</v>
      </c>
      <c r="M495">
        <v>7950</v>
      </c>
      <c r="N495" s="78" t="s">
        <v>494</v>
      </c>
      <c r="O495">
        <v>1</v>
      </c>
      <c r="P495" s="82">
        <v>1.65</v>
      </c>
    </row>
    <row r="496" spans="1:16" x14ac:dyDescent="0.25">
      <c r="A496">
        <v>7951</v>
      </c>
      <c r="B496">
        <v>7951</v>
      </c>
      <c r="C496" s="78" t="s">
        <v>1731</v>
      </c>
      <c r="D496" s="78" t="s">
        <v>1712</v>
      </c>
      <c r="E496" s="78" t="s">
        <v>1712</v>
      </c>
      <c r="F496" s="78" t="s">
        <v>661</v>
      </c>
      <c r="G496">
        <v>1.1499999999999999</v>
      </c>
      <c r="H496" s="78" t="s">
        <v>662</v>
      </c>
      <c r="I496" s="78" t="s">
        <v>1732</v>
      </c>
      <c r="J496">
        <v>0</v>
      </c>
      <c r="K496">
        <v>0</v>
      </c>
      <c r="L496">
        <v>12</v>
      </c>
      <c r="M496">
        <v>7951</v>
      </c>
      <c r="N496" s="78" t="s">
        <v>498</v>
      </c>
      <c r="O496">
        <v>1</v>
      </c>
      <c r="P496" s="82">
        <v>3.85</v>
      </c>
    </row>
    <row r="497" spans="1:16" x14ac:dyDescent="0.25">
      <c r="A497">
        <v>7952</v>
      </c>
      <c r="B497">
        <v>7952</v>
      </c>
      <c r="C497" s="78" t="s">
        <v>1733</v>
      </c>
      <c r="D497" s="78" t="s">
        <v>1712</v>
      </c>
      <c r="E497" s="78" t="s">
        <v>1712</v>
      </c>
      <c r="F497" s="78" t="s">
        <v>661</v>
      </c>
      <c r="G497">
        <v>1.1499999999999999</v>
      </c>
      <c r="H497" s="78" t="s">
        <v>662</v>
      </c>
      <c r="I497" s="78" t="s">
        <v>1734</v>
      </c>
      <c r="J497">
        <v>0</v>
      </c>
      <c r="K497">
        <v>0</v>
      </c>
      <c r="L497">
        <v>12</v>
      </c>
      <c r="M497">
        <v>7952</v>
      </c>
      <c r="N497" s="78" t="s">
        <v>500</v>
      </c>
      <c r="O497">
        <v>1</v>
      </c>
      <c r="P497" s="82">
        <v>3.85</v>
      </c>
    </row>
    <row r="498" spans="1:16" x14ac:dyDescent="0.25">
      <c r="A498">
        <v>7953</v>
      </c>
      <c r="B498">
        <v>7953</v>
      </c>
      <c r="C498" s="78" t="s">
        <v>1735</v>
      </c>
      <c r="D498" s="78" t="s">
        <v>1712</v>
      </c>
      <c r="E498" s="78" t="s">
        <v>1712</v>
      </c>
      <c r="F498" s="78" t="s">
        <v>661</v>
      </c>
      <c r="G498">
        <v>0.97909999999999997</v>
      </c>
      <c r="H498" s="78" t="s">
        <v>1308</v>
      </c>
      <c r="I498" s="78" t="s">
        <v>1736</v>
      </c>
      <c r="J498">
        <v>0</v>
      </c>
      <c r="K498">
        <v>0</v>
      </c>
      <c r="L498">
        <v>24</v>
      </c>
      <c r="M498">
        <v>7953</v>
      </c>
      <c r="N498" s="78" t="s">
        <v>501</v>
      </c>
      <c r="O498">
        <v>1</v>
      </c>
      <c r="P498" s="82">
        <v>2.8</v>
      </c>
    </row>
    <row r="499" spans="1:16" x14ac:dyDescent="0.25">
      <c r="A499">
        <v>7954</v>
      </c>
      <c r="B499">
        <v>7954</v>
      </c>
      <c r="C499" s="78" t="s">
        <v>1737</v>
      </c>
      <c r="D499" s="78" t="s">
        <v>1712</v>
      </c>
      <c r="E499" s="78" t="s">
        <v>1712</v>
      </c>
      <c r="F499" s="78" t="s">
        <v>661</v>
      </c>
      <c r="G499">
        <v>0.97909999999999997</v>
      </c>
      <c r="H499" s="78" t="s">
        <v>1308</v>
      </c>
      <c r="I499" s="78" t="s">
        <v>1738</v>
      </c>
      <c r="J499">
        <v>0</v>
      </c>
      <c r="K499">
        <v>0</v>
      </c>
      <c r="L499">
        <v>24</v>
      </c>
      <c r="M499">
        <v>7954</v>
      </c>
      <c r="N499" s="78" t="s">
        <v>504</v>
      </c>
      <c r="O499">
        <v>1</v>
      </c>
      <c r="P499" s="82">
        <v>2.8</v>
      </c>
    </row>
    <row r="500" spans="1:16" x14ac:dyDescent="0.25">
      <c r="A500">
        <v>7955</v>
      </c>
      <c r="B500">
        <v>7955</v>
      </c>
      <c r="C500" s="78" t="s">
        <v>1739</v>
      </c>
      <c r="D500" s="78" t="s">
        <v>1712</v>
      </c>
      <c r="E500" s="78" t="s">
        <v>1712</v>
      </c>
      <c r="F500" s="78" t="s">
        <v>661</v>
      </c>
      <c r="G500">
        <v>0.52890000000000004</v>
      </c>
      <c r="H500" s="78" t="s">
        <v>1308</v>
      </c>
      <c r="I500" s="78" t="s">
        <v>1740</v>
      </c>
      <c r="J500">
        <v>0</v>
      </c>
      <c r="K500">
        <v>0</v>
      </c>
      <c r="L500">
        <v>28</v>
      </c>
      <c r="M500">
        <v>7955</v>
      </c>
      <c r="N500" s="78" t="s">
        <v>506</v>
      </c>
      <c r="O500">
        <v>1</v>
      </c>
      <c r="P500" s="82">
        <v>1.75</v>
      </c>
    </row>
    <row r="501" spans="1:16" x14ac:dyDescent="0.25">
      <c r="A501">
        <v>7956</v>
      </c>
      <c r="B501">
        <v>7956</v>
      </c>
      <c r="C501" s="78" t="s">
        <v>1741</v>
      </c>
      <c r="D501" s="78" t="s">
        <v>1712</v>
      </c>
      <c r="E501" s="78" t="s">
        <v>1712</v>
      </c>
      <c r="F501" s="78" t="s">
        <v>661</v>
      </c>
      <c r="G501">
        <v>0.505</v>
      </c>
      <c r="H501" s="78" t="s">
        <v>1308</v>
      </c>
      <c r="I501" s="78" t="s">
        <v>1742</v>
      </c>
      <c r="J501">
        <v>0</v>
      </c>
      <c r="K501">
        <v>0</v>
      </c>
      <c r="L501">
        <v>64</v>
      </c>
      <c r="M501">
        <v>7956</v>
      </c>
      <c r="N501" s="78" t="s">
        <v>510</v>
      </c>
      <c r="O501">
        <v>1</v>
      </c>
      <c r="P501" s="82">
        <v>1.65</v>
      </c>
    </row>
    <row r="502" spans="1:16" x14ac:dyDescent="0.25">
      <c r="A502">
        <v>7958</v>
      </c>
      <c r="B502">
        <v>7958</v>
      </c>
      <c r="C502" s="78" t="s">
        <v>1804</v>
      </c>
      <c r="D502" s="78" t="s">
        <v>1712</v>
      </c>
      <c r="E502" s="78" t="s">
        <v>1712</v>
      </c>
      <c r="F502" s="78" t="s">
        <v>661</v>
      </c>
      <c r="G502">
        <v>1.1499999999999999</v>
      </c>
      <c r="H502" s="78" t="s">
        <v>662</v>
      </c>
      <c r="I502" s="78" t="s">
        <v>1743</v>
      </c>
      <c r="J502">
        <v>0</v>
      </c>
      <c r="K502">
        <v>0</v>
      </c>
      <c r="L502">
        <v>12</v>
      </c>
      <c r="M502">
        <v>7958</v>
      </c>
      <c r="N502" s="78" t="s">
        <v>512</v>
      </c>
      <c r="O502">
        <v>1</v>
      </c>
      <c r="P502" s="82">
        <v>3.5</v>
      </c>
    </row>
    <row r="503" spans="1:16" x14ac:dyDescent="0.25">
      <c r="A503">
        <v>7970</v>
      </c>
      <c r="B503">
        <v>7970</v>
      </c>
      <c r="C503" s="78" t="s">
        <v>1744</v>
      </c>
      <c r="D503" s="78" t="s">
        <v>1712</v>
      </c>
      <c r="E503" s="78" t="s">
        <v>1712</v>
      </c>
      <c r="F503" s="78" t="s">
        <v>661</v>
      </c>
      <c r="G503">
        <v>0.505</v>
      </c>
      <c r="H503" s="78" t="s">
        <v>1308</v>
      </c>
      <c r="I503" s="78" t="s">
        <v>1745</v>
      </c>
      <c r="J503">
        <v>0</v>
      </c>
      <c r="K503">
        <v>0</v>
      </c>
      <c r="L503">
        <v>64</v>
      </c>
      <c r="M503">
        <v>7970</v>
      </c>
      <c r="N503" s="78" t="s">
        <v>515</v>
      </c>
      <c r="O503">
        <v>1</v>
      </c>
      <c r="P503" s="82">
        <v>1.45</v>
      </c>
    </row>
    <row r="504" spans="1:16" x14ac:dyDescent="0.25">
      <c r="A504">
        <v>7971</v>
      </c>
      <c r="B504">
        <v>7971</v>
      </c>
      <c r="C504" s="78" t="s">
        <v>1746</v>
      </c>
      <c r="D504" s="78" t="s">
        <v>1712</v>
      </c>
      <c r="E504" s="78" t="s">
        <v>1712</v>
      </c>
      <c r="F504" s="78" t="s">
        <v>661</v>
      </c>
      <c r="G504">
        <v>0.47799999999999998</v>
      </c>
      <c r="H504" s="78" t="s">
        <v>1308</v>
      </c>
      <c r="I504" s="78" t="s">
        <v>1747</v>
      </c>
      <c r="J504">
        <v>0</v>
      </c>
      <c r="K504">
        <v>0</v>
      </c>
      <c r="L504">
        <v>30</v>
      </c>
      <c r="M504">
        <v>7971</v>
      </c>
      <c r="N504" s="78" t="s">
        <v>518</v>
      </c>
      <c r="O504">
        <v>1</v>
      </c>
      <c r="P504" s="82">
        <v>1.55</v>
      </c>
    </row>
    <row r="505" spans="1:16" x14ac:dyDescent="0.25">
      <c r="A505">
        <v>7973</v>
      </c>
      <c r="B505">
        <v>7973</v>
      </c>
      <c r="C505" s="78" t="s">
        <v>1748</v>
      </c>
      <c r="D505" s="78" t="s">
        <v>1712</v>
      </c>
      <c r="E505" s="78" t="s">
        <v>1712</v>
      </c>
      <c r="F505" s="78" t="s">
        <v>661</v>
      </c>
      <c r="G505">
        <v>0.498</v>
      </c>
      <c r="H505" s="78" t="s">
        <v>1308</v>
      </c>
      <c r="I505" s="78" t="s">
        <v>1749</v>
      </c>
      <c r="J505">
        <v>0</v>
      </c>
      <c r="K505">
        <v>0</v>
      </c>
      <c r="L505">
        <v>30</v>
      </c>
      <c r="M505">
        <v>7973</v>
      </c>
      <c r="N505" s="78" t="s">
        <v>520</v>
      </c>
      <c r="O505">
        <v>1</v>
      </c>
      <c r="P505" s="82">
        <v>1.5</v>
      </c>
    </row>
    <row r="506" spans="1:16" x14ac:dyDescent="0.25">
      <c r="A506">
        <v>7974</v>
      </c>
      <c r="B506">
        <v>7974</v>
      </c>
      <c r="C506" s="78" t="s">
        <v>1750</v>
      </c>
      <c r="D506" s="78" t="s">
        <v>1712</v>
      </c>
      <c r="E506" s="78" t="s">
        <v>1712</v>
      </c>
      <c r="F506" s="78" t="s">
        <v>661</v>
      </c>
      <c r="G506">
        <v>0.505</v>
      </c>
      <c r="H506" s="78" t="s">
        <v>1308</v>
      </c>
      <c r="I506" s="78" t="s">
        <v>1751</v>
      </c>
      <c r="J506">
        <v>0</v>
      </c>
      <c r="K506">
        <v>0</v>
      </c>
      <c r="L506">
        <v>64</v>
      </c>
      <c r="M506">
        <v>7974</v>
      </c>
      <c r="N506" s="78" t="s">
        <v>523</v>
      </c>
      <c r="O506">
        <v>1</v>
      </c>
      <c r="P506" s="82">
        <v>1.45</v>
      </c>
    </row>
    <row r="507" spans="1:16" x14ac:dyDescent="0.25">
      <c r="A507">
        <v>8000</v>
      </c>
      <c r="B507">
        <v>8000</v>
      </c>
      <c r="C507" s="78" t="s">
        <v>1752</v>
      </c>
      <c r="D507" s="78" t="s">
        <v>1753</v>
      </c>
      <c r="E507" s="78" t="s">
        <v>1753</v>
      </c>
      <c r="F507" s="78" t="s">
        <v>661</v>
      </c>
      <c r="G507">
        <v>0.22450000000000001</v>
      </c>
      <c r="H507" s="78" t="s">
        <v>662</v>
      </c>
      <c r="I507" s="78" t="s">
        <v>1754</v>
      </c>
      <c r="J507">
        <v>0</v>
      </c>
      <c r="K507">
        <v>0</v>
      </c>
      <c r="L507">
        <v>24</v>
      </c>
      <c r="M507">
        <v>8000</v>
      </c>
      <c r="N507" s="78" t="s">
        <v>445</v>
      </c>
      <c r="O507">
        <v>1</v>
      </c>
      <c r="P507" s="82">
        <v>0.95</v>
      </c>
    </row>
    <row r="508" spans="1:16" x14ac:dyDescent="0.25">
      <c r="A508">
        <v>8001</v>
      </c>
      <c r="B508">
        <v>8001</v>
      </c>
      <c r="C508" s="78" t="s">
        <v>1755</v>
      </c>
      <c r="D508" s="78" t="s">
        <v>1753</v>
      </c>
      <c r="E508" s="78" t="s">
        <v>1753</v>
      </c>
      <c r="F508" s="78" t="s">
        <v>661</v>
      </c>
      <c r="G508">
        <v>0.2</v>
      </c>
      <c r="H508" s="78" t="s">
        <v>662</v>
      </c>
      <c r="I508" s="78" t="s">
        <v>1756</v>
      </c>
      <c r="J508">
        <v>0</v>
      </c>
      <c r="K508">
        <v>0</v>
      </c>
      <c r="L508">
        <v>24</v>
      </c>
      <c r="M508">
        <v>8001</v>
      </c>
      <c r="N508" s="78" t="s">
        <v>448</v>
      </c>
      <c r="O508">
        <v>1</v>
      </c>
      <c r="P508" s="82">
        <v>0.95</v>
      </c>
    </row>
    <row r="509" spans="1:16" x14ac:dyDescent="0.25">
      <c r="A509">
        <v>8002</v>
      </c>
      <c r="B509">
        <v>8002</v>
      </c>
      <c r="C509" s="78" t="s">
        <v>1757</v>
      </c>
      <c r="D509" s="78" t="s">
        <v>1753</v>
      </c>
      <c r="E509" s="78" t="s">
        <v>1753</v>
      </c>
      <c r="F509" s="78" t="s">
        <v>661</v>
      </c>
      <c r="G509">
        <v>0.2</v>
      </c>
      <c r="H509" s="78" t="s">
        <v>662</v>
      </c>
      <c r="I509" s="78" t="s">
        <v>1758</v>
      </c>
      <c r="J509">
        <v>0</v>
      </c>
      <c r="K509">
        <v>0</v>
      </c>
      <c r="L509">
        <v>24</v>
      </c>
      <c r="M509">
        <v>8002</v>
      </c>
      <c r="N509" s="78" t="s">
        <v>451</v>
      </c>
      <c r="O509">
        <v>1</v>
      </c>
      <c r="P509" s="82">
        <v>0.95</v>
      </c>
    </row>
    <row r="510" spans="1:16" x14ac:dyDescent="0.25">
      <c r="A510">
        <v>8010</v>
      </c>
      <c r="B510">
        <v>8010</v>
      </c>
      <c r="C510" s="78" t="s">
        <v>1759</v>
      </c>
      <c r="D510" s="78" t="s">
        <v>1753</v>
      </c>
      <c r="E510" s="78" t="s">
        <v>1753</v>
      </c>
      <c r="F510" s="78" t="s">
        <v>661</v>
      </c>
      <c r="G510">
        <v>0.2</v>
      </c>
      <c r="H510" s="78" t="s">
        <v>662</v>
      </c>
      <c r="I510" s="78" t="s">
        <v>1760</v>
      </c>
      <c r="J510">
        <v>0</v>
      </c>
      <c r="K510">
        <v>0</v>
      </c>
      <c r="L510">
        <v>24</v>
      </c>
      <c r="M510">
        <v>8010</v>
      </c>
      <c r="N510" s="78" t="s">
        <v>453</v>
      </c>
      <c r="O510">
        <v>1</v>
      </c>
      <c r="P510" s="82">
        <v>0.95</v>
      </c>
    </row>
    <row r="511" spans="1:16" x14ac:dyDescent="0.25">
      <c r="A511">
        <v>8011</v>
      </c>
      <c r="B511">
        <v>8011</v>
      </c>
      <c r="C511" s="78" t="s">
        <v>1761</v>
      </c>
      <c r="D511" s="78" t="s">
        <v>1753</v>
      </c>
      <c r="E511" s="78" t="s">
        <v>1753</v>
      </c>
      <c r="F511" s="78" t="s">
        <v>661</v>
      </c>
      <c r="G511">
        <v>0.2</v>
      </c>
      <c r="H511" s="78" t="s">
        <v>662</v>
      </c>
      <c r="I511" s="78" t="s">
        <v>1762</v>
      </c>
      <c r="J511">
        <v>0</v>
      </c>
      <c r="K511">
        <v>0</v>
      </c>
      <c r="L511">
        <v>24</v>
      </c>
      <c r="M511">
        <v>8011</v>
      </c>
      <c r="N511" s="78" t="s">
        <v>456</v>
      </c>
      <c r="O511">
        <v>1</v>
      </c>
      <c r="P511" s="82">
        <v>0.95</v>
      </c>
    </row>
    <row r="512" spans="1:16" x14ac:dyDescent="0.25">
      <c r="A512">
        <v>8012</v>
      </c>
      <c r="B512">
        <v>8012</v>
      </c>
      <c r="C512" s="78" t="s">
        <v>1763</v>
      </c>
      <c r="D512" s="78" t="s">
        <v>1753</v>
      </c>
      <c r="E512" s="78" t="s">
        <v>1753</v>
      </c>
      <c r="F512" s="78" t="s">
        <v>661</v>
      </c>
      <c r="G512">
        <v>0.2</v>
      </c>
      <c r="H512" s="78" t="s">
        <v>662</v>
      </c>
      <c r="I512" s="78" t="s">
        <v>1764</v>
      </c>
      <c r="J512">
        <v>0</v>
      </c>
      <c r="K512">
        <v>0</v>
      </c>
      <c r="L512">
        <v>24</v>
      </c>
      <c r="M512">
        <v>8012</v>
      </c>
      <c r="N512" s="78" t="s">
        <v>459</v>
      </c>
      <c r="O512">
        <v>1</v>
      </c>
      <c r="P512" s="82">
        <v>0.95</v>
      </c>
    </row>
    <row r="513" spans="1:16" x14ac:dyDescent="0.25">
      <c r="A513">
        <v>8013</v>
      </c>
      <c r="B513">
        <v>8013</v>
      </c>
      <c r="C513" s="78" t="s">
        <v>1765</v>
      </c>
      <c r="D513" s="78" t="s">
        <v>1753</v>
      </c>
      <c r="E513" s="78" t="s">
        <v>1753</v>
      </c>
      <c r="F513" s="78" t="s">
        <v>661</v>
      </c>
      <c r="G513">
        <v>0.2</v>
      </c>
      <c r="H513" s="78" t="s">
        <v>662</v>
      </c>
      <c r="I513" s="78" t="s">
        <v>1766</v>
      </c>
      <c r="J513">
        <v>0</v>
      </c>
      <c r="K513">
        <v>0</v>
      </c>
      <c r="L513">
        <v>24</v>
      </c>
      <c r="M513">
        <v>8013</v>
      </c>
      <c r="N513" s="78" t="s">
        <v>462</v>
      </c>
      <c r="O513">
        <v>1</v>
      </c>
      <c r="P513" s="82">
        <v>0.95</v>
      </c>
    </row>
    <row r="514" spans="1:16" x14ac:dyDescent="0.25">
      <c r="A514">
        <v>8016</v>
      </c>
      <c r="B514">
        <v>8016</v>
      </c>
      <c r="C514" s="78" t="s">
        <v>1767</v>
      </c>
      <c r="D514" s="78" t="s">
        <v>1753</v>
      </c>
      <c r="E514" s="78" t="s">
        <v>1753</v>
      </c>
      <c r="F514" s="78" t="s">
        <v>661</v>
      </c>
      <c r="G514">
        <v>0.2</v>
      </c>
      <c r="H514" s="78" t="s">
        <v>662</v>
      </c>
      <c r="I514" s="78" t="s">
        <v>1768</v>
      </c>
      <c r="J514">
        <v>0</v>
      </c>
      <c r="K514">
        <v>0</v>
      </c>
      <c r="L514">
        <v>24</v>
      </c>
      <c r="M514">
        <v>8016</v>
      </c>
      <c r="N514" s="78" t="s">
        <v>1769</v>
      </c>
      <c r="O514">
        <v>1</v>
      </c>
      <c r="P514" s="82">
        <v>0.95</v>
      </c>
    </row>
    <row r="515" spans="1:16" x14ac:dyDescent="0.25">
      <c r="A515">
        <v>8020</v>
      </c>
      <c r="B515">
        <v>8020</v>
      </c>
      <c r="C515" s="78" t="s">
        <v>1770</v>
      </c>
      <c r="D515" s="78" t="s">
        <v>1753</v>
      </c>
      <c r="E515" s="78" t="s">
        <v>1753</v>
      </c>
      <c r="F515" s="78" t="s">
        <v>661</v>
      </c>
      <c r="G515">
        <v>0.2</v>
      </c>
      <c r="H515" s="78" t="s">
        <v>662</v>
      </c>
      <c r="I515" s="78" t="s">
        <v>1771</v>
      </c>
      <c r="J515">
        <v>0</v>
      </c>
      <c r="K515">
        <v>0</v>
      </c>
      <c r="L515">
        <v>24</v>
      </c>
      <c r="M515">
        <v>8020</v>
      </c>
      <c r="N515" s="78" t="s">
        <v>466</v>
      </c>
      <c r="O515">
        <v>1</v>
      </c>
      <c r="P515" s="82">
        <v>0.95</v>
      </c>
    </row>
    <row r="516" spans="1:16" x14ac:dyDescent="0.25">
      <c r="A516">
        <v>8021</v>
      </c>
      <c r="B516">
        <v>8021</v>
      </c>
      <c r="C516" s="78" t="s">
        <v>1772</v>
      </c>
      <c r="D516" s="78" t="s">
        <v>1753</v>
      </c>
      <c r="E516" s="78" t="s">
        <v>1753</v>
      </c>
      <c r="F516" s="78" t="s">
        <v>661</v>
      </c>
      <c r="G516">
        <v>0.2</v>
      </c>
      <c r="H516" s="78" t="s">
        <v>662</v>
      </c>
      <c r="I516" s="78" t="s">
        <v>1773</v>
      </c>
      <c r="J516">
        <v>0</v>
      </c>
      <c r="K516">
        <v>0</v>
      </c>
      <c r="L516">
        <v>24</v>
      </c>
      <c r="M516">
        <v>8021</v>
      </c>
      <c r="N516" s="78" t="s">
        <v>468</v>
      </c>
      <c r="O516">
        <v>1</v>
      </c>
      <c r="P516" s="82">
        <v>0.95</v>
      </c>
    </row>
    <row r="517" spans="1:16" x14ac:dyDescent="0.25">
      <c r="A517">
        <v>8030</v>
      </c>
      <c r="B517">
        <v>8030</v>
      </c>
      <c r="C517" s="78" t="s">
        <v>1774</v>
      </c>
      <c r="D517" s="78" t="s">
        <v>1753</v>
      </c>
      <c r="E517" s="78" t="s">
        <v>1753</v>
      </c>
      <c r="F517" s="78" t="s">
        <v>661</v>
      </c>
      <c r="G517">
        <v>0.2</v>
      </c>
      <c r="H517" s="78" t="s">
        <v>662</v>
      </c>
      <c r="I517" s="78" t="s">
        <v>1775</v>
      </c>
      <c r="J517">
        <v>0</v>
      </c>
      <c r="K517">
        <v>0</v>
      </c>
      <c r="L517">
        <v>24</v>
      </c>
      <c r="M517">
        <v>8030</v>
      </c>
      <c r="N517" s="78" t="s">
        <v>471</v>
      </c>
      <c r="O517">
        <v>1</v>
      </c>
      <c r="P517" s="82">
        <v>0.95</v>
      </c>
    </row>
    <row r="518" spans="1:16" x14ac:dyDescent="0.25">
      <c r="A518">
        <v>8040</v>
      </c>
      <c r="B518">
        <v>8040</v>
      </c>
      <c r="C518" s="78" t="s">
        <v>1776</v>
      </c>
      <c r="D518" s="78" t="s">
        <v>1753</v>
      </c>
      <c r="E518" s="78" t="s">
        <v>1753</v>
      </c>
      <c r="F518" s="78" t="s">
        <v>661</v>
      </c>
      <c r="G518">
        <v>0.2</v>
      </c>
      <c r="H518" s="78" t="s">
        <v>662</v>
      </c>
      <c r="I518" s="78" t="s">
        <v>1777</v>
      </c>
      <c r="J518">
        <v>0</v>
      </c>
      <c r="K518">
        <v>0</v>
      </c>
      <c r="L518">
        <v>24</v>
      </c>
      <c r="M518">
        <v>8040</v>
      </c>
      <c r="N518" s="78" t="s">
        <v>473</v>
      </c>
      <c r="O518">
        <v>1</v>
      </c>
      <c r="P518" s="82">
        <v>0.95</v>
      </c>
    </row>
    <row r="519" spans="1:16" x14ac:dyDescent="0.25">
      <c r="A519">
        <v>8900</v>
      </c>
      <c r="B519">
        <v>8900</v>
      </c>
      <c r="C519" s="78" t="s">
        <v>1778</v>
      </c>
      <c r="D519" s="78" t="s">
        <v>1779</v>
      </c>
      <c r="E519" s="78" t="s">
        <v>1779</v>
      </c>
      <c r="F519" s="78" t="s">
        <v>661</v>
      </c>
      <c r="G519">
        <v>0.63</v>
      </c>
      <c r="H519" s="78" t="s">
        <v>662</v>
      </c>
      <c r="I519" s="78" t="s">
        <v>1818</v>
      </c>
      <c r="J519">
        <v>0</v>
      </c>
      <c r="K519">
        <v>0</v>
      </c>
      <c r="L519">
        <v>1</v>
      </c>
      <c r="M519">
        <v>8900</v>
      </c>
      <c r="N519" s="78" t="s">
        <v>1780</v>
      </c>
      <c r="O519">
        <v>1</v>
      </c>
      <c r="P519" s="82">
        <v>2.25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284DAB-CC27-49E8-9596-B93622F677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Interactive Selection Sheet</vt:lpstr>
      <vt:lpstr>Master List Sorted (wRemoved)</vt:lpstr>
      <vt:lpstr>Master List 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E</dc:creator>
  <cp:lastModifiedBy>Josh</cp:lastModifiedBy>
  <dcterms:created xsi:type="dcterms:W3CDTF">2021-11-02T14:26:44Z</dcterms:created>
  <dcterms:modified xsi:type="dcterms:W3CDTF">2021-11-23T20:39:12Z</dcterms:modified>
</cp:coreProperties>
</file>