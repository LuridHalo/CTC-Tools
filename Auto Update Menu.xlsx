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ie\Documents\CTC\Spade's Tools\"/>
    </mc:Choice>
  </mc:AlternateContent>
  <xr:revisionPtr revIDLastSave="0" documentId="13_ncr:1_{B716A88E-8463-4915-A45D-9F756BFD4E35}" xr6:coauthVersionLast="47" xr6:coauthVersionMax="47" xr10:uidLastSave="{00000000-0000-0000-0000-000000000000}"/>
  <workbookProtection workbookAlgorithmName="SHA-512" workbookHashValue="QjzIsgC/DaUlLZEESq464LtgCWoHdqAj/M0zNOIS1L5vba3FzFyg3uf2rNjI32te9EZctPpac9uZc5wmnOnmFQ==" workbookSaltValue="TbmOpS7Rh4ZxVVUJ1J9msg==" workbookSpinCount="100000" lockStructure="1"/>
  <bookViews>
    <workbookView xWindow="-120" yWindow="-120" windowWidth="23310" windowHeight="13740" xr2:uid="{2E137646-E38B-4728-B9F1-74E98F2408A2}"/>
  </bookViews>
  <sheets>
    <sheet name="Auto Menu" sheetId="1" r:id="rId1"/>
    <sheet name="Master List Import" sheetId="3" state="hidden" r:id="rId2"/>
  </sheets>
  <definedNames>
    <definedName name="ExternalData_1" localSheetId="1" hidden="1">'Master List Import'!$A$1:$Z$987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2" i="1" l="1"/>
  <c r="N102" i="1"/>
  <c r="C255" i="1"/>
  <c r="D255" i="1"/>
  <c r="C254" i="1"/>
  <c r="D254" i="1"/>
  <c r="C148" i="1"/>
  <c r="D148" i="1"/>
  <c r="H44" i="1"/>
  <c r="I44" i="1"/>
  <c r="I267" i="1"/>
  <c r="H267" i="1"/>
  <c r="I266" i="1"/>
  <c r="H266" i="1"/>
  <c r="D268" i="1"/>
  <c r="C268" i="1"/>
  <c r="I265" i="1"/>
  <c r="H265" i="1"/>
  <c r="D267" i="1"/>
  <c r="C267" i="1"/>
  <c r="I264" i="1"/>
  <c r="H264" i="1"/>
  <c r="D266" i="1"/>
  <c r="C266" i="1"/>
  <c r="I263" i="1"/>
  <c r="H263" i="1"/>
  <c r="D265" i="1"/>
  <c r="C265" i="1"/>
  <c r="I262" i="1"/>
  <c r="H262" i="1"/>
  <c r="D264" i="1"/>
  <c r="C264" i="1"/>
  <c r="I261" i="1"/>
  <c r="H261" i="1"/>
  <c r="D263" i="1"/>
  <c r="C263" i="1"/>
  <c r="N260" i="1"/>
  <c r="M260" i="1"/>
  <c r="I260" i="1"/>
  <c r="H260" i="1"/>
  <c r="D262" i="1"/>
  <c r="C262" i="1"/>
  <c r="N259" i="1"/>
  <c r="M259" i="1"/>
  <c r="I259" i="1"/>
  <c r="H259" i="1"/>
  <c r="D261" i="1"/>
  <c r="C261" i="1"/>
  <c r="N258" i="1"/>
  <c r="M258" i="1"/>
  <c r="I258" i="1"/>
  <c r="H258" i="1"/>
  <c r="D260" i="1"/>
  <c r="C260" i="1"/>
  <c r="N257" i="1"/>
  <c r="M257" i="1"/>
  <c r="I257" i="1"/>
  <c r="H257" i="1"/>
  <c r="D259" i="1"/>
  <c r="C259" i="1"/>
  <c r="N256" i="1"/>
  <c r="M256" i="1"/>
  <c r="I256" i="1"/>
  <c r="H256" i="1"/>
  <c r="D258" i="1"/>
  <c r="C258" i="1"/>
  <c r="N255" i="1"/>
  <c r="M255" i="1"/>
  <c r="I255" i="1"/>
  <c r="H255" i="1"/>
  <c r="D257" i="1"/>
  <c r="C257" i="1"/>
  <c r="N254" i="1"/>
  <c r="M254" i="1"/>
  <c r="D256" i="1"/>
  <c r="C256" i="1"/>
  <c r="N253" i="1"/>
  <c r="M253" i="1"/>
  <c r="D253" i="1"/>
  <c r="C253" i="1"/>
  <c r="N252" i="1"/>
  <c r="M252" i="1"/>
  <c r="I252" i="1"/>
  <c r="H252" i="1"/>
  <c r="D252" i="1"/>
  <c r="C252" i="1"/>
  <c r="N251" i="1"/>
  <c r="M251" i="1"/>
  <c r="I251" i="1"/>
  <c r="H251" i="1"/>
  <c r="D251" i="1"/>
  <c r="C251" i="1"/>
  <c r="N250" i="1"/>
  <c r="M250" i="1"/>
  <c r="I250" i="1"/>
  <c r="H250" i="1"/>
  <c r="D250" i="1"/>
  <c r="C250" i="1"/>
  <c r="N249" i="1"/>
  <c r="M249" i="1"/>
  <c r="I249" i="1"/>
  <c r="H249" i="1"/>
  <c r="D249" i="1"/>
  <c r="C249" i="1"/>
  <c r="N248" i="1"/>
  <c r="M248" i="1"/>
  <c r="I248" i="1"/>
  <c r="H248" i="1"/>
  <c r="D248" i="1"/>
  <c r="C248" i="1"/>
  <c r="N247" i="1"/>
  <c r="M247" i="1"/>
  <c r="I247" i="1"/>
  <c r="H247" i="1"/>
  <c r="D247" i="1"/>
  <c r="C247" i="1"/>
  <c r="N246" i="1"/>
  <c r="M246" i="1"/>
  <c r="I246" i="1"/>
  <c r="H246" i="1"/>
  <c r="D246" i="1"/>
  <c r="C246" i="1"/>
  <c r="N245" i="1"/>
  <c r="M245" i="1"/>
  <c r="I245" i="1"/>
  <c r="H245" i="1"/>
  <c r="D245" i="1"/>
  <c r="C245" i="1"/>
  <c r="N244" i="1"/>
  <c r="M244" i="1"/>
  <c r="I244" i="1"/>
  <c r="H244" i="1"/>
  <c r="D244" i="1"/>
  <c r="C244" i="1"/>
  <c r="N243" i="1"/>
  <c r="M243" i="1"/>
  <c r="I243" i="1"/>
  <c r="H243" i="1"/>
  <c r="D243" i="1"/>
  <c r="C243" i="1"/>
  <c r="N239" i="1"/>
  <c r="M239" i="1"/>
  <c r="I239" i="1"/>
  <c r="H239" i="1"/>
  <c r="N238" i="1"/>
  <c r="M238" i="1"/>
  <c r="I238" i="1"/>
  <c r="H238" i="1"/>
  <c r="D238" i="1"/>
  <c r="C238" i="1"/>
  <c r="N237" i="1"/>
  <c r="M237" i="1"/>
  <c r="I237" i="1"/>
  <c r="H237" i="1"/>
  <c r="D237" i="1"/>
  <c r="C237" i="1"/>
  <c r="N236" i="1"/>
  <c r="M236" i="1"/>
  <c r="I236" i="1"/>
  <c r="H236" i="1"/>
  <c r="D236" i="1"/>
  <c r="C236" i="1"/>
  <c r="N235" i="1"/>
  <c r="M235" i="1"/>
  <c r="I235" i="1"/>
  <c r="H235" i="1"/>
  <c r="D235" i="1"/>
  <c r="C235" i="1"/>
  <c r="N234" i="1"/>
  <c r="M234" i="1"/>
  <c r="I234" i="1"/>
  <c r="H234" i="1"/>
  <c r="D234" i="1"/>
  <c r="C234" i="1"/>
  <c r="N233" i="1"/>
  <c r="M233" i="1"/>
  <c r="I233" i="1"/>
  <c r="H233" i="1"/>
  <c r="D233" i="1"/>
  <c r="C233" i="1"/>
  <c r="I229" i="1"/>
  <c r="H229" i="1"/>
  <c r="D229" i="1"/>
  <c r="C229" i="1"/>
  <c r="I228" i="1"/>
  <c r="H228" i="1"/>
  <c r="D228" i="1"/>
  <c r="C228" i="1"/>
  <c r="I227" i="1"/>
  <c r="H227" i="1"/>
  <c r="D227" i="1"/>
  <c r="C227" i="1"/>
  <c r="I226" i="1"/>
  <c r="H226" i="1"/>
  <c r="D226" i="1"/>
  <c r="C226" i="1"/>
  <c r="I225" i="1"/>
  <c r="H225" i="1"/>
  <c r="D225" i="1"/>
  <c r="C225" i="1"/>
  <c r="I224" i="1"/>
  <c r="H224" i="1"/>
  <c r="D224" i="1"/>
  <c r="C224" i="1"/>
  <c r="I223" i="1"/>
  <c r="H223" i="1"/>
  <c r="D223" i="1"/>
  <c r="C223" i="1"/>
  <c r="I222" i="1"/>
  <c r="H222" i="1"/>
  <c r="I221" i="1"/>
  <c r="H221" i="1"/>
  <c r="I220" i="1"/>
  <c r="H220" i="1"/>
  <c r="D220" i="1"/>
  <c r="C220" i="1"/>
  <c r="I219" i="1"/>
  <c r="H219" i="1"/>
  <c r="D219" i="1"/>
  <c r="C219" i="1"/>
  <c r="I218" i="1"/>
  <c r="H218" i="1"/>
  <c r="D218" i="1"/>
  <c r="C218" i="1"/>
  <c r="I217" i="1"/>
  <c r="H217" i="1"/>
  <c r="I216" i="1"/>
  <c r="H216" i="1"/>
  <c r="I215" i="1"/>
  <c r="H215" i="1"/>
  <c r="D215" i="1"/>
  <c r="C215" i="1"/>
  <c r="I214" i="1"/>
  <c r="H214" i="1"/>
  <c r="D214" i="1"/>
  <c r="C214" i="1"/>
  <c r="I213" i="1"/>
  <c r="H213" i="1"/>
  <c r="D213" i="1"/>
  <c r="C213" i="1"/>
  <c r="I212" i="1"/>
  <c r="H212" i="1"/>
  <c r="D212" i="1"/>
  <c r="C212" i="1"/>
  <c r="I211" i="1"/>
  <c r="H211" i="1"/>
  <c r="N210" i="1"/>
  <c r="M210" i="1"/>
  <c r="I210" i="1"/>
  <c r="H210" i="1"/>
  <c r="N209" i="1"/>
  <c r="M209" i="1"/>
  <c r="D209" i="1"/>
  <c r="C209" i="1"/>
  <c r="N208" i="1"/>
  <c r="M208" i="1"/>
  <c r="D208" i="1"/>
  <c r="C208" i="1"/>
  <c r="N207" i="1"/>
  <c r="M207" i="1"/>
  <c r="N206" i="1"/>
  <c r="M206" i="1"/>
  <c r="I206" i="1"/>
  <c r="H206" i="1"/>
  <c r="N205" i="1"/>
  <c r="M205" i="1"/>
  <c r="I205" i="1"/>
  <c r="H205" i="1"/>
  <c r="D205" i="1"/>
  <c r="C205" i="1"/>
  <c r="N204" i="1"/>
  <c r="M204" i="1"/>
  <c r="I204" i="1"/>
  <c r="H204" i="1"/>
  <c r="D204" i="1"/>
  <c r="C204" i="1"/>
  <c r="N203" i="1"/>
  <c r="M203" i="1"/>
  <c r="D203" i="1"/>
  <c r="C203" i="1"/>
  <c r="N202" i="1"/>
  <c r="M202" i="1"/>
  <c r="D202" i="1"/>
  <c r="C202" i="1"/>
  <c r="N201" i="1"/>
  <c r="M201" i="1"/>
  <c r="I201" i="1"/>
  <c r="H201" i="1"/>
  <c r="D201" i="1"/>
  <c r="C201" i="1"/>
  <c r="N200" i="1"/>
  <c r="M200" i="1"/>
  <c r="I200" i="1"/>
  <c r="H200" i="1"/>
  <c r="D200" i="1"/>
  <c r="C200" i="1"/>
  <c r="N199" i="1"/>
  <c r="M199" i="1"/>
  <c r="I199" i="1"/>
  <c r="H199" i="1"/>
  <c r="D199" i="1"/>
  <c r="C199" i="1"/>
  <c r="I198" i="1"/>
  <c r="H198" i="1"/>
  <c r="I197" i="1"/>
  <c r="H197" i="1"/>
  <c r="I196" i="1"/>
  <c r="H196" i="1"/>
  <c r="D196" i="1"/>
  <c r="C196" i="1"/>
  <c r="N195" i="1"/>
  <c r="M195" i="1"/>
  <c r="I195" i="1"/>
  <c r="H195" i="1"/>
  <c r="D195" i="1"/>
  <c r="C195" i="1"/>
  <c r="N194" i="1"/>
  <c r="M194" i="1"/>
  <c r="I194" i="1"/>
  <c r="H194" i="1"/>
  <c r="D194" i="1"/>
  <c r="C194" i="1"/>
  <c r="N193" i="1"/>
  <c r="M193" i="1"/>
  <c r="D193" i="1"/>
  <c r="C193" i="1"/>
  <c r="N192" i="1"/>
  <c r="M192" i="1"/>
  <c r="D192" i="1"/>
  <c r="C192" i="1"/>
  <c r="N191" i="1"/>
  <c r="M191" i="1"/>
  <c r="I191" i="1"/>
  <c r="H191" i="1"/>
  <c r="D191" i="1"/>
  <c r="C191" i="1"/>
  <c r="N190" i="1"/>
  <c r="M190" i="1"/>
  <c r="I190" i="1"/>
  <c r="H190" i="1"/>
  <c r="D190" i="1"/>
  <c r="C190" i="1"/>
  <c r="N189" i="1"/>
  <c r="M189" i="1"/>
  <c r="I189" i="1"/>
  <c r="H189" i="1"/>
  <c r="D189" i="1"/>
  <c r="C189" i="1"/>
  <c r="I188" i="1"/>
  <c r="H188" i="1"/>
  <c r="D188" i="1"/>
  <c r="C188" i="1"/>
  <c r="I187" i="1"/>
  <c r="H187" i="1"/>
  <c r="D187" i="1"/>
  <c r="C187" i="1"/>
  <c r="N186" i="1"/>
  <c r="M186" i="1"/>
  <c r="I186" i="1"/>
  <c r="H186" i="1"/>
  <c r="D186" i="1"/>
  <c r="C186" i="1"/>
  <c r="N185" i="1"/>
  <c r="M185" i="1"/>
  <c r="I185" i="1"/>
  <c r="H185" i="1"/>
  <c r="D185" i="1"/>
  <c r="C185" i="1"/>
  <c r="N184" i="1"/>
  <c r="M184" i="1"/>
  <c r="I184" i="1"/>
  <c r="H184" i="1"/>
  <c r="D184" i="1"/>
  <c r="C184" i="1"/>
  <c r="N183" i="1"/>
  <c r="M183" i="1"/>
  <c r="I183" i="1"/>
  <c r="H183" i="1"/>
  <c r="D183" i="1"/>
  <c r="C183" i="1"/>
  <c r="N182" i="1"/>
  <c r="M182" i="1"/>
  <c r="I182" i="1"/>
  <c r="H182" i="1"/>
  <c r="D182" i="1"/>
  <c r="C182" i="1"/>
  <c r="N178" i="1"/>
  <c r="M178" i="1"/>
  <c r="N177" i="1"/>
  <c r="M177" i="1"/>
  <c r="I177" i="1"/>
  <c r="H177" i="1"/>
  <c r="D177" i="1"/>
  <c r="C177" i="1"/>
  <c r="N176" i="1"/>
  <c r="M176" i="1"/>
  <c r="I176" i="1"/>
  <c r="H176" i="1"/>
  <c r="D176" i="1"/>
  <c r="C176" i="1"/>
  <c r="N175" i="1"/>
  <c r="M175" i="1"/>
  <c r="I175" i="1"/>
  <c r="H175" i="1"/>
  <c r="D175" i="1"/>
  <c r="C175" i="1"/>
  <c r="N174" i="1"/>
  <c r="M174" i="1"/>
  <c r="I174" i="1"/>
  <c r="H174" i="1"/>
  <c r="D174" i="1"/>
  <c r="C174" i="1"/>
  <c r="N173" i="1"/>
  <c r="M173" i="1"/>
  <c r="I173" i="1"/>
  <c r="H173" i="1"/>
  <c r="D173" i="1"/>
  <c r="C173" i="1"/>
  <c r="I172" i="1"/>
  <c r="H172" i="1"/>
  <c r="D172" i="1"/>
  <c r="C172" i="1"/>
  <c r="I171" i="1"/>
  <c r="H171" i="1"/>
  <c r="D171" i="1"/>
  <c r="C171" i="1"/>
  <c r="N170" i="1"/>
  <c r="M170" i="1"/>
  <c r="I170" i="1"/>
  <c r="H170" i="1"/>
  <c r="D170" i="1"/>
  <c r="C170" i="1"/>
  <c r="N169" i="1"/>
  <c r="M169" i="1"/>
  <c r="I169" i="1"/>
  <c r="H169" i="1"/>
  <c r="D169" i="1"/>
  <c r="C169" i="1"/>
  <c r="N168" i="1"/>
  <c r="M168" i="1"/>
  <c r="I168" i="1"/>
  <c r="H168" i="1"/>
  <c r="D168" i="1"/>
  <c r="C168" i="1"/>
  <c r="N167" i="1"/>
  <c r="M167" i="1"/>
  <c r="I167" i="1"/>
  <c r="H167" i="1"/>
  <c r="D167" i="1"/>
  <c r="C167" i="1"/>
  <c r="N166" i="1"/>
  <c r="M166" i="1"/>
  <c r="I166" i="1"/>
  <c r="H166" i="1"/>
  <c r="D166" i="1"/>
  <c r="C166" i="1"/>
  <c r="N165" i="1"/>
  <c r="M165" i="1"/>
  <c r="I165" i="1"/>
  <c r="H165" i="1"/>
  <c r="D165" i="1"/>
  <c r="C165" i="1"/>
  <c r="N164" i="1"/>
  <c r="M164" i="1"/>
  <c r="I164" i="1"/>
  <c r="H164" i="1"/>
  <c r="D164" i="1"/>
  <c r="C164" i="1"/>
  <c r="N163" i="1"/>
  <c r="M163" i="1"/>
  <c r="I163" i="1"/>
  <c r="H163" i="1"/>
  <c r="D163" i="1"/>
  <c r="C163" i="1"/>
  <c r="D152" i="1"/>
  <c r="C152" i="1"/>
  <c r="D151" i="1"/>
  <c r="C151" i="1"/>
  <c r="D150" i="1"/>
  <c r="C150" i="1"/>
  <c r="D149" i="1"/>
  <c r="N147" i="1"/>
  <c r="D147" i="1"/>
  <c r="C147" i="1"/>
  <c r="N146" i="1"/>
  <c r="I146" i="1"/>
  <c r="N145" i="1"/>
  <c r="N144" i="1"/>
  <c r="M144" i="1"/>
  <c r="D144" i="1"/>
  <c r="C144" i="1"/>
  <c r="N143" i="1"/>
  <c r="M143" i="1"/>
  <c r="D143" i="1"/>
  <c r="C143" i="1"/>
  <c r="N142" i="1"/>
  <c r="M142" i="1"/>
  <c r="D142" i="1"/>
  <c r="C142" i="1"/>
  <c r="N141" i="1"/>
  <c r="M141" i="1"/>
  <c r="D141" i="1"/>
  <c r="C141" i="1"/>
  <c r="N140" i="1"/>
  <c r="M140" i="1"/>
  <c r="I140" i="1"/>
  <c r="H140" i="1"/>
  <c r="D140" i="1"/>
  <c r="C140" i="1"/>
  <c r="N139" i="1"/>
  <c r="M139" i="1"/>
  <c r="I139" i="1"/>
  <c r="H139" i="1"/>
  <c r="D139" i="1"/>
  <c r="C139" i="1"/>
  <c r="N138" i="1"/>
  <c r="M138" i="1"/>
  <c r="I138" i="1"/>
  <c r="H138" i="1"/>
  <c r="D138" i="1"/>
  <c r="C138" i="1"/>
  <c r="N137" i="1"/>
  <c r="M137" i="1"/>
  <c r="I137" i="1"/>
  <c r="H137" i="1"/>
  <c r="D137" i="1"/>
  <c r="C137" i="1"/>
  <c r="N136" i="1"/>
  <c r="M136" i="1"/>
  <c r="I136" i="1"/>
  <c r="H136" i="1"/>
  <c r="D136" i="1"/>
  <c r="C136" i="1"/>
  <c r="N135" i="1"/>
  <c r="M135" i="1"/>
  <c r="I135" i="1"/>
  <c r="H135" i="1"/>
  <c r="D135" i="1"/>
  <c r="C135" i="1"/>
  <c r="N134" i="1"/>
  <c r="M134" i="1"/>
  <c r="I134" i="1"/>
  <c r="H134" i="1"/>
  <c r="D134" i="1"/>
  <c r="C134" i="1"/>
  <c r="N133" i="1"/>
  <c r="M133" i="1"/>
  <c r="I133" i="1"/>
  <c r="H133" i="1"/>
  <c r="D133" i="1"/>
  <c r="C133" i="1"/>
  <c r="N132" i="1"/>
  <c r="M132" i="1"/>
  <c r="I132" i="1"/>
  <c r="H132" i="1"/>
  <c r="N131" i="1"/>
  <c r="M131" i="1"/>
  <c r="I131" i="1"/>
  <c r="H131" i="1"/>
  <c r="N130" i="1"/>
  <c r="M130" i="1"/>
  <c r="I130" i="1"/>
  <c r="H130" i="1"/>
  <c r="D130" i="1"/>
  <c r="C130" i="1"/>
  <c r="N129" i="1"/>
  <c r="M129" i="1"/>
  <c r="D129" i="1"/>
  <c r="C129" i="1"/>
  <c r="N128" i="1"/>
  <c r="M128" i="1"/>
  <c r="D128" i="1"/>
  <c r="C128" i="1"/>
  <c r="N127" i="1"/>
  <c r="M127" i="1"/>
  <c r="I127" i="1"/>
  <c r="H127" i="1"/>
  <c r="D127" i="1"/>
  <c r="C127" i="1"/>
  <c r="N126" i="1"/>
  <c r="M126" i="1"/>
  <c r="I126" i="1"/>
  <c r="H126" i="1"/>
  <c r="D126" i="1"/>
  <c r="C126" i="1"/>
  <c r="N125" i="1"/>
  <c r="M125" i="1"/>
  <c r="D125" i="1"/>
  <c r="C125" i="1"/>
  <c r="N124" i="1"/>
  <c r="M124" i="1"/>
  <c r="D124" i="1"/>
  <c r="C124" i="1"/>
  <c r="N123" i="1"/>
  <c r="M123" i="1"/>
  <c r="D123" i="1"/>
  <c r="C123" i="1"/>
  <c r="N122" i="1"/>
  <c r="M122" i="1"/>
  <c r="I122" i="1"/>
  <c r="N121" i="1"/>
  <c r="M121" i="1"/>
  <c r="I121" i="1"/>
  <c r="N120" i="1"/>
  <c r="M120" i="1"/>
  <c r="I120" i="1"/>
  <c r="D120" i="1"/>
  <c r="C120" i="1"/>
  <c r="N119" i="1"/>
  <c r="M119" i="1"/>
  <c r="I119" i="1"/>
  <c r="D119" i="1"/>
  <c r="C119" i="1"/>
  <c r="N118" i="1"/>
  <c r="M118" i="1"/>
  <c r="I118" i="1"/>
  <c r="D118" i="1"/>
  <c r="C118" i="1"/>
  <c r="N117" i="1"/>
  <c r="M117" i="1"/>
  <c r="I117" i="1"/>
  <c r="D117" i="1"/>
  <c r="C117" i="1"/>
  <c r="N116" i="1"/>
  <c r="M116" i="1"/>
  <c r="I116" i="1"/>
  <c r="D116" i="1"/>
  <c r="C116" i="1"/>
  <c r="N112" i="1"/>
  <c r="M112" i="1"/>
  <c r="I111" i="1"/>
  <c r="H111" i="1"/>
  <c r="D111" i="1"/>
  <c r="C111" i="1"/>
  <c r="N111" i="1"/>
  <c r="M111" i="1"/>
  <c r="I110" i="1"/>
  <c r="H110" i="1"/>
  <c r="D110" i="1"/>
  <c r="C110" i="1"/>
  <c r="N110" i="1"/>
  <c r="M110" i="1"/>
  <c r="I109" i="1"/>
  <c r="H109" i="1"/>
  <c r="D109" i="1"/>
  <c r="C109" i="1"/>
  <c r="N109" i="1"/>
  <c r="M109" i="1"/>
  <c r="I108" i="1"/>
  <c r="H108" i="1"/>
  <c r="D108" i="1"/>
  <c r="C108" i="1"/>
  <c r="N108" i="1"/>
  <c r="M108" i="1"/>
  <c r="I107" i="1"/>
  <c r="H107" i="1"/>
  <c r="D107" i="1"/>
  <c r="C107" i="1"/>
  <c r="N107" i="1"/>
  <c r="M107" i="1"/>
  <c r="I106" i="1"/>
  <c r="H106" i="1"/>
  <c r="D106" i="1"/>
  <c r="C106" i="1"/>
  <c r="N106" i="1"/>
  <c r="M106" i="1"/>
  <c r="I105" i="1"/>
  <c r="H105" i="1"/>
  <c r="D105" i="1"/>
  <c r="C105" i="1"/>
  <c r="N105" i="1"/>
  <c r="M105" i="1"/>
  <c r="I104" i="1"/>
  <c r="H104" i="1"/>
  <c r="D104" i="1"/>
  <c r="C104" i="1"/>
  <c r="N104" i="1"/>
  <c r="M104" i="1"/>
  <c r="I103" i="1"/>
  <c r="H103" i="1"/>
  <c r="D103" i="1"/>
  <c r="C103" i="1"/>
  <c r="N103" i="1"/>
  <c r="M103" i="1"/>
  <c r="I102" i="1"/>
  <c r="H102" i="1"/>
  <c r="D102" i="1"/>
  <c r="C102" i="1"/>
  <c r="N101" i="1"/>
  <c r="M101" i="1"/>
  <c r="I101" i="1"/>
  <c r="H101" i="1"/>
  <c r="D101" i="1"/>
  <c r="C101" i="1"/>
  <c r="N100" i="1"/>
  <c r="M100" i="1"/>
  <c r="I100" i="1"/>
  <c r="H100" i="1"/>
  <c r="D100" i="1"/>
  <c r="C100" i="1"/>
  <c r="N99" i="1"/>
  <c r="M99" i="1"/>
  <c r="I99" i="1"/>
  <c r="H99" i="1"/>
  <c r="N98" i="1"/>
  <c r="M98" i="1"/>
  <c r="I98" i="1"/>
  <c r="H98" i="1"/>
  <c r="N97" i="1"/>
  <c r="M97" i="1"/>
  <c r="I97" i="1"/>
  <c r="H97" i="1"/>
  <c r="D97" i="1"/>
  <c r="C97" i="1"/>
  <c r="N96" i="1"/>
  <c r="M96" i="1"/>
  <c r="D96" i="1"/>
  <c r="C96" i="1"/>
  <c r="N95" i="1"/>
  <c r="M95" i="1"/>
  <c r="D95" i="1"/>
  <c r="C95" i="1"/>
  <c r="N94" i="1"/>
  <c r="M94" i="1"/>
  <c r="I94" i="1"/>
  <c r="H94" i="1"/>
  <c r="D94" i="1"/>
  <c r="C94" i="1"/>
  <c r="N93" i="1"/>
  <c r="M93" i="1"/>
  <c r="I93" i="1"/>
  <c r="H93" i="1"/>
  <c r="D93" i="1"/>
  <c r="C93" i="1"/>
  <c r="N92" i="1"/>
  <c r="M92" i="1"/>
  <c r="I92" i="1"/>
  <c r="H92" i="1"/>
  <c r="D92" i="1"/>
  <c r="C92" i="1"/>
  <c r="N91" i="1"/>
  <c r="M91" i="1"/>
  <c r="I91" i="1"/>
  <c r="H91" i="1"/>
  <c r="N90" i="1"/>
  <c r="M90" i="1"/>
  <c r="I90" i="1"/>
  <c r="H90" i="1"/>
  <c r="N89" i="1"/>
  <c r="M89" i="1"/>
  <c r="I89" i="1"/>
  <c r="H89" i="1"/>
  <c r="D89" i="1"/>
  <c r="C89" i="1"/>
  <c r="N88" i="1"/>
  <c r="M88" i="1"/>
  <c r="I88" i="1"/>
  <c r="H88" i="1"/>
  <c r="D88" i="1"/>
  <c r="C88" i="1"/>
  <c r="N87" i="1"/>
  <c r="M87" i="1"/>
  <c r="I87" i="1"/>
  <c r="H87" i="1"/>
  <c r="D87" i="1"/>
  <c r="C87" i="1"/>
  <c r="N86" i="1"/>
  <c r="M86" i="1"/>
  <c r="I86" i="1"/>
  <c r="H86" i="1"/>
  <c r="D86" i="1"/>
  <c r="C86" i="1"/>
  <c r="N85" i="1"/>
  <c r="M85" i="1"/>
  <c r="I85" i="1"/>
  <c r="H85" i="1"/>
  <c r="D85" i="1"/>
  <c r="C85" i="1"/>
  <c r="N84" i="1"/>
  <c r="M84" i="1"/>
  <c r="I84" i="1"/>
  <c r="H84" i="1"/>
  <c r="D84" i="1"/>
  <c r="C84" i="1"/>
  <c r="N83" i="1"/>
  <c r="M83" i="1"/>
  <c r="I83" i="1"/>
  <c r="H83" i="1"/>
  <c r="D83" i="1"/>
  <c r="C83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I62" i="1"/>
  <c r="H62" i="1"/>
  <c r="D62" i="1"/>
  <c r="C62" i="1"/>
  <c r="N61" i="1"/>
  <c r="M61" i="1"/>
  <c r="I61" i="1"/>
  <c r="H61" i="1"/>
  <c r="D61" i="1"/>
  <c r="C61" i="1"/>
  <c r="N60" i="1"/>
  <c r="M60" i="1"/>
  <c r="I60" i="1"/>
  <c r="H60" i="1"/>
  <c r="D60" i="1"/>
  <c r="C60" i="1"/>
  <c r="N59" i="1"/>
  <c r="M59" i="1"/>
  <c r="I59" i="1"/>
  <c r="H59" i="1"/>
  <c r="D59" i="1"/>
  <c r="C59" i="1"/>
  <c r="N58" i="1"/>
  <c r="M58" i="1"/>
  <c r="I58" i="1"/>
  <c r="H58" i="1"/>
  <c r="D58" i="1"/>
  <c r="C58" i="1"/>
  <c r="I54" i="1"/>
  <c r="H54" i="1"/>
  <c r="D54" i="1"/>
  <c r="C54" i="1"/>
  <c r="I53" i="1"/>
  <c r="H53" i="1"/>
  <c r="D53" i="1"/>
  <c r="C53" i="1"/>
  <c r="I52" i="1"/>
  <c r="H52" i="1"/>
  <c r="D52" i="1"/>
  <c r="C52" i="1"/>
  <c r="I51" i="1"/>
  <c r="H51" i="1"/>
  <c r="D51" i="1"/>
  <c r="C51" i="1"/>
  <c r="I50" i="1"/>
  <c r="H50" i="1"/>
  <c r="D50" i="1"/>
  <c r="C50" i="1"/>
  <c r="I49" i="1"/>
  <c r="H49" i="1"/>
  <c r="D49" i="1"/>
  <c r="C49" i="1"/>
  <c r="I48" i="1"/>
  <c r="H48" i="1"/>
  <c r="D48" i="1"/>
  <c r="C48" i="1"/>
  <c r="I47" i="1"/>
  <c r="H47" i="1"/>
  <c r="D47" i="1"/>
  <c r="C47" i="1"/>
  <c r="I46" i="1"/>
  <c r="H46" i="1"/>
  <c r="D46" i="1"/>
  <c r="C46" i="1"/>
  <c r="I45" i="1"/>
  <c r="H45" i="1"/>
  <c r="D45" i="1"/>
  <c r="C45" i="1"/>
  <c r="D44" i="1"/>
  <c r="C44" i="1"/>
  <c r="I43" i="1"/>
  <c r="H43" i="1"/>
  <c r="D43" i="1"/>
  <c r="C43" i="1"/>
  <c r="I42" i="1"/>
  <c r="H42" i="1"/>
  <c r="D42" i="1"/>
  <c r="C42" i="1"/>
  <c r="I41" i="1"/>
  <c r="H41" i="1"/>
  <c r="D41" i="1"/>
  <c r="C41" i="1"/>
  <c r="I40" i="1"/>
  <c r="H40" i="1"/>
  <c r="D40" i="1"/>
  <c r="C40" i="1"/>
  <c r="I39" i="1"/>
  <c r="H39" i="1"/>
  <c r="D39" i="1"/>
  <c r="C39" i="1"/>
  <c r="I38" i="1"/>
  <c r="H38" i="1"/>
  <c r="D38" i="1"/>
  <c r="C38" i="1"/>
  <c r="D37" i="1"/>
  <c r="C37" i="1"/>
  <c r="D36" i="1"/>
  <c r="C36" i="1"/>
  <c r="D35" i="1"/>
  <c r="C35" i="1"/>
  <c r="I34" i="1"/>
  <c r="H34" i="1"/>
  <c r="D34" i="1"/>
  <c r="C34" i="1"/>
  <c r="N33" i="1"/>
  <c r="M33" i="1"/>
  <c r="I33" i="1"/>
  <c r="H33" i="1"/>
  <c r="D33" i="1"/>
  <c r="C33" i="1"/>
  <c r="N32" i="1"/>
  <c r="M32" i="1"/>
  <c r="I32" i="1"/>
  <c r="H32" i="1"/>
  <c r="D32" i="1"/>
  <c r="C32" i="1"/>
  <c r="N31" i="1"/>
  <c r="M31" i="1"/>
  <c r="I31" i="1"/>
  <c r="H31" i="1"/>
  <c r="D31" i="1"/>
  <c r="C31" i="1"/>
  <c r="N30" i="1"/>
  <c r="M30" i="1"/>
  <c r="I30" i="1"/>
  <c r="H30" i="1"/>
  <c r="D30" i="1"/>
  <c r="C30" i="1"/>
  <c r="N29" i="1"/>
  <c r="M29" i="1"/>
  <c r="I29" i="1"/>
  <c r="H29" i="1"/>
  <c r="D29" i="1"/>
  <c r="C29" i="1"/>
  <c r="N28" i="1"/>
  <c r="M28" i="1"/>
  <c r="I28" i="1"/>
  <c r="H28" i="1"/>
  <c r="N27" i="1"/>
  <c r="M27" i="1"/>
  <c r="I27" i="1"/>
  <c r="H27" i="1"/>
  <c r="N26" i="1"/>
  <c r="M26" i="1"/>
  <c r="I26" i="1"/>
  <c r="H26" i="1"/>
  <c r="D26" i="1"/>
  <c r="C26" i="1"/>
  <c r="N23" i="1"/>
  <c r="M23" i="1"/>
  <c r="N22" i="1"/>
  <c r="M22" i="1"/>
  <c r="I22" i="1"/>
  <c r="H22" i="1"/>
  <c r="D22" i="1"/>
  <c r="C22" i="1"/>
  <c r="N21" i="1"/>
  <c r="M21" i="1"/>
  <c r="I21" i="1"/>
  <c r="H21" i="1"/>
  <c r="D21" i="1"/>
  <c r="C21" i="1"/>
  <c r="N20" i="1"/>
  <c r="M20" i="1"/>
  <c r="I20" i="1"/>
  <c r="H20" i="1"/>
  <c r="D20" i="1"/>
  <c r="C20" i="1"/>
  <c r="N19" i="1"/>
  <c r="M19" i="1"/>
  <c r="I19" i="1"/>
  <c r="H19" i="1"/>
  <c r="D19" i="1"/>
  <c r="C19" i="1"/>
  <c r="N18" i="1"/>
  <c r="M18" i="1"/>
  <c r="I18" i="1"/>
  <c r="H18" i="1"/>
  <c r="D18" i="1"/>
  <c r="C18" i="1"/>
  <c r="N17" i="1"/>
  <c r="M17" i="1"/>
  <c r="I17" i="1"/>
  <c r="H17" i="1"/>
  <c r="D17" i="1"/>
  <c r="C17" i="1"/>
  <c r="N16" i="1"/>
  <c r="M16" i="1"/>
  <c r="I16" i="1"/>
  <c r="H16" i="1"/>
  <c r="D16" i="1"/>
  <c r="C16" i="1"/>
  <c r="N15" i="1"/>
  <c r="M15" i="1"/>
  <c r="I15" i="1"/>
  <c r="H15" i="1"/>
  <c r="D15" i="1"/>
  <c r="C15" i="1"/>
  <c r="N12" i="1"/>
  <c r="M12" i="1"/>
  <c r="I12" i="1"/>
  <c r="H12" i="1"/>
  <c r="D12" i="1"/>
  <c r="C12" i="1"/>
  <c r="N11" i="1"/>
  <c r="M11" i="1"/>
  <c r="I11" i="1"/>
  <c r="H11" i="1"/>
  <c r="D11" i="1"/>
  <c r="C11" i="1"/>
  <c r="N10" i="1"/>
  <c r="M10" i="1"/>
  <c r="I10" i="1"/>
  <c r="H10" i="1"/>
  <c r="D10" i="1"/>
  <c r="C10" i="1"/>
  <c r="N9" i="1"/>
  <c r="M9" i="1"/>
  <c r="I9" i="1"/>
  <c r="H9" i="1"/>
  <c r="D9" i="1"/>
  <c r="C9" i="1"/>
  <c r="N8" i="1"/>
  <c r="M8" i="1"/>
  <c r="I8" i="1"/>
  <c r="H8" i="1"/>
  <c r="D8" i="1"/>
  <c r="C8" i="1"/>
  <c r="N7" i="1"/>
  <c r="M7" i="1"/>
  <c r="I7" i="1"/>
  <c r="H7" i="1"/>
  <c r="D7" i="1"/>
  <c r="C7" i="1"/>
  <c r="N6" i="1"/>
  <c r="M6" i="1"/>
  <c r="I6" i="1"/>
  <c r="H6" i="1"/>
  <c r="D6" i="1"/>
  <c r="C6" i="1"/>
  <c r="N5" i="1"/>
  <c r="M5" i="1"/>
  <c r="I5" i="1"/>
  <c r="H5" i="1"/>
  <c r="D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6F36E-0C1D-4A94-85CB-9256C25A4639}" keepAlive="1" name="Query - Sheet1" description="Connection to the 'Sheet1' query in the workbook." type="5" refreshedVersion="7" background="1" refreshOnLoa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<sst xmlns="http://schemas.openxmlformats.org/spreadsheetml/2006/main" count="3796" uniqueCount="1738">
  <si>
    <t>CTC COMMISSARY MENU</t>
  </si>
  <si>
    <t>Stamps</t>
  </si>
  <si>
    <t>CLOTHING, SHOES, &amp; UNDERWEAR</t>
  </si>
  <si>
    <t>THERMAL TOPS</t>
  </si>
  <si>
    <t>THERMAL BOTTOMS</t>
  </si>
  <si>
    <t>THERMAL SETS</t>
  </si>
  <si>
    <t>Thermal Top - Sm</t>
  </si>
  <si>
    <t>Thermal Bottom - Sm</t>
  </si>
  <si>
    <t>Thermal Set - Sm</t>
  </si>
  <si>
    <t>Thermal Top - Md</t>
  </si>
  <si>
    <t>Thermal Bottom - Md</t>
  </si>
  <si>
    <t>Thermal Set - Md</t>
  </si>
  <si>
    <t>Thermal Top - Lg</t>
  </si>
  <si>
    <t>Thermal Bottom - Lg</t>
  </si>
  <si>
    <t>Thermal Set - Lg</t>
  </si>
  <si>
    <t>Thermal Top - XL</t>
  </si>
  <si>
    <t>Thermal Bottom - XL</t>
  </si>
  <si>
    <t>Thermal Set - XL</t>
  </si>
  <si>
    <t>Thermal Top - 2X</t>
  </si>
  <si>
    <t>Thermal Bottom - 2X</t>
  </si>
  <si>
    <t>Thermal Set - 2X</t>
  </si>
  <si>
    <t>Thermal Top - 3X</t>
  </si>
  <si>
    <t>Thermal Bottom - 3X</t>
  </si>
  <si>
    <t>Thermal Set - 3X</t>
  </si>
  <si>
    <t>Thermal Top - 4X</t>
  </si>
  <si>
    <t>Thermal Bottom - 4X</t>
  </si>
  <si>
    <t>Thermal Set - 4X</t>
  </si>
  <si>
    <t>Thermal Top - 5X</t>
  </si>
  <si>
    <t>Thermal Bottom - 5X</t>
  </si>
  <si>
    <t>Thermal Set - 5X</t>
  </si>
  <si>
    <t>SWEATSHIRTS</t>
  </si>
  <si>
    <t>SWEATPANTS</t>
  </si>
  <si>
    <t>T-SHIRTS</t>
  </si>
  <si>
    <t>White T-Shirt - Sm</t>
  </si>
  <si>
    <t>White T-Shirt - Md</t>
  </si>
  <si>
    <t>White T-Shirt - Lg</t>
  </si>
  <si>
    <t>White T-Shirt - XL</t>
  </si>
  <si>
    <t>White T-Shirt - 2X</t>
  </si>
  <si>
    <t>White T-Shirt - 3X</t>
  </si>
  <si>
    <t>White T-Shirt - 4X</t>
  </si>
  <si>
    <t>White T-Shirt - 5X</t>
  </si>
  <si>
    <t>White T-Shirt - 6X</t>
  </si>
  <si>
    <t>SOCKS</t>
  </si>
  <si>
    <t>MEN'S UNDERWEAR</t>
  </si>
  <si>
    <t>LINENS, LAUNDRY</t>
  </si>
  <si>
    <t>Boxer Shorts - Sm</t>
  </si>
  <si>
    <t>White Bath Towel (Sm)</t>
  </si>
  <si>
    <t>Boxer Shorts - Md</t>
  </si>
  <si>
    <t>White Bath Towel (Md)</t>
  </si>
  <si>
    <t>SHOES</t>
  </si>
  <si>
    <t>Boxer Shorts - Lg</t>
  </si>
  <si>
    <t>Tan Bath Towel (Lg)</t>
  </si>
  <si>
    <t>Black Canvas Shoes (M07/L09)</t>
  </si>
  <si>
    <t>Boxer Shorts - XL</t>
  </si>
  <si>
    <t>Blue Bath Towel (Lg)</t>
  </si>
  <si>
    <t>Black Canvas Shoes (M08/L10)</t>
  </si>
  <si>
    <t>Boxer Shorts - 2X</t>
  </si>
  <si>
    <t>White Washcloth</t>
  </si>
  <si>
    <t>Black Canvas Shoes (M09/L11)</t>
  </si>
  <si>
    <t>Boxer Shorts - 3X</t>
  </si>
  <si>
    <t>Tan Washcloth</t>
  </si>
  <si>
    <t>Black Canvas Shoes (M10/L12)</t>
  </si>
  <si>
    <t>Boxer Shorts - 4X</t>
  </si>
  <si>
    <t>Blue Washcloth</t>
  </si>
  <si>
    <t>Black Canvas Shoes (M11)</t>
  </si>
  <si>
    <t>Boxer Shorts - 5X</t>
  </si>
  <si>
    <t>Mesh Laundry Bag</t>
  </si>
  <si>
    <t>Black Canvas Shoes (M12)</t>
  </si>
  <si>
    <t>Boxer Shorts - 6X</t>
  </si>
  <si>
    <t>Black Canvas Shoes (M13)</t>
  </si>
  <si>
    <t>Black Canvas Shoes (M14)</t>
  </si>
  <si>
    <t>Black Canvas Shoes (M15)</t>
  </si>
  <si>
    <t>WOMEN'S UNDERWEAR</t>
  </si>
  <si>
    <t>Shower Sandals (08)</t>
  </si>
  <si>
    <t>Women's Briefs - Size 05</t>
  </si>
  <si>
    <t>Shower Sandals (10)</t>
  </si>
  <si>
    <t>Women's Briefs - Size 06</t>
  </si>
  <si>
    <t>Shower Sandals (12)</t>
  </si>
  <si>
    <t>Women's Briefs - Size 07</t>
  </si>
  <si>
    <t>Shower Sandals (14)</t>
  </si>
  <si>
    <t>Women's Briefs - Size 08</t>
  </si>
  <si>
    <t>Shower Sandals (17)</t>
  </si>
  <si>
    <t>Women's Briefs - Size 09</t>
  </si>
  <si>
    <t>Orange Canvas Shoes (M07/L09)</t>
  </si>
  <si>
    <t>Women's Briefs - Size 10</t>
  </si>
  <si>
    <t>Orange Canvas Shoes (M08/L10)</t>
  </si>
  <si>
    <t>Orange Canvas Shoes (M09/L11)</t>
  </si>
  <si>
    <t>Women's Briefs - Size 12</t>
  </si>
  <si>
    <t>Orange Canvas Shoes (M10/L12)</t>
  </si>
  <si>
    <t>Women's Briefs - Size 13</t>
  </si>
  <si>
    <t>Orange Canvas Shoes (M11)</t>
  </si>
  <si>
    <t>Women's Briefs - Size 14</t>
  </si>
  <si>
    <t>Orange Canvas Shoes (M12)</t>
  </si>
  <si>
    <t>Sports Bra - Size 32</t>
  </si>
  <si>
    <t>Orange Canvas Shoes (M13)</t>
  </si>
  <si>
    <t>Sports Bra - Size 34</t>
  </si>
  <si>
    <t>Sports Bra - Size 36</t>
  </si>
  <si>
    <t>Sports Bra - Size 38</t>
  </si>
  <si>
    <t>Sports Bra - Size 40/42</t>
  </si>
  <si>
    <t>Sports Bra - Size 44/46</t>
  </si>
  <si>
    <t>Sports Bra - Size 50</t>
  </si>
  <si>
    <t>EYE CARE, MEDICINE, &amp; HEALTH</t>
  </si>
  <si>
    <t>EYE CARE</t>
  </si>
  <si>
    <t>MEDICINE</t>
  </si>
  <si>
    <t>HEALTH</t>
  </si>
  <si>
    <t>Contact Lens Case</t>
  </si>
  <si>
    <t>Acetaminophen (2pk)</t>
  </si>
  <si>
    <t>Rolaids</t>
  </si>
  <si>
    <t>Contact Lens Solution</t>
  </si>
  <si>
    <t>Ibuprofen (2pk)</t>
  </si>
  <si>
    <t>Halls Menthol Cough Drops</t>
  </si>
  <si>
    <t>Alka Seltzer (2pk)</t>
  </si>
  <si>
    <t>Halls Cherry Cough Drops</t>
  </si>
  <si>
    <t>Reading Glasses (1.00)</t>
  </si>
  <si>
    <t>Cold &amp; Sinus (2pk)</t>
  </si>
  <si>
    <t>Multivitamins (100ct)</t>
  </si>
  <si>
    <t>Reading Glasses (1.25)</t>
  </si>
  <si>
    <t>Diphen Allergy Relief (2pk)</t>
  </si>
  <si>
    <t>Reading Glasses (1.50)</t>
  </si>
  <si>
    <t>Reading Glasses (1.75)</t>
  </si>
  <si>
    <t>Reading Glasses (2.00)</t>
  </si>
  <si>
    <t>Reading Glasses (2.25)</t>
  </si>
  <si>
    <t>Reading Glasses (2.50)</t>
  </si>
  <si>
    <t>Reading Glasses (2.75)</t>
  </si>
  <si>
    <t>Reading Glasses (3.00)</t>
  </si>
  <si>
    <t>Reading Glasses (3.25)</t>
  </si>
  <si>
    <t>Reading Glasses (3.50)</t>
  </si>
  <si>
    <t>HYGIENE, TOILETRY, &amp; PERSONAL CARE</t>
  </si>
  <si>
    <t>SOAP</t>
  </si>
  <si>
    <t>HAIR CARE</t>
  </si>
  <si>
    <t>PERSONAL CARE</t>
  </si>
  <si>
    <t>Dalan Bar Soap</t>
  </si>
  <si>
    <t>Pocket Comb (5")</t>
  </si>
  <si>
    <t>Jergens Bar Soap</t>
  </si>
  <si>
    <t>Large Comb (8")</t>
  </si>
  <si>
    <t>Irish Spring Bar Soap</t>
  </si>
  <si>
    <t>Palm Brush</t>
  </si>
  <si>
    <t>Magic Shave Cream</t>
  </si>
  <si>
    <t>Freshscent Bar Soap</t>
  </si>
  <si>
    <t>Ponytail Holders (18pk)</t>
  </si>
  <si>
    <t>Dial Gold Soap</t>
  </si>
  <si>
    <t>Hair Scrunchy</t>
  </si>
  <si>
    <t>Petroleum Jelly</t>
  </si>
  <si>
    <t>Ambi Cocoa Butter Soap</t>
  </si>
  <si>
    <t>Durag</t>
  </si>
  <si>
    <t>Baby Oil</t>
  </si>
  <si>
    <t>Murray's Hair Pomade</t>
  </si>
  <si>
    <t>Cocoa Butter Skin Lotion</t>
  </si>
  <si>
    <t>Royal Crown Hair Dressing</t>
  </si>
  <si>
    <t>Vitamin E Skin Lotion</t>
  </si>
  <si>
    <t>DEODORANT</t>
  </si>
  <si>
    <t>DEP Styling Gel</t>
  </si>
  <si>
    <t>Aloe Vera Skin Lotion</t>
  </si>
  <si>
    <t>Dark &amp; Lovely Relaxer</t>
  </si>
  <si>
    <t>Lusti Hair Food</t>
  </si>
  <si>
    <t>Lubriderm Lotion</t>
  </si>
  <si>
    <t>Lady Speed Stick, Shower Fresh</t>
  </si>
  <si>
    <t>Baby Powder</t>
  </si>
  <si>
    <t>Lip Balm</t>
  </si>
  <si>
    <t>Degree Solid, Extreme Blast</t>
  </si>
  <si>
    <t>TOOTHPASTE, ORAL HYGIENE</t>
  </si>
  <si>
    <t>Antifungal Cream</t>
  </si>
  <si>
    <t>Suave, Powder Scent</t>
  </si>
  <si>
    <t>Colgate Regular Toothpaste</t>
  </si>
  <si>
    <t>Foot Powder</t>
  </si>
  <si>
    <t>Close-Up Toothpaste</t>
  </si>
  <si>
    <t>Acne Cream</t>
  </si>
  <si>
    <t>SHAMPOO, CONDITIONER, BODY WASH</t>
  </si>
  <si>
    <t>Freshmint Toothpaste</t>
  </si>
  <si>
    <t>Hydrocortisone Cream</t>
  </si>
  <si>
    <t>VO5 Extra Body Shampoo</t>
  </si>
  <si>
    <t>Aim Toothpaste</t>
  </si>
  <si>
    <t>Medicated Skin Cream</t>
  </si>
  <si>
    <t>Herbal Shampoo (Vanilla/Vitamin E)</t>
  </si>
  <si>
    <t>Colgate Sensitive Toothpaste</t>
  </si>
  <si>
    <t>VO5 Strwb/Crm Shampoo</t>
  </si>
  <si>
    <t>Tek Toothbrush</t>
  </si>
  <si>
    <t>Q-Tips (90ct)</t>
  </si>
  <si>
    <t>Dandruff Shampoo</t>
  </si>
  <si>
    <t>Shorty Toothbrush</t>
  </si>
  <si>
    <t>Handkerchief</t>
  </si>
  <si>
    <t>Sulfur 8 Shampoo</t>
  </si>
  <si>
    <t>Thumb Toothbrush</t>
  </si>
  <si>
    <t>Foam Earplugs</t>
  </si>
  <si>
    <t>Sulfur 8 Medicated Conditioner</t>
  </si>
  <si>
    <t>Colgate Toothbrush, Soft</t>
  </si>
  <si>
    <t>Toilet Paper</t>
  </si>
  <si>
    <t>VO5 Extra Body Conditioner</t>
  </si>
  <si>
    <t>Herbal Conditioner (Vanilla/Vitamin E)</t>
  </si>
  <si>
    <t>Emery Board</t>
  </si>
  <si>
    <t>VO5 Strwb/Crm Conditioner</t>
  </si>
  <si>
    <t>Freshscent Shampoo &amp; Bodywash</t>
  </si>
  <si>
    <t>Douche</t>
  </si>
  <si>
    <t>White Rain Mens 3-In-1</t>
  </si>
  <si>
    <t>Maxipads (14ct)</t>
  </si>
  <si>
    <t>Oral Pain Relief</t>
  </si>
  <si>
    <t>Tampons (10ct)</t>
  </si>
  <si>
    <t>MISCELLANEOUS</t>
  </si>
  <si>
    <t>PLASTICWARE</t>
  </si>
  <si>
    <t>RELIGIOUS</t>
  </si>
  <si>
    <t>STATIONERY</t>
  </si>
  <si>
    <t>Bowl w/Lid (24oz)</t>
  </si>
  <si>
    <t>* Holy Bible, KJV</t>
  </si>
  <si>
    <t>Webster's Dictionary</t>
  </si>
  <si>
    <t>Tumbler w/Lid (22oz)</t>
  </si>
  <si>
    <t>* Sagrada Biblia</t>
  </si>
  <si>
    <t>Writing Pad (8.5x11, 50pg)</t>
  </si>
  <si>
    <t>Plastic Mug (12oz)</t>
  </si>
  <si>
    <t>* NIV Recovery Study Bible</t>
  </si>
  <si>
    <t>Writing Pad (8.5x14, 50pg)</t>
  </si>
  <si>
    <t>Yellow Spork</t>
  </si>
  <si>
    <t>* Book of Mormon</t>
  </si>
  <si>
    <t>White Spork (Sm)</t>
  </si>
  <si>
    <t>* Quran (in English)</t>
  </si>
  <si>
    <t>Shorty Pencil</t>
  </si>
  <si>
    <t>* Prayer Rug</t>
  </si>
  <si>
    <t>#2 Pencil</t>
  </si>
  <si>
    <t>ELECTRONICS</t>
  </si>
  <si>
    <t>* Satanic Bible</t>
  </si>
  <si>
    <t>Colored Pencils (12pk)</t>
  </si>
  <si>
    <t>AA Batteries (2pk)</t>
  </si>
  <si>
    <t>* Items marked with a star are non-commissionable.</t>
  </si>
  <si>
    <t>Eraser Cap</t>
  </si>
  <si>
    <t>AA Batteries (4pk)</t>
  </si>
  <si>
    <t>Flex Pen</t>
  </si>
  <si>
    <t>AAA Batteries (2pk)</t>
  </si>
  <si>
    <t>E-CIGS</t>
  </si>
  <si>
    <t>AM/FM Radio</t>
  </si>
  <si>
    <t>Sentry Earbuds</t>
  </si>
  <si>
    <t>Pencil Sharpener</t>
  </si>
  <si>
    <t>Koss CL-3 Earbuds</t>
  </si>
  <si>
    <t>Photo Album</t>
  </si>
  <si>
    <t>Earbuds w/Microphone</t>
  </si>
  <si>
    <t>E-DIP (NICOTINE POUCHES)</t>
  </si>
  <si>
    <t>Friendship Card w/Envelope</t>
  </si>
  <si>
    <t>Clear Headphones w/10' Cord</t>
  </si>
  <si>
    <t>Love Card w/Envelope</t>
  </si>
  <si>
    <t>Birthday Card w/Envelope</t>
  </si>
  <si>
    <t>GAMES</t>
  </si>
  <si>
    <t>Playing Cards</t>
  </si>
  <si>
    <t>Christmas Card w/Envelope</t>
  </si>
  <si>
    <t>Double-Six Dominoes</t>
  </si>
  <si>
    <t>Blank Card w/Envelope</t>
  </si>
  <si>
    <t>Checkers Set</t>
  </si>
  <si>
    <t>Thanksgiving Card w/Envelope</t>
  </si>
  <si>
    <t>Chess Set</t>
  </si>
  <si>
    <t>Mother's Day Card w/Envelope</t>
  </si>
  <si>
    <t>Variety Puzzle Book</t>
  </si>
  <si>
    <t>Bible Word Find Book</t>
  </si>
  <si>
    <t>Father's Day Card w/Envelope</t>
  </si>
  <si>
    <t>SKIP BO</t>
  </si>
  <si>
    <t>Rook</t>
  </si>
  <si>
    <t>Halloween Card w/Envelope</t>
  </si>
  <si>
    <t>Farkle Flip</t>
  </si>
  <si>
    <t>Phase 10</t>
  </si>
  <si>
    <t>TOBACCO - CIGARETTES</t>
  </si>
  <si>
    <t>#10 Envelopes (50ct)</t>
  </si>
  <si>
    <t>UNO</t>
  </si>
  <si>
    <t>3950 -</t>
  </si>
  <si>
    <t>Seneca Brand</t>
  </si>
  <si>
    <t>TBD</t>
  </si>
  <si>
    <t>Single #10 Envelope</t>
  </si>
  <si>
    <t>Adult Coloring Book</t>
  </si>
  <si>
    <t>3952 -</t>
  </si>
  <si>
    <t>Marlboro Brand</t>
  </si>
  <si>
    <t>Large Brown Envelope (9x12)</t>
  </si>
  <si>
    <t>3954 -</t>
  </si>
  <si>
    <t>Newport Brand</t>
  </si>
  <si>
    <t>SPECIALTY</t>
  </si>
  <si>
    <t>Lighter</t>
  </si>
  <si>
    <t>Master Lock w/Key</t>
  </si>
  <si>
    <t>CHEWING TOBACCO</t>
  </si>
  <si>
    <t>Reusable Face Mask</t>
  </si>
  <si>
    <t>Grizzly Long Cut Straight</t>
  </si>
  <si>
    <t>Single Blade Razor</t>
  </si>
  <si>
    <t>Grizzly Wintergreen</t>
  </si>
  <si>
    <t>* Other brands, as requested</t>
  </si>
  <si>
    <t>* * Prices based on Commission, or Fixed</t>
  </si>
  <si>
    <t>BEVERAGES</t>
  </si>
  <si>
    <t>BOTTLED DRINKS</t>
  </si>
  <si>
    <t>DRINK MIXES</t>
  </si>
  <si>
    <t>INSTANT COFFEE</t>
  </si>
  <si>
    <t>Bottled Water</t>
  </si>
  <si>
    <t>Coca Cola</t>
  </si>
  <si>
    <t>Diet Coke</t>
  </si>
  <si>
    <t>Wyler's Green Tropical Dream (10ct)</t>
  </si>
  <si>
    <t>Dr. Pepper</t>
  </si>
  <si>
    <t>Wyler's Blue Ocean Breeze (10ct)</t>
  </si>
  <si>
    <t>Diet Dr. Pepper</t>
  </si>
  <si>
    <t>Wyler's Radical Lemon Berry (10ct)</t>
  </si>
  <si>
    <t>Boston's Best Instant Coffee (4oz)</t>
  </si>
  <si>
    <t>A&amp;W Root Beer</t>
  </si>
  <si>
    <t>Kool-Aid Singles, Tropical Punch</t>
  </si>
  <si>
    <t>Flavor Fix Freeze Dried Coffee (3oz)</t>
  </si>
  <si>
    <t>Pineapple Soda</t>
  </si>
  <si>
    <t>Folgers Single Serve Packets (7ct)</t>
  </si>
  <si>
    <t>Orange Soda</t>
  </si>
  <si>
    <t>Kool-Aid Singles, Sour Green Apple</t>
  </si>
  <si>
    <t>Single Stick Folgers (1ct)</t>
  </si>
  <si>
    <t>Peach Soda</t>
  </si>
  <si>
    <t>Crush Strawberry Drink Mix (6ct)</t>
  </si>
  <si>
    <t>Arctic Rain Soda</t>
  </si>
  <si>
    <t>Instant Tea w/Lemon (24oz)</t>
  </si>
  <si>
    <t>SUGAR &amp; CREAMER</t>
  </si>
  <si>
    <t>Black Cola Soda</t>
  </si>
  <si>
    <t>Swiss Miss Hot Cocoa Mix</t>
  </si>
  <si>
    <t>Sugar Canister (22oz)</t>
  </si>
  <si>
    <t>Gatorade Cool Blue</t>
  </si>
  <si>
    <t>Cafe Style Mocha Cappuccino Mix</t>
  </si>
  <si>
    <t>Sugar Packet (1ct)</t>
  </si>
  <si>
    <t>Gatorade Grape</t>
  </si>
  <si>
    <t>French Vanilla Cappuccino Mix</t>
  </si>
  <si>
    <t>Sugar Twin Sweetener Box (100pk)</t>
  </si>
  <si>
    <t>Gatorade Fruit Punch</t>
  </si>
  <si>
    <t>Salted Caramel Cappuccino Mix</t>
  </si>
  <si>
    <t>Gatorade Riptide Rush</t>
  </si>
  <si>
    <t>Instant Milk Mix (1qt)</t>
  </si>
  <si>
    <t>Creamer Packet</t>
  </si>
  <si>
    <t>Creamer Canister (16oz)</t>
  </si>
  <si>
    <t>CONDIMENTS, SEASONING, &amp; GROCERY</t>
  </si>
  <si>
    <t>SQUEEZE PACKETS &amp; DIPS</t>
  </si>
  <si>
    <t>POUCHED MEALS</t>
  </si>
  <si>
    <t>NUTS</t>
  </si>
  <si>
    <t>Ketchup Packet</t>
  </si>
  <si>
    <t>Hot Chili w/Beans</t>
  </si>
  <si>
    <t>Salted Peanuts</t>
  </si>
  <si>
    <t>BBQ Sauce Packet</t>
  </si>
  <si>
    <t>Chili, No Beans</t>
  </si>
  <si>
    <t>Sunflower Kernels</t>
  </si>
  <si>
    <t>Mayonnaise Packet</t>
  </si>
  <si>
    <t>Beef Stew</t>
  </si>
  <si>
    <t>Double Dipped Peanuts</t>
  </si>
  <si>
    <t>Mustard Packet</t>
  </si>
  <si>
    <t>Tuna in Water</t>
  </si>
  <si>
    <t>All Energy Trail Mix</t>
  </si>
  <si>
    <t>Taco Sauce Packet</t>
  </si>
  <si>
    <t>Sardines in Oil</t>
  </si>
  <si>
    <t>Sweet 'N Spicy Snack Mix</t>
  </si>
  <si>
    <t>Sardines in Hot Sauce</t>
  </si>
  <si>
    <t>Squeeze Jalapeno Cheese Packet</t>
  </si>
  <si>
    <t>Mackerel in Water</t>
  </si>
  <si>
    <t>SNACK CRACKERS</t>
  </si>
  <si>
    <t>Chilorio Shredded Pork</t>
  </si>
  <si>
    <t>Nekot Peanut Butter Sandwich Crackers</t>
  </si>
  <si>
    <t>Mackeral in Sriracha Sauce</t>
  </si>
  <si>
    <t>Toasty Peanut Butter Sandwich Crackers</t>
  </si>
  <si>
    <t>Tostitos Salsa Cup</t>
  </si>
  <si>
    <t>Smoked Oysters in Oil</t>
  </si>
  <si>
    <t>Grilled Cheese Sandwich Crackers</t>
  </si>
  <si>
    <t>Rico's Nacho Cheese Cup</t>
  </si>
  <si>
    <t>Spicy Cheddar Sandwich Crackers</t>
  </si>
  <si>
    <t>DEHYDRATED MEALS</t>
  </si>
  <si>
    <t>Cream Cheese &amp; Chive Sandwich Crackers</t>
  </si>
  <si>
    <t>Fully Cooked Bacon</t>
  </si>
  <si>
    <t>Cheez-It Hot &amp; Spicy Crackers</t>
  </si>
  <si>
    <t>Ranch Dressing Cup</t>
  </si>
  <si>
    <t>Instant Refried Beans w/Jal</t>
  </si>
  <si>
    <t>Instant Spanish Rice w/Cheese &amp; Jal</t>
  </si>
  <si>
    <t>SEASONING</t>
  </si>
  <si>
    <t>Instant White Rice</t>
  </si>
  <si>
    <t>SOUPS / RAMEN NOODLES</t>
  </si>
  <si>
    <t>Tony's Creole Seasoning (20ct)</t>
  </si>
  <si>
    <t>Beef Ramen Noodles</t>
  </si>
  <si>
    <t>Salt Packet (10ct)</t>
  </si>
  <si>
    <t>Picante Beef Ramen Noodles</t>
  </si>
  <si>
    <t>Pepper Packet (10ct)</t>
  </si>
  <si>
    <t>Roasted Beef Ramen Noodles</t>
  </si>
  <si>
    <t>Garlic Powder Shaker</t>
  </si>
  <si>
    <t>Chicken Ramen Noodles</t>
  </si>
  <si>
    <t>Minced Onions Shaker</t>
  </si>
  <si>
    <t>BREAD, CRACKERS</t>
  </si>
  <si>
    <t>Roasted Chicken Ramen Noodles</t>
  </si>
  <si>
    <t>Seasoning Salt Shaker</t>
  </si>
  <si>
    <t>Flour Tortillas (Pack)</t>
  </si>
  <si>
    <t>Picante Chicken Ramen Noodles</t>
  </si>
  <si>
    <t>Louisiana Supreme Hot Sauce (5oz)</t>
  </si>
  <si>
    <t>Saltine Crackers (16oz)</t>
  </si>
  <si>
    <t>Cajun Chicken Ramen Noodles</t>
  </si>
  <si>
    <t>Snack Crackers (10oz)</t>
  </si>
  <si>
    <t>JALAPENOS</t>
  </si>
  <si>
    <t>Shrimp Ramen Noodles</t>
  </si>
  <si>
    <t>Sliced Jalapenos Packet</t>
  </si>
  <si>
    <t>Lime Chili Shrimp Ramen Noodles</t>
  </si>
  <si>
    <t>SNACKS &amp; CHIPS</t>
  </si>
  <si>
    <t>Chili Ramen Noodles</t>
  </si>
  <si>
    <t>BBQ Pork Rinds</t>
  </si>
  <si>
    <t>Pork Ramen Noodles</t>
  </si>
  <si>
    <t>JELLY</t>
  </si>
  <si>
    <t>Hot Pork Rinds</t>
  </si>
  <si>
    <t>Squeeze Grape Jelly Packet</t>
  </si>
  <si>
    <t>Jalapeno Pretzel Pieces</t>
  </si>
  <si>
    <t>GRAB BAGS</t>
  </si>
  <si>
    <t>Squeeze Strawberry Jelly Packet</t>
  </si>
  <si>
    <t>09201</t>
  </si>
  <si>
    <t>Grab Bag 25</t>
  </si>
  <si>
    <t>Jalapeno Popper Puffs</t>
  </si>
  <si>
    <t xml:space="preserve">Pre-packed beverage mixes, coffee, </t>
  </si>
  <si>
    <t>Deep Dish Pizza Curls</t>
  </si>
  <si>
    <t xml:space="preserve">sugar and creamer packets, pastries, </t>
  </si>
  <si>
    <t>Cheetos</t>
  </si>
  <si>
    <t>and noodles)</t>
  </si>
  <si>
    <t>PEANUT BUTTER</t>
  </si>
  <si>
    <t>Hot Cheetos</t>
  </si>
  <si>
    <t>Takis</t>
  </si>
  <si>
    <t>09202</t>
  </si>
  <si>
    <t>Grab Bag 50</t>
  </si>
  <si>
    <t>Jif Peanut Butter To-Go Cup</t>
  </si>
  <si>
    <t>BBQ Corn Chips</t>
  </si>
  <si>
    <t>Red Hot Corn Chips</t>
  </si>
  <si>
    <t>Nacho Cheese Doritos</t>
  </si>
  <si>
    <t>candy, and noodles)</t>
  </si>
  <si>
    <t>SAUSAGE, PICKLES, POPCORN</t>
  </si>
  <si>
    <t>Cool Ranch Doritos</t>
  </si>
  <si>
    <t>Beef Summer Sausage</t>
  </si>
  <si>
    <t>Tostitos Crispy Rounds</t>
  </si>
  <si>
    <t>09203</t>
  </si>
  <si>
    <t>Grab Bag 75</t>
  </si>
  <si>
    <t>Hot &amp; Spicy Beef Summer Sausage</t>
  </si>
  <si>
    <t>Chili Cheese Fritos</t>
  </si>
  <si>
    <t>O'Brien's Beef Sticks</t>
  </si>
  <si>
    <t>Regular Corn Chips</t>
  </si>
  <si>
    <t>sugar and creamer packets, coco mix,</t>
  </si>
  <si>
    <t>Double Barrel Beef Sticks</t>
  </si>
  <si>
    <t>Ruffles</t>
  </si>
  <si>
    <t>pastries, candy, dip, beans, and noodles)</t>
  </si>
  <si>
    <t>Hot Dill Pickle</t>
  </si>
  <si>
    <t>Baby Back Rib Chips</t>
  </si>
  <si>
    <t>Dill Pickle</t>
  </si>
  <si>
    <t>Creamy Ranch &amp; Habanero Chips</t>
  </si>
  <si>
    <t>* Bags are available ONLINE only, and can be adjusted.</t>
  </si>
  <si>
    <t>Microwave Butter Popcorn</t>
  </si>
  <si>
    <t>Ruffles Cheddar &amp; Sour Cream</t>
  </si>
  <si>
    <t>BREAKFAST ITEMS</t>
  </si>
  <si>
    <t>CEREALS, BARS</t>
  </si>
  <si>
    <t>TOASTERS (3-PK BOX)</t>
  </si>
  <si>
    <t>TOASTERS (SINGLES)</t>
  </si>
  <si>
    <t>Instant Grits, Butter Flavor (12pk)</t>
  </si>
  <si>
    <t>Strawberry Pop-Ups (3pk)</t>
  </si>
  <si>
    <t>Single Pack Strawberry Pop-Up</t>
  </si>
  <si>
    <t>Instant Oatmeal (10pk Variety)</t>
  </si>
  <si>
    <t>Wild Berry Pop-Ups (3pk)</t>
  </si>
  <si>
    <t>Single Pack Wild Berry Pop-Up</t>
  </si>
  <si>
    <t>Frosted Flakes Cereal Bowl</t>
  </si>
  <si>
    <t>Cookies &amp; Cream Pop-Ups (3pk)</t>
  </si>
  <si>
    <t>Single Pack Cookies &amp; Cream Pop-Up</t>
  </si>
  <si>
    <t>Cinnamon Toaster Cereal Bowl</t>
  </si>
  <si>
    <t>S'mores Pop-Ups (3pk)</t>
  </si>
  <si>
    <t>Single Pack S'mores Pop-Up</t>
  </si>
  <si>
    <t>Chewy Granola Bar</t>
  </si>
  <si>
    <t>Brown Sugar Cinnamon Pop-Ups (3pk)</t>
  </si>
  <si>
    <t>Single Pack Brown Sugar Cinnamon Pop-Up</t>
  </si>
  <si>
    <t>Crunchy Granola Bar</t>
  </si>
  <si>
    <t>Chocolate Fudge Pop-Ups (3pk)</t>
  </si>
  <si>
    <t>Single Pack Chocolate Fudge Pop-Up</t>
  </si>
  <si>
    <t>Single Pack Cherry Pop-Up</t>
  </si>
  <si>
    <t>COOKIES, PASTRIES, &amp; CANDY</t>
  </si>
  <si>
    <t>PASTRIES</t>
  </si>
  <si>
    <t>COOKIES</t>
  </si>
  <si>
    <t>CANDY</t>
  </si>
  <si>
    <t>Iced Honey Bun</t>
  </si>
  <si>
    <t>Duplex Crème Cookies</t>
  </si>
  <si>
    <t>Black Forest Gummy Bears</t>
  </si>
  <si>
    <t>Glazed Honey Bun</t>
  </si>
  <si>
    <t>Vanilla Crème Cookies</t>
  </si>
  <si>
    <t>Gummi Sour Worms</t>
  </si>
  <si>
    <t>Big Texas Cinnamon Roll</t>
  </si>
  <si>
    <t>Strawberry Crème Cookies</t>
  </si>
  <si>
    <t>Very Berry Sour Brite Crawlers</t>
  </si>
  <si>
    <t>Cremey Curl Honey Bun</t>
  </si>
  <si>
    <t>Peanut Butter Crème Cookies</t>
  </si>
  <si>
    <t>Sour Brite Crawlers</t>
  </si>
  <si>
    <t>Jelly Swirl Honey Bun</t>
  </si>
  <si>
    <t>Banana Crème Cookies</t>
  </si>
  <si>
    <t>Sour Patch Kids</t>
  </si>
  <si>
    <t>Pecan Twirls</t>
  </si>
  <si>
    <t>Lemon Crème Cookies</t>
  </si>
  <si>
    <t>Watermelon Sour Patch Kids</t>
  </si>
  <si>
    <t>Chocolate Cupcakes</t>
  </si>
  <si>
    <t>Chocolate Chip Cookies</t>
  </si>
  <si>
    <t>Skittles</t>
  </si>
  <si>
    <t>Iced Oatmeal Cookies</t>
  </si>
  <si>
    <t>Starburst Fruit Chews</t>
  </si>
  <si>
    <t>AirHeads Bar - Random Flavor</t>
  </si>
  <si>
    <t>Vanilla Wafers</t>
  </si>
  <si>
    <t>Lemonheads</t>
  </si>
  <si>
    <t>Swiss Rolls (12ct Box)</t>
  </si>
  <si>
    <t>Wild Cherry Rainbow Stick</t>
  </si>
  <si>
    <t>Mini Powdered Donuts</t>
  </si>
  <si>
    <t>CANDY BARS</t>
  </si>
  <si>
    <t>Jolly Ranchers</t>
  </si>
  <si>
    <t>Donut Sticks</t>
  </si>
  <si>
    <t>Snickers</t>
  </si>
  <si>
    <t>Now &amp; Laters</t>
  </si>
  <si>
    <t>Reese's Peanut Butter Cups</t>
  </si>
  <si>
    <t>Atomic Fireballs</t>
  </si>
  <si>
    <t>Brownie Oreo</t>
  </si>
  <si>
    <t>Hershey's Bar</t>
  </si>
  <si>
    <t>Starlite Peppermints</t>
  </si>
  <si>
    <t>Banana Moon Pie</t>
  </si>
  <si>
    <t>3 Musketeers</t>
  </si>
  <si>
    <t>Butterscotch Discs</t>
  </si>
  <si>
    <t>Vanilla Moon Pie</t>
  </si>
  <si>
    <t>Butterfinger</t>
  </si>
  <si>
    <t>Tootsie Pop - Random Flavor</t>
  </si>
  <si>
    <t>Chocolate Moon Pie</t>
  </si>
  <si>
    <t>Twix</t>
  </si>
  <si>
    <t>Chick-O-Stick</t>
  </si>
  <si>
    <t>Salted Caramel Moon Pie</t>
  </si>
  <si>
    <t>Almond Snickers</t>
  </si>
  <si>
    <t>Pecan Pie</t>
  </si>
  <si>
    <t>Baby Ruth</t>
  </si>
  <si>
    <t>Peanut M&amp;M's</t>
  </si>
  <si>
    <t>Buddy Bars</t>
  </si>
  <si>
    <t>M&amp;M's</t>
  </si>
  <si>
    <t>Rice Krispies Treat</t>
  </si>
  <si>
    <t>Milky Way</t>
  </si>
  <si>
    <t>INDIGENT KIT ITEMS</t>
  </si>
  <si>
    <t>STATIONERY KIT</t>
  </si>
  <si>
    <t>HYGIENE KIT</t>
  </si>
  <si>
    <t>Item No.</t>
  </si>
  <si>
    <t>Description</t>
  </si>
  <si>
    <t>Qty</t>
  </si>
  <si>
    <t>Single Sheet of Paper</t>
  </si>
  <si>
    <t>Freshscent Bar Soap, 3oz</t>
  </si>
  <si>
    <t xml:space="preserve"> CHECK HERE TO COMBINE KITS INTO ONE.</t>
  </si>
  <si>
    <t>Dial Roll-On Deodorant, 1.5oz</t>
  </si>
  <si>
    <t>Freshscent Roll-On Deodorant, 1.5oz</t>
  </si>
  <si>
    <t>* KITS ARE PRICED ACCORDING TO QTY</t>
  </si>
  <si>
    <t>Plain Envelope</t>
  </si>
  <si>
    <t>Freshmint Toothpaste, 1.5oz</t>
  </si>
  <si>
    <t xml:space="preserve">  OF ITEMS.  </t>
  </si>
  <si>
    <t>Stamped Envelope</t>
  </si>
  <si>
    <t>Stamped Postcard</t>
  </si>
  <si>
    <t>Freshscent Shampoo &amp; Body Wash, 4oz</t>
  </si>
  <si>
    <t>* OTHER ITEMS AVAILABLE UPON REQUEST</t>
  </si>
  <si>
    <t>PHONE CARDS</t>
  </si>
  <si>
    <t xml:space="preserve"> CHECK HERE TO HAVE PHONE CARDS ADDED TO COMMISSARY MENU.  USE THE SPACE BELOW TO LIST THE FACE VALUE AMOUNT FOR EACH CARD:</t>
  </si>
  <si>
    <t>1)</t>
  </si>
  <si>
    <t>2)</t>
  </si>
  <si>
    <t>3)</t>
  </si>
  <si>
    <t>4)</t>
  </si>
  <si>
    <t>5)</t>
  </si>
  <si>
    <t>6)</t>
  </si>
  <si>
    <t>USE THE SPACE BELOW TO REQUEST ANY ITEMS NOT LISTED ON THE MENU:</t>
  </si>
  <si>
    <t>Item ID</t>
  </si>
  <si>
    <t>ItemID</t>
  </si>
  <si>
    <t>Category</t>
  </si>
  <si>
    <t>Sales Type</t>
  </si>
  <si>
    <t>Gender</t>
  </si>
  <si>
    <t>Last Cost</t>
  </si>
  <si>
    <t>Vendor ID</t>
  </si>
  <si>
    <t>Vendor Item</t>
  </si>
  <si>
    <t>Min Qty</t>
  </si>
  <si>
    <t>Max Qty</t>
  </si>
  <si>
    <t>Case Qty</t>
  </si>
  <si>
    <t>Scan Code</t>
  </si>
  <si>
    <t>CustomerItemDescription</t>
  </si>
  <si>
    <t>Multiplier</t>
  </si>
  <si>
    <t>Stnd Price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</si>
  <si>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</si>
  <si>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</si>
  <si>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</si>
  <si>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</si>
  <si>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</si>
  <si>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</si>
  <si>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</si>
  <si>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</si>
  <si>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</si>
  <si>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</si>
  <si>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Clothing</t>
  </si>
  <si>
    <t>Both</t>
  </si>
  <si>
    <t>REI</t>
  </si>
  <si>
    <t>1001</t>
  </si>
  <si>
    <t>Thermal Set (Sm)</t>
  </si>
  <si>
    <t>1002</t>
  </si>
  <si>
    <t>Thermal Set (Md)</t>
  </si>
  <si>
    <t>1003</t>
  </si>
  <si>
    <t>Thermal Set (Lg)</t>
  </si>
  <si>
    <t>1004</t>
  </si>
  <si>
    <t>Thermal Set (XL)</t>
  </si>
  <si>
    <t>1005</t>
  </si>
  <si>
    <t>Thermal Set (2X)</t>
  </si>
  <si>
    <t>1006</t>
  </si>
  <si>
    <t>Thermal Set (3X)</t>
  </si>
  <si>
    <t>1007</t>
  </si>
  <si>
    <t>Thermal Set (4X)</t>
  </si>
  <si>
    <t>1008</t>
  </si>
  <si>
    <t>Thermal Set (5X)</t>
  </si>
  <si>
    <t>900701</t>
  </si>
  <si>
    <t>Thermal Top (Sm)</t>
  </si>
  <si>
    <t>900702</t>
  </si>
  <si>
    <t>Thermal Top (Md)</t>
  </si>
  <si>
    <t>900703</t>
  </si>
  <si>
    <t>Thermal Top (Lg)</t>
  </si>
  <si>
    <t>900704</t>
  </si>
  <si>
    <t>Thermal Top (XL)</t>
  </si>
  <si>
    <t>900705</t>
  </si>
  <si>
    <t>Thermal Top (2X)</t>
  </si>
  <si>
    <t>900706</t>
  </si>
  <si>
    <t>Thermal Top (3X)</t>
  </si>
  <si>
    <t>900707</t>
  </si>
  <si>
    <t>Thermal Top (4X)</t>
  </si>
  <si>
    <t>900708</t>
  </si>
  <si>
    <t>Thermal Top (5X)</t>
  </si>
  <si>
    <t>900801</t>
  </si>
  <si>
    <t>Thermal Bottom (Sm)</t>
  </si>
  <si>
    <t>900802</t>
  </si>
  <si>
    <t>Thermal Bottom (Md)</t>
  </si>
  <si>
    <t>900803</t>
  </si>
  <si>
    <t>Thermal Bottom (Lg)</t>
  </si>
  <si>
    <t>900804</t>
  </si>
  <si>
    <t>Thermal Bottom (XL)</t>
  </si>
  <si>
    <t>900805</t>
  </si>
  <si>
    <t>Thermal Bottom (2X)</t>
  </si>
  <si>
    <t>900806</t>
  </si>
  <si>
    <t>Thermal Bottom (3X)</t>
  </si>
  <si>
    <t>900807</t>
  </si>
  <si>
    <t>Thermal Bottom (4X)</t>
  </si>
  <si>
    <t>900808</t>
  </si>
  <si>
    <t>Thermal Bottom (5X)</t>
  </si>
  <si>
    <t>Sweatshirt, Grey (Md)</t>
  </si>
  <si>
    <t>901002</t>
  </si>
  <si>
    <t>Grey Sweatshirt (Md)</t>
  </si>
  <si>
    <t>Sweatshirt, Grey (Lg)</t>
  </si>
  <si>
    <t>901003</t>
  </si>
  <si>
    <t>Grey Sweatshirt (Lg)</t>
  </si>
  <si>
    <t>Sweatshirt, Grey (XL)</t>
  </si>
  <si>
    <t>901004</t>
  </si>
  <si>
    <t>Grey Sweatshirt (XL)</t>
  </si>
  <si>
    <t>Sweatshirt, Grey (2X)</t>
  </si>
  <si>
    <t>901005</t>
  </si>
  <si>
    <t>Grey Sweatshirt (2X)</t>
  </si>
  <si>
    <t>Sweatshirt, Grey (3X)</t>
  </si>
  <si>
    <t>901006</t>
  </si>
  <si>
    <t>Grey Sweatshirt (3X)</t>
  </si>
  <si>
    <t>Sweatshirt, Grey (4X)</t>
  </si>
  <si>
    <t>901007</t>
  </si>
  <si>
    <t>Grey Sweatshirt (4X)</t>
  </si>
  <si>
    <t>Sweatshirt, Grey (5XL)</t>
  </si>
  <si>
    <t>Claiborne Parish</t>
  </si>
  <si>
    <t>60133</t>
  </si>
  <si>
    <t>Grey Sweatshirt (5XL)</t>
  </si>
  <si>
    <t>Sweatshirt, Grey (6XL)</t>
  </si>
  <si>
    <t>60134</t>
  </si>
  <si>
    <t>Grey Sweatshirt (6XL)</t>
  </si>
  <si>
    <t>Sweatpants, Grey (Md)</t>
  </si>
  <si>
    <t>901102</t>
  </si>
  <si>
    <t>Grey Sweatpants (Md)</t>
  </si>
  <si>
    <t>Sweatpants, Grey (Lg)</t>
  </si>
  <si>
    <t>901103</t>
  </si>
  <si>
    <t>Grey Sweatpants (Lg)</t>
  </si>
  <si>
    <t>Sweatpants, Grey (XL)</t>
  </si>
  <si>
    <t>901104</t>
  </si>
  <si>
    <t>Grey Sweatpants (XL)</t>
  </si>
  <si>
    <t>Sweatpants, Grey (2X)</t>
  </si>
  <si>
    <t>901105</t>
  </si>
  <si>
    <t>Grey Sweatpants (2X)</t>
  </si>
  <si>
    <t>Sweatpants, Grey (3X)</t>
  </si>
  <si>
    <t>901106</t>
  </si>
  <si>
    <t>Grey Sweatpants (3X)</t>
  </si>
  <si>
    <t>Sweatpants, Grey (4X)</t>
  </si>
  <si>
    <t>901107</t>
  </si>
  <si>
    <t>Grey Sweatpants (4X)</t>
  </si>
  <si>
    <t>Sweatpants, Grey (5XL)</t>
  </si>
  <si>
    <t>60153</t>
  </si>
  <si>
    <t>Grey Sweatpants (5XL)</t>
  </si>
  <si>
    <t>Sweatpants, Grey (6XL)</t>
  </si>
  <si>
    <t>60154</t>
  </si>
  <si>
    <t>Grey Sweatpants (6XL)</t>
  </si>
  <si>
    <t>Crew Socks, White - Sizes 10-13</t>
  </si>
  <si>
    <t>901200</t>
  </si>
  <si>
    <t>White Crew Socks</t>
  </si>
  <si>
    <t>900101</t>
  </si>
  <si>
    <t>White T-Shirt (Sm)</t>
  </si>
  <si>
    <t>900102</t>
  </si>
  <si>
    <t>White T-Shirt (Md)</t>
  </si>
  <si>
    <t>900103</t>
  </si>
  <si>
    <t>White T-Shirt (Lg)</t>
  </si>
  <si>
    <t>900104</t>
  </si>
  <si>
    <t>White T-Shirt (XL)</t>
  </si>
  <si>
    <t>900105</t>
  </si>
  <si>
    <t>White T-Shirt (2X)</t>
  </si>
  <si>
    <t>900106</t>
  </si>
  <si>
    <t>White T-Shirt (3X)</t>
  </si>
  <si>
    <t>900107</t>
  </si>
  <si>
    <t>White T-Shirt (4X)</t>
  </si>
  <si>
    <t>900108</t>
  </si>
  <si>
    <t>White T-Shirt (5X)</t>
  </si>
  <si>
    <t>900109</t>
  </si>
  <si>
    <t>White T-Shirt (6X)</t>
  </si>
  <si>
    <t>900201</t>
  </si>
  <si>
    <t>White Boxers (Sm)</t>
  </si>
  <si>
    <t>900202</t>
  </si>
  <si>
    <t>White Boxers (Md)</t>
  </si>
  <si>
    <t>900203</t>
  </si>
  <si>
    <t>White Boxers (Lg)</t>
  </si>
  <si>
    <t>900204</t>
  </si>
  <si>
    <t>White Boxers (XL)</t>
  </si>
  <si>
    <t>900205</t>
  </si>
  <si>
    <t>White Boxers (2X)</t>
  </si>
  <si>
    <t>900206</t>
  </si>
  <si>
    <t>White Boxers (3X)</t>
  </si>
  <si>
    <t>900207</t>
  </si>
  <si>
    <t>White Boxers (4X)</t>
  </si>
  <si>
    <t>900208</t>
  </si>
  <si>
    <t>White Boxers (5X)</t>
  </si>
  <si>
    <t>900209</t>
  </si>
  <si>
    <t>White Boxers (6X)</t>
  </si>
  <si>
    <t>900405</t>
  </si>
  <si>
    <t>White Panties (Sz 05)</t>
  </si>
  <si>
    <t>900406</t>
  </si>
  <si>
    <t>White Panties (Sz 06)</t>
  </si>
  <si>
    <t>60042</t>
  </si>
  <si>
    <t>White Panties (Sz 07)</t>
  </si>
  <si>
    <t>Buyback</t>
  </si>
  <si>
    <t>60043</t>
  </si>
  <si>
    <t>White Panties (Sz 08)</t>
  </si>
  <si>
    <t>900409</t>
  </si>
  <si>
    <t>White Panties (Sz 09)</t>
  </si>
  <si>
    <t>60045</t>
  </si>
  <si>
    <t>White Panties (Sz 10)</t>
  </si>
  <si>
    <t>900412</t>
  </si>
  <si>
    <t>White Panties (Sz 12)</t>
  </si>
  <si>
    <t>60048</t>
  </si>
  <si>
    <t>White Panties (Sz 13)</t>
  </si>
  <si>
    <t>60049</t>
  </si>
  <si>
    <t>White Panties (Sz 14)</t>
  </si>
  <si>
    <t>900532</t>
  </si>
  <si>
    <t>White Sports Bra (32)</t>
  </si>
  <si>
    <t>900534</t>
  </si>
  <si>
    <t>White Sports Bra (34)</t>
  </si>
  <si>
    <t>900536</t>
  </si>
  <si>
    <t>White Sports Bra (36)</t>
  </si>
  <si>
    <t>900538</t>
  </si>
  <si>
    <t>White Sports Bra (38)</t>
  </si>
  <si>
    <t>900540</t>
  </si>
  <si>
    <t>White Sports Bra (40-42)</t>
  </si>
  <si>
    <t>900544</t>
  </si>
  <si>
    <t>White Sports Bra (44-46)</t>
  </si>
  <si>
    <t>900550</t>
  </si>
  <si>
    <t>White Sports Bra (50)</t>
  </si>
  <si>
    <t>Canvas Shoes, Black - Size 07</t>
  </si>
  <si>
    <t>Clothing - Shoes</t>
  </si>
  <si>
    <t>901602</t>
  </si>
  <si>
    <t>Canvas Shoes, Black - Size 08</t>
  </si>
  <si>
    <t>901603</t>
  </si>
  <si>
    <t>Canvas Shoes, Black - Size 09</t>
  </si>
  <si>
    <t>901604</t>
  </si>
  <si>
    <t>Canvas Shoes, Black - Size 10</t>
  </si>
  <si>
    <t>901605</t>
  </si>
  <si>
    <t>Canvas Shoes, Black - Size 11</t>
  </si>
  <si>
    <t>901606</t>
  </si>
  <si>
    <t>Canvas Shoes, Black - Size 12</t>
  </si>
  <si>
    <t>901607</t>
  </si>
  <si>
    <t>Canvas Shoes, Black - Size 13</t>
  </si>
  <si>
    <t>901608</t>
  </si>
  <si>
    <t>Canvas Shoes, Black - Size 14</t>
  </si>
  <si>
    <t>901609</t>
  </si>
  <si>
    <t>Canvas Shoes, Black - Size 15</t>
  </si>
  <si>
    <t>901610</t>
  </si>
  <si>
    <t>Canvas Shoes Orange - Size 7</t>
  </si>
  <si>
    <t>901632</t>
  </si>
  <si>
    <t>Canvas Shoes Orange - Size 8</t>
  </si>
  <si>
    <t>901633</t>
  </si>
  <si>
    <t>Canvas Shoes Orange - Size 9</t>
  </si>
  <si>
    <t>901634</t>
  </si>
  <si>
    <t>Canvas Shoes Orange - Size 10</t>
  </si>
  <si>
    <t>901635</t>
  </si>
  <si>
    <t>Canvas Shoes Orange - Size 11</t>
  </si>
  <si>
    <t>901636</t>
  </si>
  <si>
    <t>Orange Canvas Shoes (12)</t>
  </si>
  <si>
    <t>901637</t>
  </si>
  <si>
    <t>Orange Canvas Shoes (13)</t>
  </si>
  <si>
    <t>901638</t>
  </si>
  <si>
    <t>Low Top Leather Athletic Lace-Up Shoes, White, Mens - Size 08</t>
  </si>
  <si>
    <t>901570</t>
  </si>
  <si>
    <t>White Athletic Lace-up Shoes (08)</t>
  </si>
  <si>
    <t>Low Top Leather Athletic Lace-Up Shoes, White, Mens - Size 09</t>
  </si>
  <si>
    <t>901572</t>
  </si>
  <si>
    <t>White Athletic Lace-up Shoes (09)</t>
  </si>
  <si>
    <t>Low Top Leather Athletic Lace-Up Shoes, White, Mens - Size 10</t>
  </si>
  <si>
    <t>901574</t>
  </si>
  <si>
    <t>White Athletic Lace-up Shoes (10)</t>
  </si>
  <si>
    <t>Low Top Leather Athletic Lace-Up Shoes, White, Mens - Size 11</t>
  </si>
  <si>
    <t>901576</t>
  </si>
  <si>
    <t>White Athletic Lace-up Shoes (11)</t>
  </si>
  <si>
    <t>Low Top Leather Athletic Lace-Up Shoes, White, Mens - Size 12</t>
  </si>
  <si>
    <t>901578</t>
  </si>
  <si>
    <t>White Athletic Lace-up Shoes (12)</t>
  </si>
  <si>
    <t>Basket-Weave Shower Sandal, Orange, PVC - Size 08</t>
  </si>
  <si>
    <t>901663</t>
  </si>
  <si>
    <t>Basket-Weave Shower Sandal, Orange, PVC - Size 10</t>
  </si>
  <si>
    <t>901665</t>
  </si>
  <si>
    <t>Basket-Weave Shower Sandal, Orange, PVC - Size 12</t>
  </si>
  <si>
    <t>901667</t>
  </si>
  <si>
    <t>Basket-Weave Shower Sandal, Orange, PVC - Size 14</t>
  </si>
  <si>
    <t>901669</t>
  </si>
  <si>
    <t>Basket-Weave Shower Sandal, Orange, PVC - Size 17</t>
  </si>
  <si>
    <t>901672</t>
  </si>
  <si>
    <t>Wash Cloth, 1lb White - 12/cs</t>
  </si>
  <si>
    <t>Laundry</t>
  </si>
  <si>
    <t>907106</t>
  </si>
  <si>
    <t>Wash Cloth, Beige</t>
  </si>
  <si>
    <t>Towel Hub</t>
  </si>
  <si>
    <t>BE1313-PP</t>
  </si>
  <si>
    <t>907120</t>
  </si>
  <si>
    <t>Bath Puffs (Hvy Wt) WHITE ONLY 12ct Barcode</t>
  </si>
  <si>
    <t>Hygiene</t>
  </si>
  <si>
    <t>603997</t>
  </si>
  <si>
    <t>Mesh Bath Pouf</t>
  </si>
  <si>
    <t>Towel, 5lb White, 20 x 40</t>
  </si>
  <si>
    <t>907000</t>
  </si>
  <si>
    <t>Towel, 6lb White, 22 x 44</t>
  </si>
  <si>
    <t>907001</t>
  </si>
  <si>
    <t>Towel, Beige, 27 x 52</t>
  </si>
  <si>
    <t>907011</t>
  </si>
  <si>
    <t>Blue Towels</t>
  </si>
  <si>
    <t>907013</t>
  </si>
  <si>
    <t>Mesh Bag w/Drawstring, 24 x 36</t>
  </si>
  <si>
    <t>907500</t>
  </si>
  <si>
    <t>Master Lock w/Key (142DCM)</t>
  </si>
  <si>
    <t>Security</t>
  </si>
  <si>
    <t>542149</t>
  </si>
  <si>
    <t>Bowl w/Lid, 24oz - 150/cs</t>
  </si>
  <si>
    <t>Grocery - Plasticware</t>
  </si>
  <si>
    <t>569557</t>
  </si>
  <si>
    <t>Tumbler w/Lid, Clear Plastic, 22oz - 100/cs</t>
  </si>
  <si>
    <t>569496</t>
  </si>
  <si>
    <t>Clear Soft Mugs, 12oz - 48/cs</t>
  </si>
  <si>
    <t>569514</t>
  </si>
  <si>
    <t>Spork, Beige - 144/cs</t>
  </si>
  <si>
    <t>577905</t>
  </si>
  <si>
    <t>Spork Medium Weight White Wrapped 1000ct</t>
  </si>
  <si>
    <t>578000</t>
  </si>
  <si>
    <t>West Bend Clear Hot Pots #53645R, 350Wt, 4/cs</t>
  </si>
  <si>
    <t>411107</t>
  </si>
  <si>
    <t>Hot Pot - 5 Cup</t>
  </si>
  <si>
    <t>Energizer Batteries AA - 48/cs</t>
  </si>
  <si>
    <t>Electronics</t>
  </si>
  <si>
    <t>442840</t>
  </si>
  <si>
    <t>Tenergy Batteries AA, 4pk - 12/cs</t>
  </si>
  <si>
    <t>442920</t>
  </si>
  <si>
    <t>Energizer Batteries AAA - 48/cs</t>
  </si>
  <si>
    <t>442841</t>
  </si>
  <si>
    <t>JWIN JXM AM/FM Radio, Clear</t>
  </si>
  <si>
    <t>411199</t>
  </si>
  <si>
    <t>Sentry Ear-Buds 3.5ft, Black (HO220)</t>
  </si>
  <si>
    <t>411151</t>
  </si>
  <si>
    <t>411154</t>
  </si>
  <si>
    <t>City Tele-Coin Company, Inc.</t>
  </si>
  <si>
    <t>625</t>
  </si>
  <si>
    <t>411155</t>
  </si>
  <si>
    <t>Playing Cards - 12/cs</t>
  </si>
  <si>
    <t>Games</t>
  </si>
  <si>
    <t>411316</t>
  </si>
  <si>
    <t>Double-Six Dominoes, Wooden - 12/cs</t>
  </si>
  <si>
    <t>409212</t>
  </si>
  <si>
    <t>SKIP BO Card Game, International Games</t>
  </si>
  <si>
    <t>Amazon</t>
  </si>
  <si>
    <t>SKIP BO (No Item #)</t>
  </si>
  <si>
    <t>Rook Card Game, Hasbro</t>
  </si>
  <si>
    <t>Rook (No Item #)</t>
  </si>
  <si>
    <t>Farkle Flip Card Game, PlayMonster</t>
  </si>
  <si>
    <t>Farkle Flip (No Item #)</t>
  </si>
  <si>
    <t>Phase 10 Card Game, Mattel</t>
  </si>
  <si>
    <t>Phase 10 (No Item #)</t>
  </si>
  <si>
    <t>UNO, Classic Card Game, Mattell</t>
  </si>
  <si>
    <t>UNO (No Item #)</t>
  </si>
  <si>
    <t>Checkerboard Set - 12/cs</t>
  </si>
  <si>
    <t>409210</t>
  </si>
  <si>
    <t>Chess Set - 12/cs</t>
  </si>
  <si>
    <t>409211</t>
  </si>
  <si>
    <t>Variety Puzzles &amp; Games Book</t>
  </si>
  <si>
    <t>409201</t>
  </si>
  <si>
    <t>409203</t>
  </si>
  <si>
    <t>Adult Coloring Book, Random Design - 72/cs</t>
  </si>
  <si>
    <t>409207</t>
  </si>
  <si>
    <t>Webster's Standard Dictionary</t>
  </si>
  <si>
    <t>Stationery</t>
  </si>
  <si>
    <t>409144</t>
  </si>
  <si>
    <t>Writing Pad, Ruled White Letter Size 8.5 x 11, 50pgs - 72/cs</t>
  </si>
  <si>
    <t>406715</t>
  </si>
  <si>
    <t>Writing Pad, Ruled White Legal Size 8.5 x 14, 50pgs - 72/cs</t>
  </si>
  <si>
    <t>406753</t>
  </si>
  <si>
    <t>Scratch Pad, Plain White, 8.5 x 11, 50pgs - 72/cs</t>
  </si>
  <si>
    <t>406716</t>
  </si>
  <si>
    <t>Art Pad (8.5x11, 50pg)</t>
  </si>
  <si>
    <t>404897</t>
  </si>
  <si>
    <t>#2 Pencils 20ct</t>
  </si>
  <si>
    <t>404930</t>
  </si>
  <si>
    <t>Coloring Pencils, 12pk - 12/cs</t>
  </si>
  <si>
    <t>407655</t>
  </si>
  <si>
    <t>Pink Cap Erasers - 50/cs</t>
  </si>
  <si>
    <t>408745</t>
  </si>
  <si>
    <t>Flex Pens</t>
  </si>
  <si>
    <t>405753</t>
  </si>
  <si>
    <t>Bic Pens - Black 60ct</t>
  </si>
  <si>
    <t>405655</t>
  </si>
  <si>
    <t>BIC Pen, Black</t>
  </si>
  <si>
    <t>BIC Crystal Blue Pen, 10ct - 12/cs</t>
  </si>
  <si>
    <t>405561</t>
  </si>
  <si>
    <t>BIC Cristal Pen, Blue</t>
  </si>
  <si>
    <t>Bazic Pencil Round Sharpener - 20/cs</t>
  </si>
  <si>
    <t>408113</t>
  </si>
  <si>
    <t>Stationery - Greeting Cards</t>
  </si>
  <si>
    <t>411337</t>
  </si>
  <si>
    <t>Friendship Card</t>
  </si>
  <si>
    <t>411339</t>
  </si>
  <si>
    <t>Love Card</t>
  </si>
  <si>
    <t>411330</t>
  </si>
  <si>
    <t>Birthday Card</t>
  </si>
  <si>
    <t>Happy Holidays Card w/Envelope</t>
  </si>
  <si>
    <t>411347</t>
  </si>
  <si>
    <t>Holiday Card</t>
  </si>
  <si>
    <t>411346</t>
  </si>
  <si>
    <t>Christmas Card</t>
  </si>
  <si>
    <t>411322</t>
  </si>
  <si>
    <t>Blank Card</t>
  </si>
  <si>
    <t>411326</t>
  </si>
  <si>
    <t>Thanksgiving Card</t>
  </si>
  <si>
    <t>411344</t>
  </si>
  <si>
    <t>Mother's Day Card</t>
  </si>
  <si>
    <t>Greeting Cards w/Envelope, Easter - 6/cs</t>
  </si>
  <si>
    <t>411343</t>
  </si>
  <si>
    <t>Easter Card</t>
  </si>
  <si>
    <t>411345</t>
  </si>
  <si>
    <t>Father's Day Card</t>
  </si>
  <si>
    <t>Get Well Card w/Envelope</t>
  </si>
  <si>
    <t>411335</t>
  </si>
  <si>
    <t>Get Well Card</t>
  </si>
  <si>
    <t>411327</t>
  </si>
  <si>
    <t>Halloween Card</t>
  </si>
  <si>
    <t>Greeting Cards w/Envelope, Valentine's - 6/cs</t>
  </si>
  <si>
    <t>411342</t>
  </si>
  <si>
    <t>Valentine's Day Card</t>
  </si>
  <si>
    <t>Photo Album, 20pg - 24/cs</t>
  </si>
  <si>
    <t>Photo Albums</t>
  </si>
  <si>
    <t>407530</t>
  </si>
  <si>
    <t>408757</t>
  </si>
  <si>
    <t>Single #10 Envelope (Plain)</t>
  </si>
  <si>
    <t>408757-1</t>
  </si>
  <si>
    <t>Kraft Gummed Envelope, 9 x 12 - 250/cs</t>
  </si>
  <si>
    <t>409056</t>
  </si>
  <si>
    <t>Stamped Envelopes</t>
  </si>
  <si>
    <t>409112</t>
  </si>
  <si>
    <t>Prestamped #10 Envelope</t>
  </si>
  <si>
    <t>409114</t>
  </si>
  <si>
    <t>Prestamped Postcard</t>
  </si>
  <si>
    <t>Stamps, 10ct Booklet - 100/cs</t>
  </si>
  <si>
    <t>409113</t>
  </si>
  <si>
    <t>Stamp Booklet (10ct)</t>
  </si>
  <si>
    <t>Holy Bible, Paperback KJV - 24/cs</t>
  </si>
  <si>
    <t>Religious</t>
  </si>
  <si>
    <t>410500</t>
  </si>
  <si>
    <t>Holy Bible, KJV</t>
  </si>
  <si>
    <t>Holy Bible, Spanish Translation - 1/cs</t>
  </si>
  <si>
    <t>410501</t>
  </si>
  <si>
    <t>Santa Biblia</t>
  </si>
  <si>
    <t>NIV Celebrate Recovery Study Bible, Softcover 12/cs</t>
  </si>
  <si>
    <t>Bibles in Bulk</t>
  </si>
  <si>
    <t>SKU 9780310445173</t>
  </si>
  <si>
    <t>NIV Recovery Study Bible</t>
  </si>
  <si>
    <t>Book of Mormom, English, Regular Size</t>
  </si>
  <si>
    <t>Church of Jesus Christ</t>
  </si>
  <si>
    <t>30923000</t>
  </si>
  <si>
    <t>Book of Mormon</t>
  </si>
  <si>
    <t>Quran, English Translation - 1/cs</t>
  </si>
  <si>
    <t>410499</t>
  </si>
  <si>
    <t>Quran (in English)</t>
  </si>
  <si>
    <t>Prayer Rug</t>
  </si>
  <si>
    <t>410498</t>
  </si>
  <si>
    <t>Satanic Bible - Anton LaVey</t>
  </si>
  <si>
    <t>410506</t>
  </si>
  <si>
    <t>Satanic Bible</t>
  </si>
  <si>
    <t>Black Reusable Face Mask, 1pc</t>
  </si>
  <si>
    <t>Personal Protective Equipment</t>
  </si>
  <si>
    <t>386705</t>
  </si>
  <si>
    <t>E-Cig, Regular</t>
  </si>
  <si>
    <t>E-Cigs</t>
  </si>
  <si>
    <t>411147</t>
  </si>
  <si>
    <t>E-Cig, Menthol</t>
  </si>
  <si>
    <t>411148</t>
  </si>
  <si>
    <t>E-Dip</t>
  </si>
  <si>
    <t>Smart Vending Services, LLC</t>
  </si>
  <si>
    <t>2ONE Wintergreen - 8mg</t>
  </si>
  <si>
    <t>3940</t>
  </si>
  <si>
    <t>2ONE Glacier Mint - 8mg</t>
  </si>
  <si>
    <t>3941</t>
  </si>
  <si>
    <t>2ONE Very Berry - 8mg</t>
  </si>
  <si>
    <t>3942</t>
  </si>
  <si>
    <t>2ONE Mocha Java - 8mg</t>
  </si>
  <si>
    <t>3943</t>
  </si>
  <si>
    <t>Tobacco</t>
  </si>
  <si>
    <t>3990</t>
  </si>
  <si>
    <t>Dalan Refreshing Bar Soap, 3.17oz bar - 72/cs</t>
  </si>
  <si>
    <t>597977</t>
  </si>
  <si>
    <t>Jergens Bar Soap, Mild, 4.5oz bar - 4/24/cs</t>
  </si>
  <si>
    <t>392992</t>
  </si>
  <si>
    <t>Irish Spring Bar Soap, Original Green, 3.7oz bar - 80/cs</t>
  </si>
  <si>
    <t>598946</t>
  </si>
  <si>
    <t>Freshscent Deodorant Soap, 3oz</t>
  </si>
  <si>
    <t>400930</t>
  </si>
  <si>
    <t>Dial Antibacterial Gold Soap - 88/cs</t>
  </si>
  <si>
    <t>598375</t>
  </si>
  <si>
    <t>Ambi Cocoa Butter Soap, 3.5oz - 24/cs</t>
  </si>
  <si>
    <t>392210</t>
  </si>
  <si>
    <t>Soap Dish, Hinged Box SD3 - 100/cs</t>
  </si>
  <si>
    <t>602751</t>
  </si>
  <si>
    <t>Soap Dish</t>
  </si>
  <si>
    <t>396885</t>
  </si>
  <si>
    <t>Dial Roll-On Deodorant</t>
  </si>
  <si>
    <t>400932</t>
  </si>
  <si>
    <t>Freshscent Roll-On Deodorant</t>
  </si>
  <si>
    <t>Lady Speed Stick Deoderant, Shower Fresh, 1.4oz stick - 12/cs</t>
  </si>
  <si>
    <t>397281</t>
  </si>
  <si>
    <t>Speed Stick Deoderant, Fresh Scent Green, 1.8oz stick - 12/cs</t>
  </si>
  <si>
    <t>397695</t>
  </si>
  <si>
    <t>Speed Stick, Fresh Scent</t>
  </si>
  <si>
    <t>Degree Solid Extreme Blast 12/1.7oz</t>
  </si>
  <si>
    <t>396879</t>
  </si>
  <si>
    <t>Suave Powder Scent A/P Deodorant 12/1.4oz</t>
  </si>
  <si>
    <t>397789</t>
  </si>
  <si>
    <t>Freshscent Brushless Shave Cream w/Menthol, 3oz tube - 12/cs</t>
  </si>
  <si>
    <t>399543</t>
  </si>
  <si>
    <t>Shaving Cream</t>
  </si>
  <si>
    <t>Magic Shave Cream (Regular), 6oz tube - 6/cs</t>
  </si>
  <si>
    <t>399951</t>
  </si>
  <si>
    <t>Freshscent After Shave, 4oz bottle - 60/cs</t>
  </si>
  <si>
    <t>400949</t>
  </si>
  <si>
    <t>After Shave Lotion</t>
  </si>
  <si>
    <t>Colgate Regular Cavity Protection Toothpaste, 2.5oz tube - 24/cs</t>
  </si>
  <si>
    <t>390856</t>
  </si>
  <si>
    <t>Close-Up Red Gel Cinnamon Toothpaste, 4oz tube - 24/cs</t>
  </si>
  <si>
    <t>389675</t>
  </si>
  <si>
    <t>400933</t>
  </si>
  <si>
    <t>Aim Blue Gel Toothpaste w/ TC, 6oz - 24/cs</t>
  </si>
  <si>
    <t>389544</t>
  </si>
  <si>
    <t>Colgate Sensitive Toothpaste, 6oz tube - 24/cs</t>
  </si>
  <si>
    <t>389890</t>
  </si>
  <si>
    <t>Tek Toothbrush w/Medium Bristles - 72/cs</t>
  </si>
  <si>
    <t>389436</t>
  </si>
  <si>
    <t>389296</t>
  </si>
  <si>
    <t>Thumb Toothbrush - 72/cs</t>
  </si>
  <si>
    <t>389440</t>
  </si>
  <si>
    <t>Colgate Full Head Soft Toothbrush - 72/cs</t>
  </si>
  <si>
    <t>389205</t>
  </si>
  <si>
    <t>Toothbrush Holder, Clear - 100/cs</t>
  </si>
  <si>
    <t>400911</t>
  </si>
  <si>
    <t>Toothbrush Holder</t>
  </si>
  <si>
    <t>Dental Floss Safety Loops (Mint) 30ct - 144/cs</t>
  </si>
  <si>
    <t>390578</t>
  </si>
  <si>
    <t>Dental Floss Loops (30ct)</t>
  </si>
  <si>
    <t>Freshmint Mouthwash, Alchohol Free, 4oz bottle - 60/cs</t>
  </si>
  <si>
    <t>390963</t>
  </si>
  <si>
    <t>Mouthwash</t>
  </si>
  <si>
    <t>Denture Adhesive Cream, 2.4oz tube - 12/cs</t>
  </si>
  <si>
    <t>390301</t>
  </si>
  <si>
    <t>Denture Adhesive</t>
  </si>
  <si>
    <t>Freshmint Denture Cleanser - 24/40/cs</t>
  </si>
  <si>
    <t>400910</t>
  </si>
  <si>
    <t>Freshmint Denture Cleanser Tabs</t>
  </si>
  <si>
    <t>Dr. Sheffields Oral Pain Relief, .33oz - 24/cs</t>
  </si>
  <si>
    <t>Medicine</t>
  </si>
  <si>
    <t>390978</t>
  </si>
  <si>
    <t>Classic Cotton Swabs, 90pk - 96/cs</t>
  </si>
  <si>
    <t>388902</t>
  </si>
  <si>
    <t>Handkerchiefs - 24/cs</t>
  </si>
  <si>
    <t>411654</t>
  </si>
  <si>
    <t>Foam Earplugs, Uncorded, 2pk - 200/cs</t>
  </si>
  <si>
    <t>404871</t>
  </si>
  <si>
    <t>Green Heritage 2-Ply Toilet Tissue - 96/cs</t>
  </si>
  <si>
    <t>593386</t>
  </si>
  <si>
    <t>Nail Clippers, No File - 12/cs</t>
  </si>
  <si>
    <t>396524</t>
  </si>
  <si>
    <t>Nail Clippers</t>
  </si>
  <si>
    <t>Emery Board - 100/cs</t>
  </si>
  <si>
    <t>396579</t>
  </si>
  <si>
    <t>Toe Nail Clippers "No File" - 12/cs</t>
  </si>
  <si>
    <t>396526</t>
  </si>
  <si>
    <t>Toe Nail Clippers</t>
  </si>
  <si>
    <t>Single Blade Razor, Orange</t>
  </si>
  <si>
    <t>398705</t>
  </si>
  <si>
    <t>Douche, Fresh Scent, 4.5oz bottle - 12/cs</t>
  </si>
  <si>
    <t>Female</t>
  </si>
  <si>
    <t>589502</t>
  </si>
  <si>
    <t>Coralite Maxipads, Regular, 14ct - 24/cs</t>
  </si>
  <si>
    <t>588270</t>
  </si>
  <si>
    <t>Best Choice Tampons, Regular, 40ct box - 12/cs</t>
  </si>
  <si>
    <t>588301</t>
  </si>
  <si>
    <t>VO5 Extra Body Shampoo, 12.5oz bottle - 6/cs</t>
  </si>
  <si>
    <t>393645</t>
  </si>
  <si>
    <t>Herbal Shampoo, Vanilla &amp; Vitamin E, 12oz bottle - 12/cs</t>
  </si>
  <si>
    <t>393426</t>
  </si>
  <si>
    <t>VO5 Strawberries &amp; Cream Shampoo 12.5oz 6/cs</t>
  </si>
  <si>
    <t>393652</t>
  </si>
  <si>
    <t>Dandruff Shampoo, 1% Pyrithione Zinc, 13.5oz bottle - 12/cs</t>
  </si>
  <si>
    <t>393422</t>
  </si>
  <si>
    <t>Sulfur 8 Shampoo, 7.5oz - 12/cs</t>
  </si>
  <si>
    <t>393500</t>
  </si>
  <si>
    <t>Sulfur 8 Medicated Conditioner - 12/cs</t>
  </si>
  <si>
    <t>393942</t>
  </si>
  <si>
    <t>VO5 Extra Body Conditioner, 12.5oz bottle - 6/cs</t>
  </si>
  <si>
    <t>393950</t>
  </si>
  <si>
    <t>Herbal Conditioner, Vanilla, 12oz bottle - 12/cs</t>
  </si>
  <si>
    <t>393746</t>
  </si>
  <si>
    <t>VO5 Strawberries &amp; Cream Conditioner 12.5oz 6/cs</t>
  </si>
  <si>
    <t>393959</t>
  </si>
  <si>
    <t>Freshscent Shampoo &amp; Bodywash, 4oz</t>
  </si>
  <si>
    <t>400923</t>
  </si>
  <si>
    <t>White Rain Mens 3-In-1 Sh+Cnd+BW, 6/15oz</t>
  </si>
  <si>
    <t>394033</t>
  </si>
  <si>
    <t>Suave Ocean Breeze Body Wash, 15oz -6/cs</t>
  </si>
  <si>
    <t>603200</t>
  </si>
  <si>
    <t>Suave Ocean Breeze Body Wash</t>
  </si>
  <si>
    <t>Pocket Comb, 5"</t>
  </si>
  <si>
    <t>Hygiene - Hair Styling</t>
  </si>
  <si>
    <t>395921</t>
  </si>
  <si>
    <t>Dresser Comb, 8" - 12/cs</t>
  </si>
  <si>
    <t>395510</t>
  </si>
  <si>
    <t>Palm Brush w/Nylon Bristles, No Handle - 12/cs</t>
  </si>
  <si>
    <t>395570</t>
  </si>
  <si>
    <t>FreeStyle Ponytail Holders, Black, 18pk - 12/cs</t>
  </si>
  <si>
    <t>396097</t>
  </si>
  <si>
    <t>Hair Scrunchy - 24/cs</t>
  </si>
  <si>
    <t>396106</t>
  </si>
  <si>
    <t>Durag, Black - 6/cs</t>
  </si>
  <si>
    <t>396004</t>
  </si>
  <si>
    <t>Murray's Hair Pomade, 3oz tub - 24/cs</t>
  </si>
  <si>
    <t>394100</t>
  </si>
  <si>
    <t>Royal Crown Hair Dressing, 4oz jar - 12/cs</t>
  </si>
  <si>
    <t>395236</t>
  </si>
  <si>
    <t>DEP Alcohol Free Styling Gel, 2oz - 36/cs</t>
  </si>
  <si>
    <t>394056</t>
  </si>
  <si>
    <t>Dark &amp; Lovely Super Relaxer - 6/cs</t>
  </si>
  <si>
    <t>395260</t>
  </si>
  <si>
    <t>Lusti Hair Food, 4oz tub - 24/cs</t>
  </si>
  <si>
    <t>395066</t>
  </si>
  <si>
    <t>Luster's Pink Oil, 8oz - 12/cs</t>
  </si>
  <si>
    <t>394702</t>
  </si>
  <si>
    <t>Luster's Pink Oil Hair Moisturizer</t>
  </si>
  <si>
    <t>Wahl Quick Cut 10-pc Hair Clipper Set</t>
  </si>
  <si>
    <t>CTC Commissary, LLC</t>
  </si>
  <si>
    <t>9314-1501</t>
  </si>
  <si>
    <t>Hair Clippers</t>
  </si>
  <si>
    <t>CareAll Petroleum Jelly, 4oz jar - 12/cs</t>
  </si>
  <si>
    <t>Hygiene - Skin Care</t>
  </si>
  <si>
    <t>400893</t>
  </si>
  <si>
    <t>Freshscent Baby Oil, 4oz clear bottle - 60/cs</t>
  </si>
  <si>
    <t>400913</t>
  </si>
  <si>
    <t>Cocoa Butter Skin Lotion, 20oz bottle - 12/cs</t>
  </si>
  <si>
    <t>393200</t>
  </si>
  <si>
    <t>Personal Care Vitamin E. Lotion, 20oz - 12/cs</t>
  </si>
  <si>
    <t>393235</t>
  </si>
  <si>
    <t>Personal Care Aloe Vera Lotion, 20oz - 12/cs</t>
  </si>
  <si>
    <t>393190</t>
  </si>
  <si>
    <t>Good Sense Sunscreen SPF 30, 4oz - 12/cs</t>
  </si>
  <si>
    <t>392843</t>
  </si>
  <si>
    <t>Sunscreen (SPF 30)</t>
  </si>
  <si>
    <t>Lubriderm Lotion Fresh Scent, 6oz - 6/cs</t>
  </si>
  <si>
    <t>000041</t>
  </si>
  <si>
    <t>Freshscent Baby Powder w/Corn Starch, 4oz container - 48/cs</t>
  </si>
  <si>
    <t>400803</t>
  </si>
  <si>
    <t>ChapIce Lip Balm Original, 0.15oz stick - 32/cs</t>
  </si>
  <si>
    <t>386384</t>
  </si>
  <si>
    <t>Dr. Sheffield's Tolnaftate Cream, 0.5oz tube - 24/cs</t>
  </si>
  <si>
    <t>401031</t>
  </si>
  <si>
    <t>Moisture Absorbing Foot Powder, 6oz container - 12/cs</t>
  </si>
  <si>
    <t>401079</t>
  </si>
  <si>
    <t>Dr. Sheffield's Zit Cream, 1oz tube - 24/cs</t>
  </si>
  <si>
    <t>392320</t>
  </si>
  <si>
    <t>Dr. Sheffield's Hydrocortisone Cream, 0.5oz tube - 24/cs</t>
  </si>
  <si>
    <t>400959</t>
  </si>
  <si>
    <t>Prescription Care Original Skin Cream, 4oz jar - 24/cs</t>
  </si>
  <si>
    <t>392544</t>
  </si>
  <si>
    <t>Dr Sheffield's Triple Antibiotic Ointment, 0.33oz - 24/cs</t>
  </si>
  <si>
    <t>401032</t>
  </si>
  <si>
    <t>Triple Antibiotic Ointment</t>
  </si>
  <si>
    <t>WFPLUS Colorful Contact Lens Case, 30/cs</t>
  </si>
  <si>
    <t>Hygiene - Eye Care</t>
  </si>
  <si>
    <t>385962</t>
  </si>
  <si>
    <t>Renu Multi-Solution Adv. Formula for Contact Lenses, 2oz bottle - 24/cs</t>
  </si>
  <si>
    <t>385966</t>
  </si>
  <si>
    <t>Family Care Sterile Eye Drops, 0.5oz - 24/cs</t>
  </si>
  <si>
    <t>385965</t>
  </si>
  <si>
    <t>Artificial Tears Eye Drops</t>
  </si>
  <si>
    <t>Reading Glasses - Strength 1.00</t>
  </si>
  <si>
    <t>411027</t>
  </si>
  <si>
    <t>Reading Glasses - Strength 1.25</t>
  </si>
  <si>
    <t>411028</t>
  </si>
  <si>
    <t>Reading Glasses - Strength 1.50</t>
  </si>
  <si>
    <t>411029</t>
  </si>
  <si>
    <t>Reading Glasses - Strength 1.75</t>
  </si>
  <si>
    <t>411030</t>
  </si>
  <si>
    <t>Reading Glasses - Strength 2.00</t>
  </si>
  <si>
    <t>411031</t>
  </si>
  <si>
    <t>Reading Glasses - Strength 2.25</t>
  </si>
  <si>
    <t>411032</t>
  </si>
  <si>
    <t>Reading Glasses - Strength 2.50</t>
  </si>
  <si>
    <t>411033</t>
  </si>
  <si>
    <t>Reading Glasses - Strength 2.75</t>
  </si>
  <si>
    <t>411034</t>
  </si>
  <si>
    <t>Reading Glasses - Strength 3.00</t>
  </si>
  <si>
    <t>411035</t>
  </si>
  <si>
    <t>Reading Glasses - Strength 3.25</t>
  </si>
  <si>
    <t>411036</t>
  </si>
  <si>
    <t>Reading Glasses - Strength 3.50</t>
  </si>
  <si>
    <t>411037</t>
  </si>
  <si>
    <t>Acetaminophen, 2pk</t>
  </si>
  <si>
    <t>384200</t>
  </si>
  <si>
    <t>Ibuprofen, 2pk</t>
  </si>
  <si>
    <t>384201</t>
  </si>
  <si>
    <t>Alka Seltzer Original, 2pk - 58/cs</t>
  </si>
  <si>
    <t>384159</t>
  </si>
  <si>
    <t>Sinus Pain &amp; Pressure, 2pk - 250/cs</t>
  </si>
  <si>
    <t>384203</t>
  </si>
  <si>
    <t>Diphen Allergy Relief, 2pks - 100/bx</t>
  </si>
  <si>
    <t>FILL IN LATER</t>
  </si>
  <si>
    <t>Rolaids Regular Mint, 12pk - 12/cs</t>
  </si>
  <si>
    <t>384168</t>
  </si>
  <si>
    <t>Halls Menthol Cough Drops, 9ct roll - 20/cs</t>
  </si>
  <si>
    <t>381640</t>
  </si>
  <si>
    <t>Halls Cherry Cough Drops, 9ct roll - 20/cs</t>
  </si>
  <si>
    <t>381525</t>
  </si>
  <si>
    <t>Daily Multivitamin, 100-ct bottle - 12/cs</t>
  </si>
  <si>
    <t>373791</t>
  </si>
  <si>
    <t>Bottled Water, 16.9oz bottle - 24/cs</t>
  </si>
  <si>
    <t>Beverages</t>
  </si>
  <si>
    <t>Vistar</t>
  </si>
  <si>
    <t>UHN00123</t>
  </si>
  <si>
    <t>Coca Cola, 20oz bottle - 24/cs</t>
  </si>
  <si>
    <t>Coca-Cola</t>
  </si>
  <si>
    <t>6100</t>
  </si>
  <si>
    <t>Diet Coke, 20oz bottle - 24/cs</t>
  </si>
  <si>
    <t>6101</t>
  </si>
  <si>
    <t>Dr. Pepper, 20oz bottle - 24/cs</t>
  </si>
  <si>
    <t>DRP2771</t>
  </si>
  <si>
    <t>Diet Dr. Pepper, 20oz bottle - 24/cs</t>
  </si>
  <si>
    <t>DRP50249</t>
  </si>
  <si>
    <t>A&amp;W Root Beer, 20oz bottle - 24/cs</t>
  </si>
  <si>
    <t>DRP32500</t>
  </si>
  <si>
    <t>Pineapple Soda, 20oz bottle - 24/cs</t>
  </si>
  <si>
    <t>PSH1479</t>
  </si>
  <si>
    <t>Orange Soda, 20oz bottle - 24/cs</t>
  </si>
  <si>
    <t>PSH1477</t>
  </si>
  <si>
    <t>Peach Soda, 20oz bottle - 24/cs</t>
  </si>
  <si>
    <t>PSH00225</t>
  </si>
  <si>
    <t>Arctic Rain Soda, 20oz bottle - 24/cs</t>
  </si>
  <si>
    <t>PSH00226</t>
  </si>
  <si>
    <t>Black Cola Soda, 20oz bottle - 24/cs</t>
  </si>
  <si>
    <t>PSH0228</t>
  </si>
  <si>
    <t>G2 Sport Drink, Cool Blue, 20oz bottle - 24/cs</t>
  </si>
  <si>
    <t>QUA32481</t>
  </si>
  <si>
    <t>G2 Sport Drink, Grape, 20oz bottle - 24/cs</t>
  </si>
  <si>
    <t>QUA20406</t>
  </si>
  <si>
    <t>G2 Sport Drink, Fruit Punch, 20oz bottle - 24/cs</t>
  </si>
  <si>
    <t>QUA20405</t>
  </si>
  <si>
    <t>G2 Sport Drink Frost, Riptide Rush, 20oz bottle - 24/cs</t>
  </si>
  <si>
    <t>QUA32488</t>
  </si>
  <si>
    <t>Wyler's Island Punch - Purple Berry, 10ct box - 12/cs</t>
  </si>
  <si>
    <t>028123</t>
  </si>
  <si>
    <t>Wyler's Purple Berry (10pk)</t>
  </si>
  <si>
    <t>Wyler's Island Punch - Fruity Red Punch, 10ct box - 12/cs</t>
  </si>
  <si>
    <t>028122</t>
  </si>
  <si>
    <t>Wyler's Fruity Red Punch (10pk)</t>
  </si>
  <si>
    <t>Wyler's Island Punch - Green Tropical Dream, 10ct - 12/cs</t>
  </si>
  <si>
    <t>028124</t>
  </si>
  <si>
    <t>Wyler's Island Punch - Blue Ocean Breeze, 10ct - 12/cs</t>
  </si>
  <si>
    <t>028125</t>
  </si>
  <si>
    <t>Wyler's Island Punch - Radical Lemon Berry, 10ct - 12/cs</t>
  </si>
  <si>
    <t>028126</t>
  </si>
  <si>
    <t>Kool-Aid On the Go, Tropical Punch, 0.37oz - 72/cs</t>
  </si>
  <si>
    <t>28000</t>
  </si>
  <si>
    <t>Kool-Aid On the Go, Sour Shockin' Blue Raspberry, 0.37oz - 72/cs</t>
  </si>
  <si>
    <t>28001</t>
  </si>
  <si>
    <t>Kool-Aid Singles, Sour Blue Raspberry</t>
  </si>
  <si>
    <t>Kool-Aid On the Go, Sour Snappin' Green Apple, 0.37oz - 72/cs</t>
  </si>
  <si>
    <t>28002</t>
  </si>
  <si>
    <t>Crush Strawberry, 6ct - 12/cs</t>
  </si>
  <si>
    <t>028101</t>
  </si>
  <si>
    <t>Orchard Park Tea w/Lemon Drink Mix, 24oz - 12/cs</t>
  </si>
  <si>
    <t>029763</t>
  </si>
  <si>
    <t>Folgers Classic Roast Instant Coffee, 8oz jar - 6/cs</t>
  </si>
  <si>
    <t>220319</t>
  </si>
  <si>
    <t>Folgers Jar - Instant Coffee (8oz)</t>
  </si>
  <si>
    <t>Folgers Instant Traditional Roast Pouch, 4oz - 24/cs</t>
  </si>
  <si>
    <t>220340</t>
  </si>
  <si>
    <t>Folgers Pouch - Instant Coffee (4oz)</t>
  </si>
  <si>
    <t>Cafe Bustelo Instant Coffee, 3.5oz pouch - 24/cs</t>
  </si>
  <si>
    <t>220433</t>
  </si>
  <si>
    <t>Cafe Bustelo Instant Coffee (3.5oz)</t>
  </si>
  <si>
    <t>Cafe Genial Instant Coffee w/Cinnamon, 3oz - 40/cs</t>
  </si>
  <si>
    <t>Seasonal</t>
  </si>
  <si>
    <t>220435</t>
  </si>
  <si>
    <t>Café Genial Instant Coffee w/Cinnamon</t>
  </si>
  <si>
    <t>Boston's Best Spray Dried Coffee, 4oz pouch - 64/cs</t>
  </si>
  <si>
    <t>220499</t>
  </si>
  <si>
    <t>Flavor Fix Freeze Dried Coffee, 3oz - 24/cs</t>
  </si>
  <si>
    <t>222460</t>
  </si>
  <si>
    <t>Swiss Miss Hot Cocoa Mix, 1.38oz pack - 50/cs</t>
  </si>
  <si>
    <t>231327</t>
  </si>
  <si>
    <t>Cafe Style Mocha Cappuccino, 0.81oz - 300/cs</t>
  </si>
  <si>
    <t>217110</t>
  </si>
  <si>
    <t>Victorian Inn Cappuccino French Vanilla 6/10ct</t>
  </si>
  <si>
    <t>217130</t>
  </si>
  <si>
    <t>Victorian Inn Cappuccino Salted Caramel 6/10/35g</t>
  </si>
  <si>
    <t>217131</t>
  </si>
  <si>
    <t>Instant Milk, Dry Mix, 1qt bag - 12/3/cs</t>
  </si>
  <si>
    <t>216309</t>
  </si>
  <si>
    <t>Folgers Classic Roast Coffee Singles, 7ct box - 12/7/cs</t>
  </si>
  <si>
    <t>220335</t>
  </si>
  <si>
    <t>Single Stick Folgers Classic Roast Coffee</t>
  </si>
  <si>
    <t>220335-1</t>
  </si>
  <si>
    <t>N-Joy Pure Sugar, 22oz canister - 8/cs</t>
  </si>
  <si>
    <t>Sugar</t>
  </si>
  <si>
    <t>252090</t>
  </si>
  <si>
    <t>Sugar, 0.1oz packets - 2000/cs</t>
  </si>
  <si>
    <t>BULK20</t>
  </si>
  <si>
    <t>Sugar Twin Sweetener, 100pk - 12/100/cs</t>
  </si>
  <si>
    <t>Sugar Substitute</t>
  </si>
  <si>
    <t>252080</t>
  </si>
  <si>
    <t>Sugar Substitute, 10pk</t>
  </si>
  <si>
    <t>252080-1</t>
  </si>
  <si>
    <t>Sugar Twin Sweetener Packets (10ct)</t>
  </si>
  <si>
    <t>Creamer, 2.5gm packets - 1000/cs</t>
  </si>
  <si>
    <t>Creamer</t>
  </si>
  <si>
    <t>BULK22</t>
  </si>
  <si>
    <t>N-Joy Coffee Creamer, 16oz - 8/cs</t>
  </si>
  <si>
    <t>216945</t>
  </si>
  <si>
    <t>Ketchup, 9gm packets - 1000/cs</t>
  </si>
  <si>
    <t>Condiments/Seasonings</t>
  </si>
  <si>
    <t>334201</t>
  </si>
  <si>
    <t>BBQ Sauce, 9gm packets - 200/cs</t>
  </si>
  <si>
    <t>BULK28</t>
  </si>
  <si>
    <t>Mayonnaise, 9gm packets - 500/cs</t>
  </si>
  <si>
    <t>BULK26</t>
  </si>
  <si>
    <t>Mustard, 7gm packets - 500/cs</t>
  </si>
  <si>
    <t>334215</t>
  </si>
  <si>
    <t>Taco Sauce, 9gm packets - 200/cs</t>
  </si>
  <si>
    <t>BFSVENL283</t>
  </si>
  <si>
    <t>O.F. Foods Louisiana Hot Sauce, 0.5oz packets - 300/cs</t>
  </si>
  <si>
    <t>334168</t>
  </si>
  <si>
    <t>Squeeze Hot Sauce Packet</t>
  </si>
  <si>
    <t>O.F. Foods Cheese Jalapeno, 1oz packets - 200/cs</t>
  </si>
  <si>
    <t>334156</t>
  </si>
  <si>
    <t>Tito's Sliced Jalapenos, 0.7oz packets - 300/cs</t>
  </si>
  <si>
    <t>314199</t>
  </si>
  <si>
    <t>O.F. Foods Grape Jelly, 1oz packets - 200/cs</t>
  </si>
  <si>
    <t>334120</t>
  </si>
  <si>
    <t>O.F. Foods Strawberry Jelly, 1oz packets - 200/cs</t>
  </si>
  <si>
    <t>334100</t>
  </si>
  <si>
    <t>O.F. Foods Hot Salsa, 15.5oz - 12/cs</t>
  </si>
  <si>
    <t>321156</t>
  </si>
  <si>
    <t>Hot Salsa Squeeze (15.5oz)</t>
  </si>
  <si>
    <t>O.F. Foods Jalapeno Squeeze Cheese, 16oz - 12/cs</t>
  </si>
  <si>
    <t>206409</t>
  </si>
  <si>
    <t>Jalapeno Squeeze Cheese (16oz)</t>
  </si>
  <si>
    <t>Blackburn's Grape Jelly, 19oz - 12/cs</t>
  </si>
  <si>
    <t>300280</t>
  </si>
  <si>
    <t>Grape Jelly Squeeze (19oz)</t>
  </si>
  <si>
    <t>Blackburn's Strawberry Jelly, 19oz - 12/cs</t>
  </si>
  <si>
    <t>300279</t>
  </si>
  <si>
    <t>Strawberry Jelly Squeeze (19oz)</t>
  </si>
  <si>
    <t>Tostitos Salsa, 3.8oz cup - 30/cs</t>
  </si>
  <si>
    <t>FRI47906</t>
  </si>
  <si>
    <t>Rico's Nacho Cheese, 3.5oz cup - 48/cs</t>
  </si>
  <si>
    <t>RIC21148</t>
  </si>
  <si>
    <t>Ranch Dressing, 2oz cup - 60/cs</t>
  </si>
  <si>
    <t>HEI544300</t>
  </si>
  <si>
    <t>Tito's Jalapeno Peppers - Sliced, 12oz - 12/cs</t>
  </si>
  <si>
    <t>314195</t>
  </si>
  <si>
    <t>12oz Tub - Jalapeno Peppers</t>
  </si>
  <si>
    <t>Algood Creamy Peanut Butter, 18oz Jar - 12/cs</t>
  </si>
  <si>
    <t>Grocery</t>
  </si>
  <si>
    <t>306955</t>
  </si>
  <si>
    <t>Peanut Butter Jar (18oz)</t>
  </si>
  <si>
    <t>Jif To Go Creamy Peanut Butter Cups, 1.5oz cups - 6/8/cs</t>
  </si>
  <si>
    <t>333998</t>
  </si>
  <si>
    <t>Algood Peanut Butter - Crunchy, 18oz - 12/cs</t>
  </si>
  <si>
    <t>306956</t>
  </si>
  <si>
    <t>Crunchy Peanut Butter (18oz)</t>
  </si>
  <si>
    <t>Tony Chachere's Creole Seasoning, 0.5oz packets - 1000/cs</t>
  </si>
  <si>
    <t>260205</t>
  </si>
  <si>
    <t>Salt Packets, 0.6gr - 3000/cs</t>
  </si>
  <si>
    <t>BULK23</t>
  </si>
  <si>
    <t>Pepper Packets, 0.1gr - 3000/cs</t>
  </si>
  <si>
    <t>BULK24</t>
  </si>
  <si>
    <t>Better Valu Garlic Powder, 1.75oz shaker - 12/cs</t>
  </si>
  <si>
    <t>260277</t>
  </si>
  <si>
    <t>Better Valu Minced Onion, 1.75oz shaker - 12/cs</t>
  </si>
  <si>
    <t>284050</t>
  </si>
  <si>
    <t>Better Valu Seasoned Salt, 5.25oz shaker - 12/cs</t>
  </si>
  <si>
    <t>284117</t>
  </si>
  <si>
    <t>Louisiana Supreme Hot Sauce, 5oz - 24/cs</t>
  </si>
  <si>
    <t>320240</t>
  </si>
  <si>
    <t>Aunt Dot's Hot Chili w/Beans, 7.5oz pouch - 24/cs</t>
  </si>
  <si>
    <t>94387</t>
  </si>
  <si>
    <t>Aunt Dot's Chili, No Beans, 7.5oz pouch - 24/cs</t>
  </si>
  <si>
    <t>94384</t>
  </si>
  <si>
    <t>Aunt Dot's Beef Stew, 7.5oz pouch - 24/cs</t>
  </si>
  <si>
    <t>94395</t>
  </si>
  <si>
    <t>Geisha Light Tuna in Water, 6oz pouch - 24/cs</t>
  </si>
  <si>
    <t>92520</t>
  </si>
  <si>
    <t>Geisha Sardines in Oil, 3.53oz pouch - 24/cs</t>
  </si>
  <si>
    <t>92429</t>
  </si>
  <si>
    <t>Geisha Sardines in Hot Sauce, 3.53oz pouch - 24/cs</t>
  </si>
  <si>
    <t>92361</t>
  </si>
  <si>
    <t>Geisha Whole Mackerel in Water, 12oz pouch - 24/cs</t>
  </si>
  <si>
    <t>92254</t>
  </si>
  <si>
    <t>Dona Adela Chilorio Shredded Pork, 70/4.4oz</t>
  </si>
  <si>
    <t>92578</t>
  </si>
  <si>
    <t>Geisha Mackeral in Sriracha Hot Sauce 24/3.53oz</t>
  </si>
  <si>
    <t>92529</t>
  </si>
  <si>
    <t>Geisha Smoked Oysters in Oil-Pouch, 3.53oz - 24/cs</t>
  </si>
  <si>
    <t>092510</t>
  </si>
  <si>
    <t>Williams Fully Cooked Bacon - 12/2.2oz</t>
  </si>
  <si>
    <t>206999</t>
  </si>
  <si>
    <t>Reinhart Foodservice</t>
  </si>
  <si>
    <t>CookQuik Instant Refried Beans w/Jalapenos, 8oz - 60/cs</t>
  </si>
  <si>
    <t>290449</t>
  </si>
  <si>
    <t>CookQuik Instant Spanish Rice w/Cheese &amp; Jalapenos, 2.2oz - 48/cs</t>
  </si>
  <si>
    <t>290470</t>
  </si>
  <si>
    <t>CookQuik Instant White Rice, 7oz - 48/cs</t>
  </si>
  <si>
    <t>290437</t>
  </si>
  <si>
    <t>Idahoan Instant Potatoes Loaded Baked 12/4oz</t>
  </si>
  <si>
    <t>172791</t>
  </si>
  <si>
    <t>Instant Mashed Potatoes, Loaded</t>
  </si>
  <si>
    <t>Idahoan Instant Potatoes Monterey Pepper Jack, 4oz - 12/cs</t>
  </si>
  <si>
    <t>172842</t>
  </si>
  <si>
    <t>Instant Mashed Potatoes, Pepper Jack</t>
  </si>
  <si>
    <t>CookQuik Instant Red Beans &amp; Rice w/chili Flavor, 4.4oz - 48/cs</t>
  </si>
  <si>
    <t>290444</t>
  </si>
  <si>
    <t>Instant Red Beans &amp; Rice w/chili</t>
  </si>
  <si>
    <t>Nuevo Leon 8" Flour Tortillas, 16oz 12pk - 30/cs</t>
  </si>
  <si>
    <t>366622</t>
  </si>
  <si>
    <t>Baker's Harvest Saltine Crackers, 16oz box - 12/cs</t>
  </si>
  <si>
    <t>195016</t>
  </si>
  <si>
    <t>Baker's Harvest Snack Crackers, 10.3oz box - 12/cs</t>
  </si>
  <si>
    <t>195206</t>
  </si>
  <si>
    <t>Village Farm Instant Grits, Butter Flavor 12pk - 12/cs</t>
  </si>
  <si>
    <t>Breakfast</t>
  </si>
  <si>
    <t>182020</t>
  </si>
  <si>
    <t>Village Farm Oatmeal, Variety Flavor 10pk - 12/cs</t>
  </si>
  <si>
    <t>182025</t>
  </si>
  <si>
    <t>M.O.M. Frosted Flakes Cereal, 1oz bowl - 96/cs</t>
  </si>
  <si>
    <t>180100</t>
  </si>
  <si>
    <t>M.O.M. Cinnamon Toaster Cereal, 1oz bowl - 96/cs</t>
  </si>
  <si>
    <t>180101</t>
  </si>
  <si>
    <t>Toast'em Frosted Strawberry Popups 3pk, 11oz - 12/3/cs</t>
  </si>
  <si>
    <t>185298</t>
  </si>
  <si>
    <t>Toast'em Frosted Wild Berry Popups 3pk, 11oz - 12/3/cs</t>
  </si>
  <si>
    <t>185299</t>
  </si>
  <si>
    <t>Toast'em Frosted Cookies &amp; Cream Popups 3pk, 11oz - 12/3/cs</t>
  </si>
  <si>
    <t>185235</t>
  </si>
  <si>
    <t>Toast'em Frosted S'Mores Popups 3pk, 11oz - 12/3/cs</t>
  </si>
  <si>
    <t>185297</t>
  </si>
  <si>
    <t>Toast'em Frosted Cinnamon &amp; Brown Sugar Popups 3pk, 11oz - 12/3/cs</t>
  </si>
  <si>
    <t>185215</t>
  </si>
  <si>
    <t>Toast'em Frosted Chocolate Fudge Poptarts, 12/3/cs</t>
  </si>
  <si>
    <t>185230</t>
  </si>
  <si>
    <t>Toast' em Frosted Cherry Poptarts, 11oz - 12/3/cs</t>
  </si>
  <si>
    <t>185173</t>
  </si>
  <si>
    <t>Frosted Cherry Pop-Ups (3pk)</t>
  </si>
  <si>
    <t>Single Pack Toast'em Frosted Strawberry Popups</t>
  </si>
  <si>
    <t>185298-1</t>
  </si>
  <si>
    <t>Single Pack Toast'em Frosted Wild Berry Popups</t>
  </si>
  <si>
    <t>185299-1</t>
  </si>
  <si>
    <t>Single Pack Toast'em Frosted Cookies &amp; Cream Popups</t>
  </si>
  <si>
    <t>185235-1</t>
  </si>
  <si>
    <t>Single Pack Toast'em Frosted S'Mores Popups</t>
  </si>
  <si>
    <t>185297-1</t>
  </si>
  <si>
    <t>Single Pack Toast'em Frosted Cinnamon &amp; Brown Sugar Popups</t>
  </si>
  <si>
    <t>185215-1</t>
  </si>
  <si>
    <t>185230-1</t>
  </si>
  <si>
    <t>Single Pack Frosted Cherry Pop-Up</t>
  </si>
  <si>
    <t>185173-1</t>
  </si>
  <si>
    <t>Duplex Crème Sandwich Cookies, 5oz - 24/cs</t>
  </si>
  <si>
    <t>Snacks - Cookies/Crackers</t>
  </si>
  <si>
    <t>199904</t>
  </si>
  <si>
    <t>Vanilla Crème Sandwich Cookies, 5oz - 24/cs</t>
  </si>
  <si>
    <t>199902</t>
  </si>
  <si>
    <t>Strawberry Crème Sandwich Cookies, 5oz - 24/cs</t>
  </si>
  <si>
    <t>199903</t>
  </si>
  <si>
    <t>Peanut Butter Crème Sandwhich Cookies, 5oz - 24/cs</t>
  </si>
  <si>
    <t>199900</t>
  </si>
  <si>
    <t>Uncle Al's Banana Crème Cookies, 5oz - 12/cs</t>
  </si>
  <si>
    <t>199907</t>
  </si>
  <si>
    <t>Uncle Al's Lemon Creme Cookies, 5oz - 12/cs</t>
  </si>
  <si>
    <t>199906</t>
  </si>
  <si>
    <t>Uncle Al's Chocolate Chip Cookies, 5oz - 12/cs</t>
  </si>
  <si>
    <t>199909</t>
  </si>
  <si>
    <t>Uncle Al's Iced Oatmeal Cookies, 5oz - 12/cs</t>
  </si>
  <si>
    <t>199912</t>
  </si>
  <si>
    <t>Cookie Chips Ahoy Mini, 3oz - 36/cs</t>
  </si>
  <si>
    <t>GEN00043</t>
  </si>
  <si>
    <t>Chips Ahoy Choc Chip Cookies</t>
  </si>
  <si>
    <t>Vanilla Wafers, 10oz - 12/cs</t>
  </si>
  <si>
    <t>196592</t>
  </si>
  <si>
    <t>Nature Valley Peanut Butter Protein Bar, 1.42oz - 30/cs</t>
  </si>
  <si>
    <t>Snacks - Bars/Nuts</t>
  </si>
  <si>
    <t>28056</t>
  </si>
  <si>
    <t>Granola Bar, Oat &amp; Honey, 1.5oz - 6/28/cs</t>
  </si>
  <si>
    <t>GEM2382</t>
  </si>
  <si>
    <t>Buddy Bars, 3oz - 12/8/cs</t>
  </si>
  <si>
    <t>FLO48051250FOA</t>
  </si>
  <si>
    <t>Rice Krispies Treats Original, 2.13oz - 4/12/cs</t>
  </si>
  <si>
    <t>KEE52402</t>
  </si>
  <si>
    <t>Icy White Honey Bun, 6oz - 8/6/cs</t>
  </si>
  <si>
    <t>Pastries</t>
  </si>
  <si>
    <t>FLO00765FOA</t>
  </si>
  <si>
    <t>Jumbo Glazed Honey Bun, 5oz - 8/6/cs</t>
  </si>
  <si>
    <t>FLO00723FOA</t>
  </si>
  <si>
    <t>Big Texas Cinnamon Roll, 4oz - 36/cs</t>
  </si>
  <si>
    <t>HOS80035</t>
  </si>
  <si>
    <t>Honey Bun Creamy Curl 6/9/4oz</t>
  </si>
  <si>
    <t>FLO5114775FOA</t>
  </si>
  <si>
    <t>Honey Bun Jelly Swirl 6/9/4oz</t>
  </si>
  <si>
    <t>FLO5114776FOA</t>
  </si>
  <si>
    <t>Cake Pecan Twirls 48/3oz</t>
  </si>
  <si>
    <t>FLO91092</t>
  </si>
  <si>
    <t>Chocolate Cupcakes, 4oz - 6/6/cs</t>
  </si>
  <si>
    <t>FLO5115513</t>
  </si>
  <si>
    <t>Mrs. Freshley's Swiss Rolls, 12ct - 24/c</t>
  </si>
  <si>
    <t>FLO48016840</t>
  </si>
  <si>
    <t>Powdered Mini Donuts, 3oz - 6/12/cs</t>
  </si>
  <si>
    <t>FLO48030632FOA</t>
  </si>
  <si>
    <t>Donut Stick 3ct 48/cs</t>
  </si>
  <si>
    <t>FLO48033450</t>
  </si>
  <si>
    <t>Mrs. Freshley's Crunch Mini Donuts, 3.4oz - 6/12/cs</t>
  </si>
  <si>
    <t>802107</t>
  </si>
  <si>
    <t>Mini Crunchy Donut</t>
  </si>
  <si>
    <t>Brownie Oreo, 3oz - 6/8/cs</t>
  </si>
  <si>
    <t>FLO51075</t>
  </si>
  <si>
    <t>Banana Moon Pie, Dbl Decker, 2.75oz - 9/9/cs</t>
  </si>
  <si>
    <t>NK152</t>
  </si>
  <si>
    <t>Vanilla Moon Pie, Dbl Decker, 2.75oz - 6/9/cs</t>
  </si>
  <si>
    <t>P5290</t>
  </si>
  <si>
    <t>Chocolate Moon Pie, Dbl Decker, 2.75oz - 6/9/cs</t>
  </si>
  <si>
    <t>NK154</t>
  </si>
  <si>
    <t>Moon Pies-Salted Caramel, 2.75oz - 54/cs</t>
  </si>
  <si>
    <t>203173</t>
  </si>
  <si>
    <t>Look Out Pecan Pies 81/3oz</t>
  </si>
  <si>
    <t>MC0001</t>
  </si>
  <si>
    <t>Oatmeal Creme Pie - Double Decker, 3.9oz - 54/cs</t>
  </si>
  <si>
    <t>NK236</t>
  </si>
  <si>
    <t>Double Decker Oatmeal Creme Pie</t>
  </si>
  <si>
    <t>Snickers, 1.86oz - 8/48/cs</t>
  </si>
  <si>
    <t>Snacks - Candy</t>
  </si>
  <si>
    <t>MMM42431</t>
  </si>
  <si>
    <t>Reese's Peanut Butter Cups, 1.5oz - 12/36/cs</t>
  </si>
  <si>
    <t>HEC44000</t>
  </si>
  <si>
    <t>Hershey Chocolate Bar, 1.55oz - 12/36/cs</t>
  </si>
  <si>
    <t>HEC24000</t>
  </si>
  <si>
    <t>3 Musketeers, 1.92oz - 10/36/cs</t>
  </si>
  <si>
    <t>MMM42208</t>
  </si>
  <si>
    <t>Butterfinger, 1.9oz - 8/36/cs</t>
  </si>
  <si>
    <t>NES53105</t>
  </si>
  <si>
    <t>Twix, 1.79oz - 10/36/cs</t>
  </si>
  <si>
    <t>MMM35391</t>
  </si>
  <si>
    <t>Snickers w/Almond, 1.76oz - 12/24/cs</t>
  </si>
  <si>
    <t>MMM1105</t>
  </si>
  <si>
    <t>Kit Kat Bar, 1.5oz - 12/36/cs</t>
  </si>
  <si>
    <t>HEC24600</t>
  </si>
  <si>
    <t>Kit Kat Bar</t>
  </si>
  <si>
    <t>Baby Ruth, 2.1oz - 12/24/cs</t>
  </si>
  <si>
    <t>FEU86780</t>
  </si>
  <si>
    <t>M&amp;M's Peanut, 1.74oz - 8/48/cs</t>
  </si>
  <si>
    <t>MMM01232</t>
  </si>
  <si>
    <t>M&amp;M's Plain, 1.69oz - 9/36/cs</t>
  </si>
  <si>
    <t>MMM49990</t>
  </si>
  <si>
    <t>Milky Way Singles, 1.84oz - 10/36/cs</t>
  </si>
  <si>
    <t>MMM42206</t>
  </si>
  <si>
    <t>Hershey Almond, 1.45oz - 12/36/cs</t>
  </si>
  <si>
    <t>HEC24100</t>
  </si>
  <si>
    <t>Hershey w/Almonds</t>
  </si>
  <si>
    <t>Gummy Bears, 4.5oz - 12/cs</t>
  </si>
  <si>
    <t>FER03848</t>
  </si>
  <si>
    <t>Gummi Sour Worms Original, 4.5oz - 48/cs</t>
  </si>
  <si>
    <t>PIM02733</t>
  </si>
  <si>
    <t>Sour Brite Crawlers,Very Berry, 5oz - 12/cs</t>
  </si>
  <si>
    <t>FER03852</t>
  </si>
  <si>
    <t>Sour Brite Crawlers, 5oz - 12/cs</t>
  </si>
  <si>
    <t>FER03851</t>
  </si>
  <si>
    <t>Sour Patch Kids, 5oz - 24/cs</t>
  </si>
  <si>
    <t>JAR1506227</t>
  </si>
  <si>
    <t>Sour Patch Watermelon, 5oz - 12/cs</t>
  </si>
  <si>
    <t>JAR1506224</t>
  </si>
  <si>
    <t>Skittles Original, 2.17oz - 10/36/cs</t>
  </si>
  <si>
    <t>MMM01160</t>
  </si>
  <si>
    <t>Starburst Fruit Chews Original, 2.07oz - 10/36/cs</t>
  </si>
  <si>
    <t>MMM01151</t>
  </si>
  <si>
    <t>AirHeads, Mixed Flavors - 12/60/cs</t>
  </si>
  <si>
    <t>FD610</t>
  </si>
  <si>
    <t>Pop's Snack Shack Lemonheads, 4oz - 48/cs</t>
  </si>
  <si>
    <t>57273</t>
  </si>
  <si>
    <t>Atkinson Rainbow Sticks, Wild Cherry - 200/cs</t>
  </si>
  <si>
    <t>33607</t>
  </si>
  <si>
    <t>Pop's Snack Shack Jolly Ranchers, Assorted, 4oz - 48/cs</t>
  </si>
  <si>
    <t>57365</t>
  </si>
  <si>
    <t>Pop's Snack Shack Now &amp; Laters, 3.5oz - 48/cs</t>
  </si>
  <si>
    <t>57653</t>
  </si>
  <si>
    <t>Pop's Snack Shack Atomic Fireballs, 4oz - 48/cs</t>
  </si>
  <si>
    <t>57174</t>
  </si>
  <si>
    <t>Pop's Snack Shack Peppermints, 4.5oz - 48/cs</t>
  </si>
  <si>
    <t>57299</t>
  </si>
  <si>
    <t>Pop's Snack Shack Butterscotch Discs, 4.5oz - 48/cs</t>
  </si>
  <si>
    <t>57281</t>
  </si>
  <si>
    <t>Tootsie Pops, Assorted Flavors, 0.6oz - 100/cs</t>
  </si>
  <si>
    <t>SAMS2423</t>
  </si>
  <si>
    <t>Atkinson Chick-O-Sticks, 0.7oz - 200/cs</t>
  </si>
  <si>
    <t>49750</t>
  </si>
  <si>
    <t>Tito's Hearty Beef Summer Sausage, 5oz - 40/cs</t>
  </si>
  <si>
    <t>Snacks - Meats/Other</t>
  </si>
  <si>
    <t>206991</t>
  </si>
  <si>
    <t>Tito's Hot &amp; Spicy Beef Summer Sausage, 5oz - 40/cs</t>
  </si>
  <si>
    <t>206990</t>
  </si>
  <si>
    <t>O'Briens Beef Sticks, 1.125oz twin pack - 100/cs</t>
  </si>
  <si>
    <t>206938</t>
  </si>
  <si>
    <t>Double Barrel Beef Sticks (Hot Shots), 1.125oz twin pack - 100/cs</t>
  </si>
  <si>
    <t>HUI53041</t>
  </si>
  <si>
    <t>Van Holtens Hot Dill Pickle (#4) - 12/cs</t>
  </si>
  <si>
    <t>JGV412H</t>
  </si>
  <si>
    <t>Van Holtens Mild Dill Pickle (#4) - 12/cs</t>
  </si>
  <si>
    <t>JGV412M</t>
  </si>
  <si>
    <t>Butter Lovers Microwave Popcorn, 2.75oz - 36/cs</t>
  </si>
  <si>
    <t>211292</t>
  </si>
  <si>
    <t>Salted Peanuts, 1oz - 100/cs</t>
  </si>
  <si>
    <t>KAR978</t>
  </si>
  <si>
    <t>Sunflower Kernels, 2oz - 72/cs</t>
  </si>
  <si>
    <t>KAR08989</t>
  </si>
  <si>
    <t>Zachary Double Dipped Peanuts 12/5oz</t>
  </si>
  <si>
    <t>60912</t>
  </si>
  <si>
    <t>All Energy Trail Mix, 2oz - 48/cs</t>
  </si>
  <si>
    <t>KAR08952</t>
  </si>
  <si>
    <t>Sweet N' Spicy Snack Mix, 1.75oz - 72/cs</t>
  </si>
  <si>
    <t>KAR984</t>
  </si>
  <si>
    <t>Nekot Peanut Butter Sandwich Crackers, 1.75oz - 6/20/cs</t>
  </si>
  <si>
    <t>SNY90131</t>
  </si>
  <si>
    <t>Lance Toasty Peanut Butter Sandwich Crackers, 1.29oz - 6/20/cs</t>
  </si>
  <si>
    <t>SNY90128</t>
  </si>
  <si>
    <t>Lance Grilled Cheese Sandwich Crackers, 1.375oz - 6/20/cs</t>
  </si>
  <si>
    <t>200595</t>
  </si>
  <si>
    <t>Lance Spicy Cheddar Sandwich Crackers, 1.41oz - 6/20/cs</t>
  </si>
  <si>
    <t>200599</t>
  </si>
  <si>
    <t>Lance Cream Cheese/Chive Sandwich Crackers, 1.375oz - 6/20/cs</t>
  </si>
  <si>
    <t>200594</t>
  </si>
  <si>
    <t>Cheez-It Hot &amp; Spicy Crackers, 3oz - 6/6/cs</t>
  </si>
  <si>
    <t>KEE37278</t>
  </si>
  <si>
    <t>BBQ Pork Rinds, 0.875oz - 60/cs</t>
  </si>
  <si>
    <t>Snacks - Chips</t>
  </si>
  <si>
    <t>SON00713</t>
  </si>
  <si>
    <t>Hot Pork Rinds, 0.875oz - 60/cs</t>
  </si>
  <si>
    <t>SON00712</t>
  </si>
  <si>
    <t>Jalapeno Pretzel Pieces, 2.25oz - 60/cs</t>
  </si>
  <si>
    <t>802123</t>
  </si>
  <si>
    <t>Snyder Buffalo Hotwings Pretzel Pieces, 2.25oz</t>
  </si>
  <si>
    <t>802124</t>
  </si>
  <si>
    <t>Buffalo Pretzel Pieces</t>
  </si>
  <si>
    <t>Herr's Jalapeno Poppers, 1oz - 42/cs</t>
  </si>
  <si>
    <t>NK238</t>
  </si>
  <si>
    <t>Herr's Deep Dish Pizza Curls, 1oz - 42/cs</t>
  </si>
  <si>
    <t>HRR08101</t>
  </si>
  <si>
    <t>Crunchy Cheetos, 3.25oz - 28/cs</t>
  </si>
  <si>
    <t>FRI36131</t>
  </si>
  <si>
    <t>Crunchy Hot Cheetos, 3.25oz - 28/cs</t>
  </si>
  <si>
    <t>FRI36134</t>
  </si>
  <si>
    <t>Takis Fuego Chips, 2oz - 42/cs</t>
  </si>
  <si>
    <t>BAR00276</t>
  </si>
  <si>
    <t>Golden Gourmet BBQ Corn Chips, 10oz - 12/cs</t>
  </si>
  <si>
    <t>200644</t>
  </si>
  <si>
    <t>Golden Gourmet Hot &amp; Spicy Corn Chips, 10oz - 12/cs</t>
  </si>
  <si>
    <t>200645</t>
  </si>
  <si>
    <t>Doritos Nacho Cheese, 2.875oz - 24/cs</t>
  </si>
  <si>
    <t>FRI36294</t>
  </si>
  <si>
    <t>Doritos Cool Ranch, 2.875oz - 24/cs</t>
  </si>
  <si>
    <t>FRI36289</t>
  </si>
  <si>
    <t>Tostitos Crispy Rounds, 3oz - 28/cs</t>
  </si>
  <si>
    <t>FRI20871</t>
  </si>
  <si>
    <t>Fritos Chili Cheese, 2oz - 64/cs</t>
  </si>
  <si>
    <t>FRI44354</t>
  </si>
  <si>
    <t>Golden Gourmet Regular Corn Chips, 11oz</t>
  </si>
  <si>
    <t>200643</t>
  </si>
  <si>
    <t>Ruffles Regular Chips, 1.5oz - 64/cs</t>
  </si>
  <si>
    <t>FRI44363</t>
  </si>
  <si>
    <t>Herr's Baby Back Rib Chips, 1.5oz - 30/cs</t>
  </si>
  <si>
    <t>HRR057</t>
  </si>
  <si>
    <t>Herr's Creamy Ranch &amp; Habanero Chips, 1.5oz - 30/cs</t>
  </si>
  <si>
    <t>HRR06133</t>
  </si>
  <si>
    <t>Ruffles Cheddar &amp; Sour Cream, 1.5oz - 64/cs</t>
  </si>
  <si>
    <t>FRI44365</t>
  </si>
  <si>
    <t>Ramen Noodles, Beef, 3oz - 24/cs</t>
  </si>
  <si>
    <t>Noodles</t>
  </si>
  <si>
    <t>143891</t>
  </si>
  <si>
    <t>Ramen Noodles, Picante Beef, 3oz - 24/cs</t>
  </si>
  <si>
    <t>144706</t>
  </si>
  <si>
    <t>Ramen Noodles, Roasted Beef, 3oz - 24/cs</t>
  </si>
  <si>
    <t>143909</t>
  </si>
  <si>
    <t>Maruchan Chicken Noodles, 3oz - 24/cs</t>
  </si>
  <si>
    <t>144022</t>
  </si>
  <si>
    <t>Ramen Noodles, Roasted Chicken, 3oz - 24/cs</t>
  </si>
  <si>
    <t>144030</t>
  </si>
  <si>
    <t>Ramen Noodles, Picante Chicken, 3oz - 24/cs</t>
  </si>
  <si>
    <t>144394</t>
  </si>
  <si>
    <t>Nissin Cajun Chicken Noodles, 3oz - 24/cs</t>
  </si>
  <si>
    <t>144708</t>
  </si>
  <si>
    <t>Maruchan Low Sodium Chicken Noodles 24/3oz</t>
  </si>
  <si>
    <t>144421</t>
  </si>
  <si>
    <t>Low Sodium Chicken Ramen Noodles</t>
  </si>
  <si>
    <t>Ramen Noodles, Shrimp, 3oz - 24/cs</t>
  </si>
  <si>
    <t>144410</t>
  </si>
  <si>
    <t>Maruchan Chili Lime Shrimp Noodles - 24/3oz</t>
  </si>
  <si>
    <t>144414</t>
  </si>
  <si>
    <t>Ramen Noodles, Chili, 3oz - 24/cs</t>
  </si>
  <si>
    <t>143933</t>
  </si>
  <si>
    <t>Maruchan Pork Noodles, 24/3oz</t>
  </si>
  <si>
    <t>144150</t>
  </si>
  <si>
    <t>Pop's Snack Shack Sugar Free Assorted Fruit Hard Candy</t>
  </si>
  <si>
    <t>Diabetic</t>
  </si>
  <si>
    <t>057626</t>
  </si>
  <si>
    <t>Sugar Free Assorted Candy</t>
  </si>
  <si>
    <t>* Stamped #10 Envelope</t>
  </si>
  <si>
    <t>* Stamped Postcard</t>
  </si>
  <si>
    <t>* Stamp Booklet (10ct)</t>
  </si>
  <si>
    <t>* Westbend Clear Hot Pot - 5 Cup</t>
  </si>
  <si>
    <t>Clear Headphones w/Cord</t>
  </si>
  <si>
    <t>Side Combination Lock Metal (#22015) - 72ct</t>
  </si>
  <si>
    <t>542125</t>
  </si>
  <si>
    <t>Combination Padlock</t>
  </si>
  <si>
    <t>Cake Golden Crème Fill, 2.55oz - 6/6cs</t>
  </si>
  <si>
    <t>HOS30226</t>
  </si>
  <si>
    <t>Golden Crème Cake, 2ct</t>
  </si>
  <si>
    <t>Mrs. Freshley's Snowball Pink, 4.25oz - 6/8/cs</t>
  </si>
  <si>
    <t>FLO48052850FOA</t>
  </si>
  <si>
    <t>Pink Snowballs</t>
  </si>
  <si>
    <t>Hemorrhoid Ointment</t>
  </si>
  <si>
    <t>10815</t>
  </si>
  <si>
    <t>Women's Briefs - Size 11</t>
  </si>
  <si>
    <t>900411</t>
  </si>
  <si>
    <t>White Panties (Sz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</si>
</sst>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Arial Narrow"/>
      <family val="2"/>
    </font>
    <font>
      <sz val="8"/>
      <name val="Arial Narrow"/>
      <family val="2"/>
    </font>
    <font>
      <sz val="8"/>
      <color rgb="FF7030A0"/>
      <name val="Arial Narrow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7030A0"/>
      <name val="Times New Roman"/>
      <family val="1"/>
    </font>
    <font>
      <b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8"/>
      <color rgb="FF7030A0"/>
      <name val="Arial Narrow"/>
      <family val="2"/>
    </font>
    <font>
      <b/>
      <u/>
      <sz val="8"/>
      <color theme="1"/>
      <name val="Arial Narrow"/>
      <family val="2"/>
    </font>
    <font>
      <i/>
      <sz val="11"/>
      <color theme="1"/>
      <name val="Times New Roman"/>
      <family val="2"/>
    </font>
    <font>
      <sz val="8"/>
      <name val="Calibri"/>
      <family val="2"/>
      <scheme val="minor"/>
    </font>
    <font>
      <u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2" tint="-9.9948118533890809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49" fontId="9" fillId="0" borderId="3" xfId="0" applyNumberFormat="1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horizontal="left" vertical="center" wrapText="1"/>
    </xf>
    <xf numFmtId="164" fontId="1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8" fillId="0" borderId="2" xfId="0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164" fontId="9" fillId="0" borderId="6" xfId="0" applyNumberFormat="1" applyFont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164" fontId="16" fillId="0" borderId="0" xfId="0" applyNumberFormat="1" applyFont="1" applyAlignment="1">
      <alignment vertical="center"/>
    </xf>
    <xf numFmtId="49" fontId="9" fillId="0" borderId="6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vertical="center"/>
    </xf>
    <xf numFmtId="164" fontId="16" fillId="0" borderId="0" xfId="0" applyNumberFormat="1" applyFont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5" fillId="0" borderId="0" xfId="0" applyFont="1"/>
    <xf numFmtId="0" fontId="8" fillId="0" borderId="4" xfId="0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8" fillId="0" borderId="9" xfId="0" applyFont="1" applyBorder="1"/>
    <xf numFmtId="0" fontId="18" fillId="0" borderId="0" xfId="0" applyFont="1"/>
    <xf numFmtId="0" fontId="8" fillId="0" borderId="0" xfId="0" applyFont="1" applyAlignment="1">
      <alignment horizontal="right"/>
    </xf>
    <xf numFmtId="0" fontId="0" fillId="0" borderId="2" xfId="0" applyBorder="1"/>
    <xf numFmtId="0" fontId="0" fillId="0" borderId="0" xfId="0" applyNumberFormat="1"/>
    <xf numFmtId="164" fontId="3" fillId="0" borderId="0" xfId="0" applyNumberFormat="1" applyFont="1" applyAlignment="1">
      <alignment vertical="center"/>
    </xf>
    <xf numFmtId="164" fontId="8" fillId="0" borderId="0" xfId="0" applyNumberFormat="1" applyFont="1"/>
    <xf numFmtId="164" fontId="0" fillId="0" borderId="0" xfId="0" applyNumberFormat="1"/>
    <xf numFmtId="164" fontId="0" fillId="0" borderId="2" xfId="0" applyNumberFormat="1" applyBorder="1"/>
    <xf numFmtId="0" fontId="17" fillId="0" borderId="0" xfId="0" applyNumberFormat="1" applyFont="1" applyAlignment="1">
      <alignment horizontal="center" vertical="center"/>
    </xf>
    <xf numFmtId="0" fontId="8" fillId="0" borderId="2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49" fontId="9" fillId="0" borderId="4" xfId="0" applyNumberFormat="1" applyFont="1" applyBorder="1" applyAlignment="1">
      <alignment horizontal="left" vertical="center"/>
    </xf>
    <xf numFmtId="0" fontId="20" fillId="0" borderId="5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vertical="center"/>
    </xf>
  </cellXfs>
  <cellStyles count="1">
    <cellStyle name="Normal" xfId="0" builtinId="0"/>
  </cellStyles>
  <dxfs count="8"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5493002-7FFC-4570-ADD1-7AA0F8D81837}" autoFormatId="16" applyNumberFormats="0" applyBorderFormats="0" applyFontFormats="0" applyPatternFormats="0" applyAlignmentFormats="0" applyWidthHeightFormats="0">
  <queryTableRefresh nextId="27">
    <queryTableFields count="26">
      <queryTableField id="1" name="Item ID" tableColumnId="27"/>
      <queryTableField id="2" name="ItemID" tableColumnId="2"/>
      <queryTableField id="3" name="Description" tableColumnId="3"/>
      <queryTableField id="4" name="Category" tableColumnId="4"/>
      <queryTableField id="5" name="Sales Type" tableColumnId="5"/>
      <queryTableField id="6" name="Gender" tableColumnId="6"/>
      <queryTableField id="7" name="Last Cost" tableColumnId="7"/>
      <queryTableField id="8" name="Vendor ID" tableColumnId="8"/>
      <queryTableField id="9" name="Vendor Item" tableColumnId="9"/>
      <queryTableField id="10" name="Min Qty" tableColumnId="10"/>
      <queryTableField id="11" name="Max Qty" tableColumnId="11"/>
      <queryTableField id="12" name="Case Qty" tableColumnId="12"/>
      <queryTableField id="13" name="Scan Code" tableColumnId="13"/>
      <queryTableField id="14" name="CustomerItemDescription" tableColumnId="14"/>
      <queryTableField id="15" name="Multiplier" tableColumnId="15"/>
      <queryTableField id="16" name="Stnd Price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04448-919B-4CC4-BE2F-C469A9CE7AB5}" name="Sheet1" displayName="Sheet1" ref="A1:Z987" tableType="queryTable" totalsRowShown="0">
  <autoFilter ref="A1:Z987" xr:uid="{CDC04448-919B-4CC4-BE2F-C469A9CE7AB5}"/>
  <sortState xmlns:xlrd2="http://schemas.microsoft.com/office/spreadsheetml/2017/richdata2" ref="A2:Z987">
    <sortCondition ref="M1:M987"/>
  </sortState>
  <tableColumns count="26">
    <tableColumn id="27" xr3:uid="{746851B8-02DF-4A77-BBB1-C1F2300EC57E}" uniqueName="27" name="Item ID" queryTableFieldId="1"/>
    <tableColumn id="2" xr3:uid="{DEBB530E-0F32-43FB-9BD2-C61734596935}" uniqueName="2" name="ItemID" queryTableFieldId="2"/>
    <tableColumn id="3" xr3:uid="{4F4F41EE-5A14-4A91-BC14-F2E33919754E}" uniqueName="3" name="Description" queryTableFieldId="3" dataDxfId="7"/>
    <tableColumn id="4" xr3:uid="{82BD9696-6C5D-403C-8AB3-85D68DA25238}" uniqueName="4" name="Category" queryTableFieldId="4" dataDxfId="6"/>
    <tableColumn id="5" xr3:uid="{88F15DE3-35E3-4969-A329-7C3B28872DB9}" uniqueName="5" name="Sales Type" queryTableFieldId="5" dataDxfId="5"/>
    <tableColumn id="6" xr3:uid="{ED51536E-3320-413A-89B2-9281ACE268B2}" uniqueName="6" name="Gender" queryTableFieldId="6" dataDxfId="4"/>
    <tableColumn id="7" xr3:uid="{1A48B3BE-C635-4570-902D-608D60F23E89}" uniqueName="7" name="Last Cost" queryTableFieldId="7"/>
    <tableColumn id="8" xr3:uid="{DE8C867F-74F7-4DA1-A690-1D17BB7A64BF}" uniqueName="8" name="Vendor ID" queryTableFieldId="8" dataDxfId="3"/>
    <tableColumn id="9" xr3:uid="{F9012C03-619E-4CC1-99FF-1EF97A1CEDFA}" uniqueName="9" name="Vendor Item" queryTableFieldId="9" dataDxfId="2"/>
    <tableColumn id="10" xr3:uid="{20A07E24-F62D-4FB4-AF18-9DE49AA2D7C9}" uniqueName="10" name="Min Qty" queryTableFieldId="10"/>
    <tableColumn id="11" xr3:uid="{662492D9-C78F-4950-9C86-0C46561FB8C3}" uniqueName="11" name="Max Qty" queryTableFieldId="11"/>
    <tableColumn id="12" xr3:uid="{ABCC2D83-07E2-40C8-BC5F-995E86E6676A}" uniqueName="12" name="Case Qty" queryTableFieldId="12"/>
    <tableColumn id="13" xr3:uid="{A5255147-DC17-4EF0-9393-83ADC082F8E1}" uniqueName="13" name="Scan Code" queryTableFieldId="13"/>
    <tableColumn id="14" xr3:uid="{C71B1E56-F82F-4180-BA17-8A87D79C4918}" uniqueName="14" name="CustomerItemDescription" queryTableFieldId="14" dataDxfId="1"/>
    <tableColumn id="15" xr3:uid="{51FCBD79-FF78-4700-8947-6659F52C6DCA}" uniqueName="15" name="Multiplier" queryTableFieldId="15"/>
    <tableColumn id="16" xr3:uid="{5D4A9FF2-A1D1-4721-A306-941F97E779A4}" uniqueName="16" name="Stnd Price" queryTableFieldId="16" dataDxfId="0"/>
    <tableColumn id="17" xr3:uid="{73A14DEB-1305-46C5-816B-4E1438A1B8F6}" uniqueName="17" name="Column17" queryTableFieldId="17"/>
    <tableColumn id="18" xr3:uid="{31E68B84-C05E-4AD9-8DC2-99366DE2782B}" uniqueName="18" name="Column18" queryTableFieldId="18"/>
    <tableColumn id="19" xr3:uid="{998DBCA2-F487-4AEF-8EB7-D7E68A1D667F}" uniqueName="19" name="Column19" queryTableFieldId="19"/>
    <tableColumn id="20" xr3:uid="{A1378693-680D-40AB-94AD-F96A4A14D471}" uniqueName="20" name="Column20" queryTableFieldId="20"/>
    <tableColumn id="21" xr3:uid="{32A32B82-30B1-4E75-A1C9-14EC5A7BD768}" uniqueName="21" name="Column21" queryTableFieldId="21"/>
    <tableColumn id="22" xr3:uid="{AEA390A3-67ED-448D-B7C5-DEFDBA9EA886}" uniqueName="22" name="Column22" queryTableFieldId="22"/>
    <tableColumn id="23" xr3:uid="{9053BBA4-7FA3-4AD6-8A5E-D081BE1ACDB9}" uniqueName="23" name="Column23" queryTableFieldId="23"/>
    <tableColumn id="24" xr3:uid="{7FADAC80-917B-4501-9B25-6E8C01BE0DA5}" uniqueName="24" name="Column24" queryTableFieldId="24"/>
    <tableColumn id="25" xr3:uid="{4B5B5772-6CF1-4D6F-922C-59494E902278}" uniqueName="25" name="Column25" queryTableFieldId="25"/>
    <tableColumn id="26" xr3:uid="{7A3A5A0C-368B-4ACE-926C-54C16B17457F}" uniqueName="26" name="Column26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D217-F05B-452B-B66A-35FD11B70E71}">
  <sheetPr>
    <pageSetUpPr fitToPage="1"/>
  </sheetPr>
  <dimension ref="A1:R293"/>
  <sheetViews>
    <sheetView tabSelected="1" topLeftCell="A245" zoomScaleNormal="100" zoomScaleSheetLayoutView="100" workbookViewId="0">
      <selection activeCell="H157" sqref="H157"/>
    </sheetView>
  </sheetViews>
  <sheetFormatPr defaultColWidth="6.42578125" defaultRowHeight="11.25" customHeight="1" x14ac:dyDescent="0.25"/>
  <cols>
    <col min="1" max="1" width="2.140625" style="13" customWidth="1"/>
    <col min="2" max="2" width="4.140625" style="24" customWidth="1"/>
    <col min="3" max="3" width="19.7109375" style="13" customWidth="1"/>
    <col min="4" max="4" width="5" style="15" bestFit="1" customWidth="1"/>
    <col min="5" max="5" width="4" style="16" customWidth="1"/>
    <col min="6" max="6" width="2.140625" style="20" customWidth="1"/>
    <col min="7" max="7" width="4.140625" style="13" customWidth="1"/>
    <col min="8" max="8" width="25.140625" style="13" customWidth="1"/>
    <col min="9" max="9" width="5" style="15" bestFit="1" customWidth="1"/>
    <col min="10" max="10" width="4" style="1" customWidth="1"/>
    <col min="11" max="11" width="2.140625" style="1" customWidth="1"/>
    <col min="12" max="12" width="4.140625" style="1" customWidth="1"/>
    <col min="13" max="13" width="26.85546875" style="1" customWidth="1"/>
    <col min="14" max="14" width="5" style="1" bestFit="1" customWidth="1"/>
    <col min="15" max="16384" width="6.42578125" style="1"/>
  </cols>
  <sheetData>
    <row r="1" spans="1:14" ht="11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11.25" customHeight="1" x14ac:dyDescent="0.25">
      <c r="A2" s="2"/>
      <c r="B2" s="2"/>
      <c r="C2" s="2"/>
      <c r="D2" s="57"/>
      <c r="E2" s="2"/>
      <c r="F2" s="2"/>
      <c r="G2" s="2"/>
      <c r="H2" s="2"/>
      <c r="I2" s="3"/>
    </row>
    <row r="3" spans="1:14" ht="11.25" customHeight="1" x14ac:dyDescent="0.25">
      <c r="A3" s="69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5" customFormat="1" ht="11.25" customHeight="1" x14ac:dyDescent="0.25">
      <c r="A4" s="70" t="s">
        <v>3</v>
      </c>
      <c r="B4" s="70"/>
      <c r="C4" s="70"/>
      <c r="D4" s="70"/>
      <c r="E4" s="4"/>
      <c r="F4" s="70" t="s">
        <v>4</v>
      </c>
      <c r="G4" s="70"/>
      <c r="H4" s="70"/>
      <c r="I4" s="70"/>
      <c r="K4" s="70" t="s">
        <v>5</v>
      </c>
      <c r="L4" s="70"/>
      <c r="M4" s="70"/>
      <c r="N4" s="70"/>
    </row>
    <row r="5" spans="1:14" s="11" customFormat="1" ht="11.25" customHeight="1" x14ac:dyDescent="0.25">
      <c r="A5" s="6"/>
      <c r="B5" s="7">
        <v>1021</v>
      </c>
      <c r="C5" s="8" t="str">
        <f>INDEX('Master List Import'!$A$2:$P$700, MATCH('Auto Menu'!$B5, 'Master List Import'!$M$2:$M$700), 14)</f>
        <v>Thermal Top (Sm)</v>
      </c>
      <c r="D5" s="63">
        <f>INDEX('Master List Import'!$A$2:$P$700, MATCH('Auto Menu'!$B5, 'Master List Import'!$M$2:$M$700), 16)</f>
        <v>8.6999999999999993</v>
      </c>
      <c r="E5" s="10"/>
      <c r="F5" s="6"/>
      <c r="G5" s="7">
        <v>1041</v>
      </c>
      <c r="H5" s="8" t="str">
        <f>INDEX('Master List Import'!$A$2:$P$700, MATCH('Auto Menu'!$G5, 'Master List Import'!$M$2:$M$700), 14)</f>
        <v>Thermal Bottom (Sm)</v>
      </c>
      <c r="I5" s="63">
        <f>INDEX('Master List Import'!$A$2:$P$700, MATCH('Auto Menu'!$G5, 'Master List Import'!$M$2:$M$700), 16)</f>
        <v>8.6999999999999993</v>
      </c>
      <c r="K5" s="6"/>
      <c r="L5" s="7">
        <v>1001</v>
      </c>
      <c r="M5" s="8" t="str">
        <f>INDEX('Master List Import'!$A$2:$P$700, MATCH('Auto Menu'!$L5, 'Master List Import'!$M$2:$M$700), 14)</f>
        <v>Thermal Set (Sm)</v>
      </c>
      <c r="N5" s="63">
        <f>INDEX('Master List Import'!$A$2:$P$700, MATCH('Auto Menu'!$L5, 'Master List Import'!$M$2:$M$700), 16)</f>
        <v>17.399999999999999</v>
      </c>
    </row>
    <row r="6" spans="1:14" s="11" customFormat="1" ht="11.25" customHeight="1" x14ac:dyDescent="0.25">
      <c r="A6" s="6"/>
      <c r="B6" s="12">
        <v>1022</v>
      </c>
      <c r="C6" s="8" t="str">
        <f>INDEX('Master List Import'!$A$2:$P$700, MATCH('Auto Menu'!$B6, 'Master List Import'!$M$2:$M$700), 14)</f>
        <v>Thermal Top (Md)</v>
      </c>
      <c r="D6" s="63">
        <f>INDEX('Master List Import'!$A$2:$P$700, MATCH('Auto Menu'!$B6, 'Master List Import'!$M$2:$M$700), 16)</f>
        <v>8.6999999999999993</v>
      </c>
      <c r="E6" s="10"/>
      <c r="F6" s="6"/>
      <c r="G6" s="12">
        <v>1042</v>
      </c>
      <c r="H6" s="8" t="str">
        <f>INDEX('Master List Import'!$A$2:$P$700, MATCH('Auto Menu'!$G6, 'Master List Import'!$M$2:$M$700), 14)</f>
        <v>Thermal Bottom (Md)</v>
      </c>
      <c r="I6" s="63">
        <f>INDEX('Master List Import'!$A$2:$P$700, MATCH('Auto Menu'!$G6, 'Master List Import'!$M$2:$M$700), 16)</f>
        <v>8.6999999999999993</v>
      </c>
      <c r="K6" s="6"/>
      <c r="L6" s="12">
        <v>1002</v>
      </c>
      <c r="M6" s="8" t="str">
        <f>INDEX('Master List Import'!$A$2:$P$700, MATCH('Auto Menu'!$L6, 'Master List Import'!$M$2:$M$700), 14)</f>
        <v>Thermal Set (Md)</v>
      </c>
      <c r="N6" s="63">
        <f>INDEX('Master List Import'!$A$2:$P$700, MATCH('Auto Menu'!$L6, 'Master List Import'!$M$2:$M$700), 16)</f>
        <v>17.399999999999999</v>
      </c>
    </row>
    <row r="7" spans="1:14" s="11" customFormat="1" ht="11.25" customHeight="1" x14ac:dyDescent="0.25">
      <c r="A7" s="6"/>
      <c r="B7" s="12">
        <v>1023</v>
      </c>
      <c r="C7" s="8" t="str">
        <f>INDEX('Master List Import'!$A$2:$P$700, MATCH('Auto Menu'!$B7, 'Master List Import'!$M$2:$M$700), 14)</f>
        <v>Thermal Top (Lg)</v>
      </c>
      <c r="D7" s="63">
        <f>INDEX('Master List Import'!$A$2:$P$700, MATCH('Auto Menu'!$B7, 'Master List Import'!$M$2:$M$700), 16)</f>
        <v>8.6999999999999993</v>
      </c>
      <c r="E7" s="10"/>
      <c r="F7" s="6"/>
      <c r="G7" s="12">
        <v>1043</v>
      </c>
      <c r="H7" s="8" t="str">
        <f>INDEX('Master List Import'!$A$2:$P$700, MATCH('Auto Menu'!$G7, 'Master List Import'!$M$2:$M$700), 14)</f>
        <v>Thermal Bottom (Lg)</v>
      </c>
      <c r="I7" s="63">
        <f>INDEX('Master List Import'!$A$2:$P$700, MATCH('Auto Menu'!$G7, 'Master List Import'!$M$2:$M$700), 16)</f>
        <v>8.6999999999999993</v>
      </c>
      <c r="K7" s="6"/>
      <c r="L7" s="12">
        <v>1003</v>
      </c>
      <c r="M7" s="8" t="str">
        <f>INDEX('Master List Import'!$A$2:$P$700, MATCH('Auto Menu'!$L7, 'Master List Import'!$M$2:$M$700), 14)</f>
        <v>Thermal Set (Lg)</v>
      </c>
      <c r="N7" s="63">
        <f>INDEX('Master List Import'!$A$2:$P$700, MATCH('Auto Menu'!$L7, 'Master List Import'!$M$2:$M$700), 16)</f>
        <v>17.399999999999999</v>
      </c>
    </row>
    <row r="8" spans="1:14" s="11" customFormat="1" ht="11.25" customHeight="1" x14ac:dyDescent="0.25">
      <c r="A8" s="6"/>
      <c r="B8" s="12">
        <v>1024</v>
      </c>
      <c r="C8" s="8" t="str">
        <f>INDEX('Master List Import'!$A$2:$P$700, MATCH('Auto Menu'!$B8, 'Master List Import'!$M$2:$M$700), 14)</f>
        <v>Thermal Top (XL)</v>
      </c>
      <c r="D8" s="63">
        <f>INDEX('Master List Import'!$A$2:$P$700, MATCH('Auto Menu'!$B8, 'Master List Import'!$M$2:$M$700), 16)</f>
        <v>8.6999999999999993</v>
      </c>
      <c r="E8" s="10"/>
      <c r="F8" s="6"/>
      <c r="G8" s="12">
        <v>1044</v>
      </c>
      <c r="H8" s="8" t="str">
        <f>INDEX('Master List Import'!$A$2:$P$700, MATCH('Auto Menu'!$G8, 'Master List Import'!$M$2:$M$700), 14)</f>
        <v>Thermal Bottom (XL)</v>
      </c>
      <c r="I8" s="63">
        <f>INDEX('Master List Import'!$A$2:$P$700, MATCH('Auto Menu'!$G8, 'Master List Import'!$M$2:$M$700), 16)</f>
        <v>8.6999999999999993</v>
      </c>
      <c r="K8" s="6"/>
      <c r="L8" s="12">
        <v>1004</v>
      </c>
      <c r="M8" s="8" t="str">
        <f>INDEX('Master List Import'!$A$2:$P$700, MATCH('Auto Menu'!$L8, 'Master List Import'!$M$2:$M$700), 14)</f>
        <v>Thermal Set (XL)</v>
      </c>
      <c r="N8" s="63">
        <f>INDEX('Master List Import'!$A$2:$P$700, MATCH('Auto Menu'!$L8, 'Master List Import'!$M$2:$M$700), 16)</f>
        <v>17.399999999999999</v>
      </c>
    </row>
    <row r="9" spans="1:14" s="11" customFormat="1" ht="11.25" customHeight="1" x14ac:dyDescent="0.25">
      <c r="A9" s="6"/>
      <c r="B9" s="12">
        <v>1025</v>
      </c>
      <c r="C9" s="8" t="str">
        <f>INDEX('Master List Import'!$A$2:$P$700, MATCH('Auto Menu'!$B9, 'Master List Import'!$M$2:$M$700), 14)</f>
        <v>Thermal Top (2X)</v>
      </c>
      <c r="D9" s="63">
        <f>INDEX('Master List Import'!$A$2:$P$700, MATCH('Auto Menu'!$B9, 'Master List Import'!$M$2:$M$700), 16)</f>
        <v>10.199999999999999</v>
      </c>
      <c r="E9" s="10"/>
      <c r="F9" s="6"/>
      <c r="G9" s="12">
        <v>1045</v>
      </c>
      <c r="H9" s="8" t="str">
        <f>INDEX('Master List Import'!$A$2:$P$700, MATCH('Auto Menu'!$G9, 'Master List Import'!$M$2:$M$700), 14)</f>
        <v>Thermal Bottom (2X)</v>
      </c>
      <c r="I9" s="63">
        <f>INDEX('Master List Import'!$A$2:$P$700, MATCH('Auto Menu'!$G9, 'Master List Import'!$M$2:$M$700), 16)</f>
        <v>10.199999999999999</v>
      </c>
      <c r="K9" s="6"/>
      <c r="L9" s="7">
        <v>1005</v>
      </c>
      <c r="M9" s="8" t="str">
        <f>INDEX('Master List Import'!$A$2:$P$700, MATCH('Auto Menu'!$L9, 'Master List Import'!$M$2:$M$700), 14)</f>
        <v>Thermal Set (2X)</v>
      </c>
      <c r="N9" s="63">
        <f>INDEX('Master List Import'!$A$2:$P$700, MATCH('Auto Menu'!$L9, 'Master List Import'!$M$2:$M$700), 16)</f>
        <v>20.399999999999999</v>
      </c>
    </row>
    <row r="10" spans="1:14" s="11" customFormat="1" ht="11.25" customHeight="1" x14ac:dyDescent="0.25">
      <c r="A10" s="6"/>
      <c r="B10" s="12">
        <v>1026</v>
      </c>
      <c r="C10" s="8" t="str">
        <f>INDEX('Master List Import'!$A$2:$P$700, MATCH('Auto Menu'!$B10, 'Master List Import'!$M$2:$M$700), 14)</f>
        <v>Thermal Top (3X)</v>
      </c>
      <c r="D10" s="63">
        <f>INDEX('Master List Import'!$A$2:$P$700, MATCH('Auto Menu'!$B10, 'Master List Import'!$M$2:$M$700), 16)</f>
        <v>10.9</v>
      </c>
      <c r="E10" s="10"/>
      <c r="F10" s="6"/>
      <c r="G10" s="12">
        <v>1046</v>
      </c>
      <c r="H10" s="8" t="str">
        <f>INDEX('Master List Import'!$A$2:$P$700, MATCH('Auto Menu'!$G10, 'Master List Import'!$M$2:$M$700), 14)</f>
        <v>Thermal Bottom (3X)</v>
      </c>
      <c r="I10" s="63">
        <f>INDEX('Master List Import'!$A$2:$P$700, MATCH('Auto Menu'!$G10, 'Master List Import'!$M$2:$M$700), 16)</f>
        <v>10.9</v>
      </c>
      <c r="K10" s="6"/>
      <c r="L10" s="12">
        <v>1006</v>
      </c>
      <c r="M10" s="8" t="str">
        <f>INDEX('Master List Import'!$A$2:$P$700, MATCH('Auto Menu'!$L10, 'Master List Import'!$M$2:$M$700), 14)</f>
        <v>Thermal Set (3X)</v>
      </c>
      <c r="N10" s="63">
        <f>INDEX('Master List Import'!$A$2:$P$700, MATCH('Auto Menu'!$L10, 'Master List Import'!$M$2:$M$700), 16)</f>
        <v>21.8</v>
      </c>
    </row>
    <row r="11" spans="1:14" s="11" customFormat="1" ht="11.25" customHeight="1" x14ac:dyDescent="0.25">
      <c r="A11" s="6"/>
      <c r="B11" s="12">
        <v>1027</v>
      </c>
      <c r="C11" s="8" t="str">
        <f>INDEX('Master List Import'!$A$2:$P$700, MATCH('Auto Menu'!$B11, 'Master List Import'!$M$2:$M$700), 14)</f>
        <v>Thermal Top (4X)</v>
      </c>
      <c r="D11" s="63">
        <f>INDEX('Master List Import'!$A$2:$P$700, MATCH('Auto Menu'!$B11, 'Master List Import'!$M$2:$M$700), 16)</f>
        <v>11.6</v>
      </c>
      <c r="E11" s="10"/>
      <c r="F11" s="6"/>
      <c r="G11" s="12">
        <v>1047</v>
      </c>
      <c r="H11" s="8" t="str">
        <f>INDEX('Master List Import'!$A$2:$P$700, MATCH('Auto Menu'!$G11, 'Master List Import'!$M$2:$M$700), 14)</f>
        <v>Thermal Bottom (4X)</v>
      </c>
      <c r="I11" s="63">
        <f>INDEX('Master List Import'!$A$2:$P$700, MATCH('Auto Menu'!$G11, 'Master List Import'!$M$2:$M$700), 16)</f>
        <v>11.6</v>
      </c>
      <c r="K11" s="6"/>
      <c r="L11" s="12">
        <v>1007</v>
      </c>
      <c r="M11" s="8" t="str">
        <f>INDEX('Master List Import'!$A$2:$P$700, MATCH('Auto Menu'!$L11, 'Master List Import'!$M$2:$M$700), 14)</f>
        <v>Thermal Set (4X)</v>
      </c>
      <c r="N11" s="63">
        <f>INDEX('Master List Import'!$A$2:$P$700, MATCH('Auto Menu'!$L11, 'Master List Import'!$M$2:$M$700), 16)</f>
        <v>23.2</v>
      </c>
    </row>
    <row r="12" spans="1:14" s="11" customFormat="1" ht="11.25" customHeight="1" x14ac:dyDescent="0.25">
      <c r="A12" s="6"/>
      <c r="B12" s="12">
        <v>1028</v>
      </c>
      <c r="C12" s="8" t="str">
        <f>INDEX('Master List Import'!$A$2:$P$700, MATCH('Auto Menu'!$B12, 'Master List Import'!$M$2:$M$700), 14)</f>
        <v>Thermal Top (5X)</v>
      </c>
      <c r="D12" s="63">
        <f>INDEX('Master List Import'!$A$2:$P$700, MATCH('Auto Menu'!$B12, 'Master List Import'!$M$2:$M$700), 16)</f>
        <v>12.6</v>
      </c>
      <c r="E12" s="10"/>
      <c r="F12" s="6"/>
      <c r="G12" s="12">
        <v>1048</v>
      </c>
      <c r="H12" s="8" t="str">
        <f>INDEX('Master List Import'!$A$2:$P$700, MATCH('Auto Menu'!$G12, 'Master List Import'!$M$2:$M$700), 14)</f>
        <v>Thermal Bottom (5X)</v>
      </c>
      <c r="I12" s="63">
        <f>INDEX('Master List Import'!$A$2:$P$700, MATCH('Auto Menu'!$G12, 'Master List Import'!$M$2:$M$700), 16)</f>
        <v>12.6</v>
      </c>
      <c r="K12" s="6"/>
      <c r="L12" s="12">
        <v>1008</v>
      </c>
      <c r="M12" s="8" t="str">
        <f>INDEX('Master List Import'!$A$2:$P$700, MATCH('Auto Menu'!$L12, 'Master List Import'!$M$2:$M$700), 14)</f>
        <v>Thermal Set (5X)</v>
      </c>
      <c r="N12" s="63">
        <f>INDEX('Master List Import'!$A$2:$P$700, MATCH('Auto Menu'!$L12, 'Master List Import'!$M$2:$M$700), 16)</f>
        <v>25.2</v>
      </c>
    </row>
    <row r="13" spans="1:14" ht="11.25" customHeight="1" x14ac:dyDescent="0.25">
      <c r="B13" s="14"/>
      <c r="F13" s="13"/>
      <c r="G13" s="14"/>
    </row>
    <row r="14" spans="1:14" ht="11.25" customHeight="1" x14ac:dyDescent="0.25">
      <c r="A14" s="70" t="s">
        <v>30</v>
      </c>
      <c r="B14" s="70"/>
      <c r="C14" s="70"/>
      <c r="D14" s="70"/>
      <c r="E14" s="4"/>
      <c r="F14" s="70" t="s">
        <v>31</v>
      </c>
      <c r="G14" s="70"/>
      <c r="H14" s="70"/>
      <c r="I14" s="70"/>
      <c r="K14" s="70" t="s">
        <v>32</v>
      </c>
      <c r="L14" s="70"/>
      <c r="M14" s="70"/>
      <c r="N14" s="70"/>
    </row>
    <row r="15" spans="1:14" s="11" customFormat="1" ht="11.25" customHeight="1" x14ac:dyDescent="0.25">
      <c r="A15" s="6"/>
      <c r="B15" s="7">
        <v>1061</v>
      </c>
      <c r="C15" s="8" t="str">
        <f>INDEX('Master List Import'!$A$2:$P$700, MATCH('Auto Menu'!$B15, 'Master List Import'!$M$2:$M$700), 14)</f>
        <v>Grey Sweatshirt (Md)</v>
      </c>
      <c r="D15" s="63">
        <f>INDEX('Master List Import'!$A$2:$P$700, MATCH('Auto Menu'!$B15, 'Master List Import'!$M$2:$M$700), 16)</f>
        <v>21</v>
      </c>
      <c r="E15" s="10"/>
      <c r="F15" s="6"/>
      <c r="G15" s="7">
        <v>1071</v>
      </c>
      <c r="H15" s="8" t="str">
        <f>INDEX('Master List Import'!$A$2:$P$700, MATCH('Auto Menu'!$G15, 'Master List Import'!$M$2:$M$700), 14)</f>
        <v>Grey Sweatpants (Md)</v>
      </c>
      <c r="I15" s="63">
        <f>INDEX('Master List Import'!$A$2:$P$700, MATCH('Auto Menu'!$G15, 'Master List Import'!$M$2:$M$700), 16)</f>
        <v>25</v>
      </c>
      <c r="K15" s="6"/>
      <c r="L15" s="7">
        <v>1201</v>
      </c>
      <c r="M15" s="8" t="str">
        <f>INDEX('Master List Import'!$A$2:$P$700, MATCH('Auto Menu'!$L15, 'Master List Import'!$M$2:$M$700), 14)</f>
        <v>White T-Shirt (Sm)</v>
      </c>
      <c r="N15" s="63">
        <f>INDEX('Master List Import'!$A$2:$P$700, MATCH('Auto Menu'!$L15, 'Master List Import'!$M$2:$M$700), 16)</f>
        <v>5.05</v>
      </c>
    </row>
    <row r="16" spans="1:14" s="11" customFormat="1" ht="11.25" customHeight="1" x14ac:dyDescent="0.25">
      <c r="A16" s="6"/>
      <c r="B16" s="12">
        <v>1062</v>
      </c>
      <c r="C16" s="8" t="str">
        <f>INDEX('Master List Import'!$A$2:$P$700, MATCH('Auto Menu'!$B16, 'Master List Import'!$M$2:$M$700), 14)</f>
        <v>Grey Sweatshirt (Lg)</v>
      </c>
      <c r="D16" s="63">
        <f>INDEX('Master List Import'!$A$2:$P$700, MATCH('Auto Menu'!$B16, 'Master List Import'!$M$2:$M$700), 16)</f>
        <v>21</v>
      </c>
      <c r="E16" s="10"/>
      <c r="F16" s="6"/>
      <c r="G16" s="12">
        <v>1072</v>
      </c>
      <c r="H16" s="8" t="str">
        <f>INDEX('Master List Import'!$A$2:$P$700, MATCH('Auto Menu'!$G16, 'Master List Import'!$M$2:$M$700), 14)</f>
        <v>Grey Sweatpants (Lg)</v>
      </c>
      <c r="I16" s="63">
        <f>INDEX('Master List Import'!$A$2:$P$700, MATCH('Auto Menu'!$G16, 'Master List Import'!$M$2:$M$700), 16)</f>
        <v>25</v>
      </c>
      <c r="K16" s="6"/>
      <c r="L16" s="12">
        <v>1202</v>
      </c>
      <c r="M16" s="8" t="str">
        <f>INDEX('Master List Import'!$A$2:$P$700, MATCH('Auto Menu'!$L16, 'Master List Import'!$M$2:$M$700), 14)</f>
        <v>White T-Shirt (Md)</v>
      </c>
      <c r="N16" s="63">
        <f>INDEX('Master List Import'!$A$2:$P$700, MATCH('Auto Menu'!$L16, 'Master List Import'!$M$2:$M$700), 16)</f>
        <v>5.05</v>
      </c>
    </row>
    <row r="17" spans="1:14" s="11" customFormat="1" ht="11.25" customHeight="1" x14ac:dyDescent="0.25">
      <c r="A17" s="6"/>
      <c r="B17" s="12">
        <v>1063</v>
      </c>
      <c r="C17" s="8" t="str">
        <f>INDEX('Master List Import'!$A$2:$P$700, MATCH('Auto Menu'!$B17, 'Master List Import'!$M$2:$M$700), 14)</f>
        <v>Grey Sweatshirt (XL)</v>
      </c>
      <c r="D17" s="63">
        <f>INDEX('Master List Import'!$A$2:$P$700, MATCH('Auto Menu'!$B17, 'Master List Import'!$M$2:$M$700), 16)</f>
        <v>21</v>
      </c>
      <c r="E17" s="10"/>
      <c r="F17" s="6"/>
      <c r="G17" s="12">
        <v>1073</v>
      </c>
      <c r="H17" s="8" t="str">
        <f>INDEX('Master List Import'!$A$2:$P$700, MATCH('Auto Menu'!$G17, 'Master List Import'!$M$2:$M$700), 14)</f>
        <v>Grey Sweatpants (XL)</v>
      </c>
      <c r="I17" s="63">
        <f>INDEX('Master List Import'!$A$2:$P$700, MATCH('Auto Menu'!$G17, 'Master List Import'!$M$2:$M$700), 16)</f>
        <v>25</v>
      </c>
      <c r="K17" s="6"/>
      <c r="L17" s="12">
        <v>1203</v>
      </c>
      <c r="M17" s="8" t="str">
        <f>INDEX('Master List Import'!$A$2:$P$700, MATCH('Auto Menu'!$L17, 'Master List Import'!$M$2:$M$700), 14)</f>
        <v>White T-Shirt (Lg)</v>
      </c>
      <c r="N17" s="63">
        <f>INDEX('Master List Import'!$A$2:$P$700, MATCH('Auto Menu'!$L17, 'Master List Import'!$M$2:$M$700), 16)</f>
        <v>5.05</v>
      </c>
    </row>
    <row r="18" spans="1:14" s="11" customFormat="1" ht="11.25" customHeight="1" x14ac:dyDescent="0.25">
      <c r="A18" s="6"/>
      <c r="B18" s="12">
        <v>1064</v>
      </c>
      <c r="C18" s="8" t="str">
        <f>INDEX('Master List Import'!$A$2:$P$700, MATCH('Auto Menu'!$B18, 'Master List Import'!$M$2:$M$700), 14)</f>
        <v>Grey Sweatshirt (2X)</v>
      </c>
      <c r="D18" s="63">
        <f>INDEX('Master List Import'!$A$2:$P$700, MATCH('Auto Menu'!$B18, 'Master List Import'!$M$2:$M$700), 16)</f>
        <v>24</v>
      </c>
      <c r="E18" s="10"/>
      <c r="F18" s="6"/>
      <c r="G18" s="12">
        <v>1074</v>
      </c>
      <c r="H18" s="8" t="str">
        <f>INDEX('Master List Import'!$A$2:$P$700, MATCH('Auto Menu'!$G18, 'Master List Import'!$M$2:$M$700), 14)</f>
        <v>Grey Sweatpants (2X)</v>
      </c>
      <c r="I18" s="63">
        <f>INDEX('Master List Import'!$A$2:$P$700, MATCH('Auto Menu'!$G18, 'Master List Import'!$M$2:$M$700), 16)</f>
        <v>28</v>
      </c>
      <c r="K18" s="6"/>
      <c r="L18" s="12">
        <v>1204</v>
      </c>
      <c r="M18" s="8" t="str">
        <f>INDEX('Master List Import'!$A$2:$P$700, MATCH('Auto Menu'!$L18, 'Master List Import'!$M$2:$M$700), 14)</f>
        <v>White T-Shirt (XL)</v>
      </c>
      <c r="N18" s="63">
        <f>INDEX('Master List Import'!$A$2:$P$700, MATCH('Auto Menu'!$L18, 'Master List Import'!$M$2:$M$700), 16)</f>
        <v>5.05</v>
      </c>
    </row>
    <row r="19" spans="1:14" s="11" customFormat="1" ht="11.25" customHeight="1" x14ac:dyDescent="0.25">
      <c r="A19" s="6"/>
      <c r="B19" s="12">
        <v>1065</v>
      </c>
      <c r="C19" s="8" t="str">
        <f>INDEX('Master List Import'!$A$2:$P$700, MATCH('Auto Menu'!$B19, 'Master List Import'!$M$2:$M$700), 14)</f>
        <v>Grey Sweatshirt (3X)</v>
      </c>
      <c r="D19" s="63">
        <f>INDEX('Master List Import'!$A$2:$P$700, MATCH('Auto Menu'!$B19, 'Master List Import'!$M$2:$M$700), 16)</f>
        <v>28</v>
      </c>
      <c r="E19" s="10"/>
      <c r="F19" s="6"/>
      <c r="G19" s="12">
        <v>1075</v>
      </c>
      <c r="H19" s="8" t="str">
        <f>INDEX('Master List Import'!$A$2:$P$700, MATCH('Auto Menu'!$G19, 'Master List Import'!$M$2:$M$700), 14)</f>
        <v>Grey Sweatpants (3X)</v>
      </c>
      <c r="I19" s="63">
        <f>INDEX('Master List Import'!$A$2:$P$700, MATCH('Auto Menu'!$G19, 'Master List Import'!$M$2:$M$700), 16)</f>
        <v>32</v>
      </c>
      <c r="K19" s="6"/>
      <c r="L19" s="12">
        <v>1205</v>
      </c>
      <c r="M19" s="8" t="str">
        <f>INDEX('Master List Import'!$A$2:$P$700, MATCH('Auto Menu'!$L19, 'Master List Import'!$M$2:$M$700), 14)</f>
        <v>White T-Shirt (2X)</v>
      </c>
      <c r="N19" s="63">
        <f>INDEX('Master List Import'!$A$2:$P$700, MATCH('Auto Menu'!$L19, 'Master List Import'!$M$2:$M$700), 16)</f>
        <v>7.25</v>
      </c>
    </row>
    <row r="20" spans="1:14" s="11" customFormat="1" ht="11.25" customHeight="1" x14ac:dyDescent="0.25">
      <c r="A20" s="6"/>
      <c r="B20" s="12">
        <v>1066</v>
      </c>
      <c r="C20" s="8" t="str">
        <f>INDEX('Master List Import'!$A$2:$P$700, MATCH('Auto Menu'!$B20, 'Master List Import'!$M$2:$M$700), 14)</f>
        <v>Grey Sweatshirt (4X)</v>
      </c>
      <c r="D20" s="63">
        <f>INDEX('Master List Import'!$A$2:$P$700, MATCH('Auto Menu'!$B20, 'Master List Import'!$M$2:$M$700), 16)</f>
        <v>32</v>
      </c>
      <c r="E20" s="10"/>
      <c r="F20" s="6"/>
      <c r="G20" s="12">
        <v>1076</v>
      </c>
      <c r="H20" s="8" t="str">
        <f>INDEX('Master List Import'!$A$2:$P$700, MATCH('Auto Menu'!$G20, 'Master List Import'!$M$2:$M$700), 14)</f>
        <v>Grey Sweatpants (4X)</v>
      </c>
      <c r="I20" s="63">
        <f>INDEX('Master List Import'!$A$2:$P$700, MATCH('Auto Menu'!$G20, 'Master List Import'!$M$2:$M$700), 16)</f>
        <v>34.5</v>
      </c>
      <c r="K20" s="6"/>
      <c r="L20" s="12">
        <v>1206</v>
      </c>
      <c r="M20" s="8" t="str">
        <f>INDEX('Master List Import'!$A$2:$P$700, MATCH('Auto Menu'!$L20, 'Master List Import'!$M$2:$M$700), 14)</f>
        <v>White T-Shirt (3X)</v>
      </c>
      <c r="N20" s="63">
        <f>INDEX('Master List Import'!$A$2:$P$700, MATCH('Auto Menu'!$L20, 'Master List Import'!$M$2:$M$700), 16)</f>
        <v>7.25</v>
      </c>
    </row>
    <row r="21" spans="1:14" s="11" customFormat="1" ht="11.25" customHeight="1" x14ac:dyDescent="0.25">
      <c r="A21" s="6"/>
      <c r="B21" s="7">
        <v>1067</v>
      </c>
      <c r="C21" s="8" t="str">
        <f>INDEX('Master List Import'!$A$2:$P$700, MATCH('Auto Menu'!$B21, 'Master List Import'!$M$2:$M$700), 14)</f>
        <v>Grey Sweatshirt (5XL)</v>
      </c>
      <c r="D21" s="63">
        <f>INDEX('Master List Import'!$A$2:$P$700, MATCH('Auto Menu'!$B21, 'Master List Import'!$M$2:$M$700), 16)</f>
        <v>33.5</v>
      </c>
      <c r="E21" s="10"/>
      <c r="F21" s="6"/>
      <c r="G21" s="7">
        <v>1077</v>
      </c>
      <c r="H21" s="8" t="str">
        <f>INDEX('Master List Import'!$A$2:$P$700, MATCH('Auto Menu'!$G21, 'Master List Import'!$M$2:$M$700), 14)</f>
        <v>Grey Sweatpants (5XL)</v>
      </c>
      <c r="I21" s="63">
        <f>INDEX('Master List Import'!$A$2:$P$700, MATCH('Auto Menu'!$G21, 'Master List Import'!$M$2:$M$700), 16)</f>
        <v>35.5</v>
      </c>
      <c r="K21" s="6"/>
      <c r="L21" s="12">
        <v>1207</v>
      </c>
      <c r="M21" s="8" t="str">
        <f>INDEX('Master List Import'!$A$2:$P$700, MATCH('Auto Menu'!$L21, 'Master List Import'!$M$2:$M$700), 14)</f>
        <v>White T-Shirt (4X)</v>
      </c>
      <c r="N21" s="63">
        <f>INDEX('Master List Import'!$A$2:$P$700, MATCH('Auto Menu'!$L21, 'Master List Import'!$M$2:$M$700), 16)</f>
        <v>8.25</v>
      </c>
    </row>
    <row r="22" spans="1:14" s="11" customFormat="1" ht="11.25" customHeight="1" x14ac:dyDescent="0.25">
      <c r="A22" s="6"/>
      <c r="B22" s="7">
        <v>1068</v>
      </c>
      <c r="C22" s="8" t="str">
        <f>INDEX('Master List Import'!$A$2:$P$700, MATCH('Auto Menu'!$B22, 'Master List Import'!$M$2:$M$700), 14)</f>
        <v>Grey Sweatshirt (6XL)</v>
      </c>
      <c r="D22" s="63">
        <f>INDEX('Master List Import'!$A$2:$P$700, MATCH('Auto Menu'!$B22, 'Master List Import'!$M$2:$M$700), 16)</f>
        <v>36.5</v>
      </c>
      <c r="E22" s="10"/>
      <c r="F22" s="6"/>
      <c r="G22" s="7">
        <v>1078</v>
      </c>
      <c r="H22" s="8" t="str">
        <f>INDEX('Master List Import'!$A$2:$P$700, MATCH('Auto Menu'!$G22, 'Master List Import'!$M$2:$M$700), 14)</f>
        <v>Grey Sweatpants (6XL)</v>
      </c>
      <c r="I22" s="63">
        <f>INDEX('Master List Import'!$A$2:$P$700, MATCH('Auto Menu'!$G22, 'Master List Import'!$M$2:$M$700), 16)</f>
        <v>38.5</v>
      </c>
      <c r="K22" s="6"/>
      <c r="L22" s="12">
        <v>1208</v>
      </c>
      <c r="M22" s="8" t="str">
        <f>INDEX('Master List Import'!$A$2:$P$700, MATCH('Auto Menu'!$L22, 'Master List Import'!$M$2:$M$700), 14)</f>
        <v>White T-Shirt (5X)</v>
      </c>
      <c r="N22" s="63">
        <f>INDEX('Master List Import'!$A$2:$P$700, MATCH('Auto Menu'!$L22, 'Master List Import'!$M$2:$M$700), 16)</f>
        <v>10.15</v>
      </c>
    </row>
    <row r="23" spans="1:14" s="11" customFormat="1" ht="11.25" customHeight="1" x14ac:dyDescent="0.25">
      <c r="D23" s="31"/>
      <c r="E23" s="10"/>
      <c r="K23" s="6"/>
      <c r="L23" s="12">
        <v>1209</v>
      </c>
      <c r="M23" s="8" t="str">
        <f>INDEX('Master List Import'!$A$2:$P$700, MATCH('Auto Menu'!$L23, 'Master List Import'!$M$2:$M$700), 14)</f>
        <v>White T-Shirt (6X)</v>
      </c>
      <c r="N23" s="63">
        <f>INDEX('Master List Import'!$A$2:$P$700, MATCH('Auto Menu'!$L23, 'Master List Import'!$M$2:$M$700), 16)</f>
        <v>12.15</v>
      </c>
    </row>
    <row r="24" spans="1:14" ht="11.25" customHeight="1" x14ac:dyDescent="0.25">
      <c r="B24" s="13"/>
    </row>
    <row r="25" spans="1:14" ht="11.25" customHeight="1" x14ac:dyDescent="0.25">
      <c r="A25" s="71" t="s">
        <v>42</v>
      </c>
      <c r="B25" s="71"/>
      <c r="C25" s="71"/>
      <c r="D25" s="71"/>
      <c r="E25" s="21"/>
      <c r="F25" s="71" t="s">
        <v>43</v>
      </c>
      <c r="G25" s="71"/>
      <c r="H25" s="71"/>
      <c r="I25" s="71"/>
      <c r="J25" s="21"/>
      <c r="K25" s="71" t="s">
        <v>44</v>
      </c>
      <c r="L25" s="71"/>
      <c r="M25" s="71"/>
      <c r="N25" s="71"/>
    </row>
    <row r="26" spans="1:14" s="11" customFormat="1" ht="11.25" customHeight="1" x14ac:dyDescent="0.25">
      <c r="A26" s="6"/>
      <c r="B26" s="7">
        <v>1111</v>
      </c>
      <c r="C26" s="8" t="str">
        <f>INDEX('Master List Import'!$A$2:$P$700, MATCH('Auto Menu'!$B26, 'Master List Import'!$M$2:$M$700), 14)</f>
        <v>White Crew Socks</v>
      </c>
      <c r="D26" s="63">
        <f>INDEX('Master List Import'!$A$2:$P$700, MATCH('Auto Menu'!$B26, 'Master List Import'!$M$2:$M$700), 16)</f>
        <v>2.1</v>
      </c>
      <c r="E26" s="10"/>
      <c r="F26" s="6"/>
      <c r="G26" s="7">
        <v>1301</v>
      </c>
      <c r="H26" s="8" t="str">
        <f>INDEX('Master List Import'!$A$2:$P$700, MATCH('Auto Menu'!$G26, 'Master List Import'!$M$2:$M$700), 14)</f>
        <v>White Boxers (Sm)</v>
      </c>
      <c r="I26" s="63">
        <f>INDEX('Master List Import'!$A$2:$P$700, MATCH('Auto Menu'!$G26, 'Master List Import'!$M$2:$M$700), 16)</f>
        <v>4.3</v>
      </c>
      <c r="J26" s="10"/>
      <c r="K26" s="6"/>
      <c r="L26" s="7">
        <v>1900</v>
      </c>
      <c r="M26" s="8" t="str">
        <f>INDEX('Master List Import'!$A$2:$P$700, MATCH('Auto Menu'!$L26, 'Master List Import'!$M$2:$M$700), 14)</f>
        <v>White Bath Towel (Sm)</v>
      </c>
      <c r="N26" s="63">
        <f>INDEX('Master List Import'!$A$2:$P$700, MATCH('Auto Menu'!$L26, 'Master List Import'!$M$2:$M$700), 16)</f>
        <v>5.6</v>
      </c>
    </row>
    <row r="27" spans="1:14" s="11" customFormat="1" ht="11.25" customHeight="1" x14ac:dyDescent="0.25">
      <c r="D27" s="31"/>
      <c r="E27" s="10"/>
      <c r="F27" s="6"/>
      <c r="G27" s="12">
        <v>1302</v>
      </c>
      <c r="H27" s="8" t="str">
        <f>INDEX('Master List Import'!$A$2:$P$700, MATCH('Auto Menu'!$G27, 'Master List Import'!$M$2:$M$700), 14)</f>
        <v>White Boxers (Md)</v>
      </c>
      <c r="I27" s="63">
        <f>INDEX('Master List Import'!$A$2:$P$700, MATCH('Auto Menu'!$G27, 'Master List Import'!$M$2:$M$700), 16)</f>
        <v>4.3</v>
      </c>
      <c r="J27" s="10"/>
      <c r="K27" s="6"/>
      <c r="L27" s="12">
        <v>1901</v>
      </c>
      <c r="M27" s="8" t="str">
        <f>INDEX('Master List Import'!$A$2:$P$700, MATCH('Auto Menu'!$L27, 'Master List Import'!$M$2:$M$700), 14)</f>
        <v>White Bath Towel (Md)</v>
      </c>
      <c r="N27" s="63">
        <f>INDEX('Master List Import'!$A$2:$P$700, MATCH('Auto Menu'!$L27, 'Master List Import'!$M$2:$M$700), 16)</f>
        <v>5.8</v>
      </c>
    </row>
    <row r="28" spans="1:14" s="11" customFormat="1" ht="11.25" customHeight="1" x14ac:dyDescent="0.25">
      <c r="A28" s="71" t="s">
        <v>49</v>
      </c>
      <c r="B28" s="71"/>
      <c r="C28" s="71"/>
      <c r="D28" s="71"/>
      <c r="E28" s="10"/>
      <c r="F28" s="6"/>
      <c r="G28" s="12">
        <v>1303</v>
      </c>
      <c r="H28" s="8" t="str">
        <f>INDEX('Master List Import'!$A$2:$P$700, MATCH('Auto Menu'!$G28, 'Master List Import'!$M$2:$M$700), 14)</f>
        <v>White Boxers (Lg)</v>
      </c>
      <c r="I28" s="63">
        <f>INDEX('Master List Import'!$A$2:$P$700, MATCH('Auto Menu'!$G28, 'Master List Import'!$M$2:$M$700), 16)</f>
        <v>4.3</v>
      </c>
      <c r="J28" s="10"/>
      <c r="K28" s="6"/>
      <c r="L28" s="12">
        <v>1910</v>
      </c>
      <c r="M28" s="8" t="str">
        <f>INDEX('Master List Import'!$A$2:$P$700, MATCH('Auto Menu'!$L28, 'Master List Import'!$M$2:$M$700), 14)</f>
        <v>Tan Bath Towel (Lg)</v>
      </c>
      <c r="N28" s="63">
        <f>INDEX('Master List Import'!$A$2:$P$700, MATCH('Auto Menu'!$L28, 'Master List Import'!$M$2:$M$700), 16)</f>
        <v>11</v>
      </c>
    </row>
    <row r="29" spans="1:14" s="11" customFormat="1" ht="11.25" customHeight="1" x14ac:dyDescent="0.25">
      <c r="A29" s="6"/>
      <c r="B29" s="7">
        <v>1602</v>
      </c>
      <c r="C29" s="8" t="str">
        <f>INDEX('Master List Import'!$A$2:$P$700, MATCH('Auto Menu'!$B29, 'Master List Import'!$M$2:$M$700), 14)</f>
        <v>Black Canvas Shoes (M07/L09)</v>
      </c>
      <c r="D29" s="63">
        <f>INDEX('Master List Import'!$A$2:$P$700, MATCH('Auto Menu'!$B29, 'Master List Import'!$M$2:$M$700), 16)</f>
        <v>15.55</v>
      </c>
      <c r="E29" s="10"/>
      <c r="F29" s="6"/>
      <c r="G29" s="12">
        <v>1304</v>
      </c>
      <c r="H29" s="8" t="str">
        <f>INDEX('Master List Import'!$A$2:$P$700, MATCH('Auto Menu'!$G29, 'Master List Import'!$M$2:$M$700), 14)</f>
        <v>White Boxers (XL)</v>
      </c>
      <c r="I29" s="63">
        <f>INDEX('Master List Import'!$A$2:$P$700, MATCH('Auto Menu'!$G29, 'Master List Import'!$M$2:$M$700), 16)</f>
        <v>4.3</v>
      </c>
      <c r="J29" s="10"/>
      <c r="K29" s="6"/>
      <c r="L29" s="12">
        <v>1920</v>
      </c>
      <c r="M29" s="8" t="str">
        <f>INDEX('Master List Import'!$A$2:$P$700, MATCH('Auto Menu'!$L29, 'Master List Import'!$M$2:$M$700), 14)</f>
        <v>Blue Bath Towel (Lg)</v>
      </c>
      <c r="N29" s="63">
        <f>INDEX('Master List Import'!$A$2:$P$700, MATCH('Auto Menu'!$L29, 'Master List Import'!$M$2:$M$700), 16)</f>
        <v>10.5</v>
      </c>
    </row>
    <row r="30" spans="1:14" s="11" customFormat="1" ht="11.25" customHeight="1" x14ac:dyDescent="0.25">
      <c r="A30" s="6"/>
      <c r="B30" s="12">
        <v>1603</v>
      </c>
      <c r="C30" s="8" t="str">
        <f>INDEX('Master List Import'!$A$2:$P$700, MATCH('Auto Menu'!$B30, 'Master List Import'!$M$2:$M$700), 14)</f>
        <v>Black Canvas Shoes (M08/L10)</v>
      </c>
      <c r="D30" s="63">
        <f>INDEX('Master List Import'!$A$2:$P$700, MATCH('Auto Menu'!$B30, 'Master List Import'!$M$2:$M$700), 16)</f>
        <v>15.55</v>
      </c>
      <c r="E30" s="10"/>
      <c r="F30" s="6"/>
      <c r="G30" s="12">
        <v>1305</v>
      </c>
      <c r="H30" s="8" t="str">
        <f>INDEX('Master List Import'!$A$2:$P$700, MATCH('Auto Menu'!$G30, 'Master List Import'!$M$2:$M$700), 14)</f>
        <v>White Boxers (2X)</v>
      </c>
      <c r="I30" s="63">
        <f>INDEX('Master List Import'!$A$2:$P$700, MATCH('Auto Menu'!$G30, 'Master List Import'!$M$2:$M$700), 16)</f>
        <v>4.8</v>
      </c>
      <c r="J30" s="10"/>
      <c r="K30" s="6"/>
      <c r="L30" s="7">
        <v>1800</v>
      </c>
      <c r="M30" s="8" t="str">
        <f>INDEX('Master List Import'!$A$2:$P$700, MATCH('Auto Menu'!$L30, 'Master List Import'!$M$2:$M$700), 14)</f>
        <v>White Washcloth</v>
      </c>
      <c r="N30" s="63">
        <f>INDEX('Master List Import'!$A$2:$P$700, MATCH('Auto Menu'!$L30, 'Master List Import'!$M$2:$M$700), 16)</f>
        <v>1</v>
      </c>
    </row>
    <row r="31" spans="1:14" s="11" customFormat="1" ht="11.25" customHeight="1" x14ac:dyDescent="0.25">
      <c r="A31" s="6"/>
      <c r="B31" s="12">
        <v>1604</v>
      </c>
      <c r="C31" s="8" t="str">
        <f>INDEX('Master List Import'!$A$2:$P$700, MATCH('Auto Menu'!$B31, 'Master List Import'!$M$2:$M$700), 14)</f>
        <v>Black Canvas Shoes (M09/L11)</v>
      </c>
      <c r="D31" s="63">
        <f>INDEX('Master List Import'!$A$2:$P$700, MATCH('Auto Menu'!$B31, 'Master List Import'!$M$2:$M$700), 16)</f>
        <v>15.55</v>
      </c>
      <c r="E31" s="10"/>
      <c r="F31" s="6"/>
      <c r="G31" s="12">
        <v>1306</v>
      </c>
      <c r="H31" s="8" t="str">
        <f>INDEX('Master List Import'!$A$2:$P$700, MATCH('Auto Menu'!$G31, 'Master List Import'!$M$2:$M$700), 14)</f>
        <v>White Boxers (3X)</v>
      </c>
      <c r="I31" s="63">
        <f>INDEX('Master List Import'!$A$2:$P$700, MATCH('Auto Menu'!$G31, 'Master List Import'!$M$2:$M$700), 16)</f>
        <v>5.8</v>
      </c>
      <c r="J31" s="10"/>
      <c r="K31" s="6"/>
      <c r="L31" s="12">
        <v>1810</v>
      </c>
      <c r="M31" s="8" t="str">
        <f>INDEX('Master List Import'!$A$2:$P$700, MATCH('Auto Menu'!$L31, 'Master List Import'!$M$2:$M$700), 14)</f>
        <v>Tan Washcloth</v>
      </c>
      <c r="N31" s="63">
        <f>INDEX('Master List Import'!$A$2:$P$700, MATCH('Auto Menu'!$L31, 'Master List Import'!$M$2:$M$700), 16)</f>
        <v>5</v>
      </c>
    </row>
    <row r="32" spans="1:14" s="11" customFormat="1" ht="11.25" customHeight="1" x14ac:dyDescent="0.25">
      <c r="A32" s="6"/>
      <c r="B32" s="12">
        <v>1605</v>
      </c>
      <c r="C32" s="8" t="str">
        <f>INDEX('Master List Import'!$A$2:$P$700, MATCH('Auto Menu'!$B32, 'Master List Import'!$M$2:$M$700), 14)</f>
        <v>Black Canvas Shoes (M10/L12)</v>
      </c>
      <c r="D32" s="63">
        <f>INDEX('Master List Import'!$A$2:$P$700, MATCH('Auto Menu'!$B32, 'Master List Import'!$M$2:$M$700), 16)</f>
        <v>15.55</v>
      </c>
      <c r="E32" s="10"/>
      <c r="F32" s="6"/>
      <c r="G32" s="7">
        <v>1307</v>
      </c>
      <c r="H32" s="8" t="str">
        <f>INDEX('Master List Import'!$A$2:$P$700, MATCH('Auto Menu'!$G32, 'Master List Import'!$M$2:$M$700), 14)</f>
        <v>White Boxers (4X)</v>
      </c>
      <c r="I32" s="63">
        <f>INDEX('Master List Import'!$A$2:$P$700, MATCH('Auto Menu'!$G32, 'Master List Import'!$M$2:$M$700), 16)</f>
        <v>6.05</v>
      </c>
      <c r="J32" s="10"/>
      <c r="K32" s="6"/>
      <c r="L32" s="12">
        <v>1820</v>
      </c>
      <c r="M32" s="8" t="str">
        <f>INDEX('Master List Import'!$A$2:$P$700, MATCH('Auto Menu'!$L32, 'Master List Import'!$M$2:$M$700), 14)</f>
        <v>Blue Washcloth</v>
      </c>
      <c r="N32" s="63">
        <f>INDEX('Master List Import'!$A$2:$P$700, MATCH('Auto Menu'!$L32, 'Master List Import'!$M$2:$M$700), 16)</f>
        <v>2.1</v>
      </c>
    </row>
    <row r="33" spans="1:14" s="11" customFormat="1" ht="11.25" customHeight="1" x14ac:dyDescent="0.25">
      <c r="A33" s="6"/>
      <c r="B33" s="12">
        <v>1606</v>
      </c>
      <c r="C33" s="8" t="str">
        <f>INDEX('Master List Import'!$A$2:$P$700, MATCH('Auto Menu'!$B33, 'Master List Import'!$M$2:$M$700), 14)</f>
        <v>Black Canvas Shoes (M11)</v>
      </c>
      <c r="D33" s="63">
        <f>INDEX('Master List Import'!$A$2:$P$700, MATCH('Auto Menu'!$B33, 'Master List Import'!$M$2:$M$700), 16)</f>
        <v>15.55</v>
      </c>
      <c r="E33" s="10"/>
      <c r="F33" s="6"/>
      <c r="G33" s="12">
        <v>1308</v>
      </c>
      <c r="H33" s="8" t="str">
        <f>INDEX('Master List Import'!$A$2:$P$700, MATCH('Auto Menu'!$G33, 'Master List Import'!$M$2:$M$700), 14)</f>
        <v>White Boxers (5X)</v>
      </c>
      <c r="I33" s="63">
        <f>INDEX('Master List Import'!$A$2:$P$700, MATCH('Auto Menu'!$G33, 'Master List Import'!$M$2:$M$700), 16)</f>
        <v>6.8</v>
      </c>
      <c r="J33" s="10"/>
      <c r="K33" s="6"/>
      <c r="L33" s="12">
        <v>2000</v>
      </c>
      <c r="M33" s="8" t="str">
        <f>INDEX('Master List Import'!$A$2:$P$700, MATCH('Auto Menu'!$L33, 'Master List Import'!$M$2:$M$700), 14)</f>
        <v>Mesh Laundry Bag</v>
      </c>
      <c r="N33" s="63">
        <f>INDEX('Master List Import'!$A$2:$P$700, MATCH('Auto Menu'!$L33, 'Master List Import'!$M$2:$M$700), 16)</f>
        <v>7.5</v>
      </c>
    </row>
    <row r="34" spans="1:14" s="11" customFormat="1" ht="11.25" customHeight="1" x14ac:dyDescent="0.25">
      <c r="A34" s="6"/>
      <c r="B34" s="12">
        <v>1607</v>
      </c>
      <c r="C34" s="8" t="str">
        <f>INDEX('Master List Import'!$A$2:$P$700, MATCH('Auto Menu'!$B34, 'Master List Import'!$M$2:$M$700), 14)</f>
        <v>Black Canvas Shoes (M12)</v>
      </c>
      <c r="D34" s="63">
        <f>INDEX('Master List Import'!$A$2:$P$700, MATCH('Auto Menu'!$B34, 'Master List Import'!$M$2:$M$700), 16)</f>
        <v>15.55</v>
      </c>
      <c r="E34" s="10"/>
      <c r="F34" s="6"/>
      <c r="G34" s="12">
        <v>1309</v>
      </c>
      <c r="H34" s="8" t="str">
        <f>INDEX('Master List Import'!$A$2:$P$700, MATCH('Auto Menu'!$G34, 'Master List Import'!$M$2:$M$700), 14)</f>
        <v>White Boxers (6X)</v>
      </c>
      <c r="I34" s="63">
        <f>INDEX('Master List Import'!$A$2:$P$700, MATCH('Auto Menu'!$G34, 'Master List Import'!$M$2:$M$700), 16)</f>
        <v>7.5</v>
      </c>
      <c r="J34" s="10"/>
    </row>
    <row r="35" spans="1:14" s="11" customFormat="1" ht="11.25" customHeight="1" x14ac:dyDescent="0.25">
      <c r="A35" s="6"/>
      <c r="B35" s="12">
        <v>1608</v>
      </c>
      <c r="C35" s="8" t="str">
        <f>INDEX('Master List Import'!$A$2:$P$700, MATCH('Auto Menu'!$B35, 'Master List Import'!$M$2:$M$700), 14)</f>
        <v>Black Canvas Shoes (M13)</v>
      </c>
      <c r="D35" s="63">
        <f>INDEX('Master List Import'!$A$2:$P$700, MATCH('Auto Menu'!$B35, 'Master List Import'!$M$2:$M$700), 16)</f>
        <v>15.55</v>
      </c>
      <c r="E35" s="10"/>
      <c r="J35" s="10"/>
    </row>
    <row r="36" spans="1:14" s="11" customFormat="1" ht="11.25" customHeight="1" x14ac:dyDescent="0.25">
      <c r="A36" s="6"/>
      <c r="B36" s="12">
        <v>1609</v>
      </c>
      <c r="C36" s="8" t="str">
        <f>INDEX('Master List Import'!$A$2:$P$700, MATCH('Auto Menu'!$B36, 'Master List Import'!$M$2:$M$700), 14)</f>
        <v>Black Canvas Shoes (M14)</v>
      </c>
      <c r="D36" s="63">
        <f>INDEX('Master List Import'!$A$2:$P$700, MATCH('Auto Menu'!$B36, 'Master List Import'!$M$2:$M$700), 16)</f>
        <v>15.55</v>
      </c>
      <c r="E36" s="10"/>
      <c r="J36" s="10"/>
    </row>
    <row r="37" spans="1:14" s="11" customFormat="1" ht="11.25" customHeight="1" x14ac:dyDescent="0.25">
      <c r="A37" s="6"/>
      <c r="B37" s="12">
        <v>1610</v>
      </c>
      <c r="C37" s="8" t="str">
        <f>INDEX('Master List Import'!$A$2:$P$700, MATCH('Auto Menu'!$B37, 'Master List Import'!$M$2:$M$700), 14)</f>
        <v>Black Canvas Shoes (M15)</v>
      </c>
      <c r="D37" s="63">
        <f>INDEX('Master List Import'!$A$2:$P$700, MATCH('Auto Menu'!$B37, 'Master List Import'!$M$2:$M$700), 16)</f>
        <v>15.55</v>
      </c>
      <c r="E37" s="10"/>
      <c r="F37" s="71" t="s">
        <v>72</v>
      </c>
      <c r="G37" s="71"/>
      <c r="H37" s="71"/>
      <c r="I37" s="71"/>
      <c r="J37" s="10"/>
    </row>
    <row r="38" spans="1:14" s="11" customFormat="1" ht="11.25" customHeight="1" x14ac:dyDescent="0.25">
      <c r="A38" s="6"/>
      <c r="B38" s="7">
        <v>1703</v>
      </c>
      <c r="C38" s="8" t="str">
        <f>INDEX('Master List Import'!$A$2:$P$700, MATCH('Auto Menu'!$B38, 'Master List Import'!$M$2:$M$700), 14)</f>
        <v>Shower Sandals (08)</v>
      </c>
      <c r="D38" s="63">
        <f>INDEX('Master List Import'!$A$2:$P$700, MATCH('Auto Menu'!$B38, 'Master List Import'!$M$2:$M$700), 16)</f>
        <v>8</v>
      </c>
      <c r="E38" s="10"/>
      <c r="F38" s="6"/>
      <c r="G38" s="7">
        <v>1400</v>
      </c>
      <c r="H38" s="8" t="str">
        <f>INDEX('Master List Import'!$A$2:$P$700, MATCH('Auto Menu'!$G38, 'Master List Import'!$M$2:$M$700), 14)</f>
        <v>White Panties (Sz 05)</v>
      </c>
      <c r="I38" s="63">
        <f>INDEX('Master List Import'!$A$2:$P$700, MATCH('Auto Menu'!$G38, 'Master List Import'!$M$2:$M$700), 16)</f>
        <v>2.95</v>
      </c>
      <c r="J38" s="10"/>
    </row>
    <row r="39" spans="1:14" s="11" customFormat="1" ht="11.25" customHeight="1" x14ac:dyDescent="0.25">
      <c r="A39" s="6"/>
      <c r="B39" s="12">
        <v>1705</v>
      </c>
      <c r="C39" s="8" t="str">
        <f>INDEX('Master List Import'!$A$2:$P$700, MATCH('Auto Menu'!$B39, 'Master List Import'!$M$2:$M$700), 14)</f>
        <v>Shower Sandals (10)</v>
      </c>
      <c r="D39" s="63">
        <f>INDEX('Master List Import'!$A$2:$P$700, MATCH('Auto Menu'!$B39, 'Master List Import'!$M$2:$M$700), 16)</f>
        <v>8</v>
      </c>
      <c r="E39" s="10"/>
      <c r="F39" s="6"/>
      <c r="G39" s="12">
        <v>1401</v>
      </c>
      <c r="H39" s="8" t="str">
        <f>INDEX('Master List Import'!$A$2:$P$700, MATCH('Auto Menu'!$G39, 'Master List Import'!$M$2:$M$700), 14)</f>
        <v>White Panties (Sz 06)</v>
      </c>
      <c r="I39" s="63">
        <f>INDEX('Master List Import'!$A$2:$P$700, MATCH('Auto Menu'!$G39, 'Master List Import'!$M$2:$M$700), 16)</f>
        <v>2.95</v>
      </c>
      <c r="J39" s="10"/>
    </row>
    <row r="40" spans="1:14" s="11" customFormat="1" ht="11.25" customHeight="1" x14ac:dyDescent="0.25">
      <c r="A40" s="6"/>
      <c r="B40" s="12">
        <v>1707</v>
      </c>
      <c r="C40" s="8" t="str">
        <f>INDEX('Master List Import'!$A$2:$P$700, MATCH('Auto Menu'!$B40, 'Master List Import'!$M$2:$M$700), 14)</f>
        <v>Shower Sandals (12)</v>
      </c>
      <c r="D40" s="63">
        <f>INDEX('Master List Import'!$A$2:$P$700, MATCH('Auto Menu'!$B40, 'Master List Import'!$M$2:$M$700), 16)</f>
        <v>8</v>
      </c>
      <c r="E40" s="10"/>
      <c r="F40" s="6"/>
      <c r="G40" s="12">
        <v>1402</v>
      </c>
      <c r="H40" s="8" t="str">
        <f>INDEX('Master List Import'!$A$2:$P$700, MATCH('Auto Menu'!$G40, 'Master List Import'!$M$2:$M$700), 14)</f>
        <v>White Panties (Sz 07)</v>
      </c>
      <c r="I40" s="63">
        <f>INDEX('Master List Import'!$A$2:$P$700, MATCH('Auto Menu'!$G40, 'Master List Import'!$M$2:$M$700), 16)</f>
        <v>2.95</v>
      </c>
      <c r="J40" s="10"/>
    </row>
    <row r="41" spans="1:14" s="11" customFormat="1" ht="11.25" customHeight="1" x14ac:dyDescent="0.25">
      <c r="A41" s="6"/>
      <c r="B41" s="12">
        <v>1708</v>
      </c>
      <c r="C41" s="8" t="str">
        <f>INDEX('Master List Import'!$A$2:$P$700, MATCH('Auto Menu'!$B41, 'Master List Import'!$M$2:$M$700), 14)</f>
        <v>Shower Sandals (14)</v>
      </c>
      <c r="D41" s="63">
        <f>INDEX('Master List Import'!$A$2:$P$700, MATCH('Auto Menu'!$B41, 'Master List Import'!$M$2:$M$700), 16)</f>
        <v>8</v>
      </c>
      <c r="E41" s="10"/>
      <c r="F41" s="6"/>
      <c r="G41" s="12">
        <v>1403</v>
      </c>
      <c r="H41" s="8" t="str">
        <f>INDEX('Master List Import'!$A$2:$P$700, MATCH('Auto Menu'!$G41, 'Master List Import'!$M$2:$M$700), 14)</f>
        <v>White Panties (Sz 08)</v>
      </c>
      <c r="I41" s="63">
        <f>INDEX('Master List Import'!$A$2:$P$700, MATCH('Auto Menu'!$G41, 'Master List Import'!$M$2:$M$700), 16)</f>
        <v>2.95</v>
      </c>
      <c r="J41" s="10"/>
    </row>
    <row r="42" spans="1:14" s="11" customFormat="1" ht="11.25" customHeight="1" x14ac:dyDescent="0.25">
      <c r="A42" s="6"/>
      <c r="B42" s="12">
        <v>1710</v>
      </c>
      <c r="C42" s="8" t="str">
        <f>INDEX('Master List Import'!$A$2:$P$700, MATCH('Auto Menu'!$B42, 'Master List Import'!$M$2:$M$700), 14)</f>
        <v>Shower Sandals (17)</v>
      </c>
      <c r="D42" s="63">
        <f>INDEX('Master List Import'!$A$2:$P$700, MATCH('Auto Menu'!$B42, 'Master List Import'!$M$2:$M$700), 16)</f>
        <v>8</v>
      </c>
      <c r="E42" s="10"/>
      <c r="F42" s="6"/>
      <c r="G42" s="12">
        <v>1404</v>
      </c>
      <c r="H42" s="8" t="str">
        <f>INDEX('Master List Import'!$A$2:$P$700, MATCH('Auto Menu'!$G42, 'Master List Import'!$M$2:$M$700), 14)</f>
        <v>White Panties (Sz 09)</v>
      </c>
      <c r="I42" s="63">
        <f>INDEX('Master List Import'!$A$2:$P$700, MATCH('Auto Menu'!$G42, 'Master List Import'!$M$2:$M$700), 16)</f>
        <v>3.05</v>
      </c>
      <c r="J42" s="10"/>
    </row>
    <row r="43" spans="1:14" s="11" customFormat="1" ht="11.25" customHeight="1" x14ac:dyDescent="0.25">
      <c r="A43" s="6"/>
      <c r="B43" s="7">
        <v>1622</v>
      </c>
      <c r="C43" s="8" t="str">
        <f>INDEX('Master List Import'!$A$2:$P$700, MATCH('Auto Menu'!$B43, 'Master List Import'!$M$2:$M$700), 14)</f>
        <v>Orange Canvas Shoes (M07/L09)</v>
      </c>
      <c r="D43" s="63">
        <f>INDEX('Master List Import'!$A$2:$P$700, MATCH('Auto Menu'!$B43, 'Master List Import'!$M$2:$M$700), 16)</f>
        <v>15.55</v>
      </c>
      <c r="E43" s="10"/>
      <c r="F43" s="6"/>
      <c r="G43" s="12">
        <v>1405</v>
      </c>
      <c r="H43" s="8" t="str">
        <f>INDEX('Master List Import'!$A$2:$P$700, MATCH('Auto Menu'!$G43, 'Master List Import'!$M$2:$M$700), 14)</f>
        <v>White Panties (Sz 10)</v>
      </c>
      <c r="I43" s="63">
        <f>INDEX('Master List Import'!$A$2:$P$700, MATCH('Auto Menu'!$G43, 'Master List Import'!$M$2:$M$700), 16)</f>
        <v>3.3</v>
      </c>
      <c r="J43" s="10"/>
    </row>
    <row r="44" spans="1:14" ht="11.25" customHeight="1" x14ac:dyDescent="0.25">
      <c r="A44" s="6"/>
      <c r="B44" s="12">
        <v>1623</v>
      </c>
      <c r="C44" s="8" t="str">
        <f>INDEX('Master List Import'!$A$2:$P$700, MATCH('Auto Menu'!$B44, 'Master List Import'!$M$2:$M$700), 14)</f>
        <v>Orange Canvas Shoes (M08/L10)</v>
      </c>
      <c r="D44" s="63">
        <f>INDEX('Master List Import'!$A$2:$P$700, MATCH('Auto Menu'!$B44, 'Master List Import'!$M$2:$M$700), 16)</f>
        <v>15.55</v>
      </c>
      <c r="F44" s="6"/>
      <c r="G44" s="12">
        <v>1406</v>
      </c>
      <c r="H44" s="8" t="str">
        <f>INDEX('Master List Import'!$A$2:$P$700, MATCH('Auto Menu'!$G44, 'Master List Import'!$M$2:$M$700), 14)</f>
        <v>White Panties (Sz 11)</v>
      </c>
      <c r="I44" s="63">
        <f>INDEX('Master List Import'!$A$2:$P$700, MATCH('Auto Menu'!$G44, 'Master List Import'!$M$2:$M$700), 16)</f>
        <v>3.3</v>
      </c>
      <c r="J44" s="16"/>
    </row>
    <row r="45" spans="1:14" ht="11.25" customHeight="1" x14ac:dyDescent="0.25">
      <c r="A45" s="6"/>
      <c r="B45" s="12">
        <v>1624</v>
      </c>
      <c r="C45" s="8" t="str">
        <f>INDEX('Master List Import'!$A$2:$P$700, MATCH('Auto Menu'!$B45, 'Master List Import'!$M$2:$M$700), 14)</f>
        <v>Orange Canvas Shoes (M09/L11)</v>
      </c>
      <c r="D45" s="63">
        <f>INDEX('Master List Import'!$A$2:$P$700, MATCH('Auto Menu'!$B45, 'Master List Import'!$M$2:$M$700), 16)</f>
        <v>15.55</v>
      </c>
      <c r="F45" s="6"/>
      <c r="G45" s="12">
        <v>1407</v>
      </c>
      <c r="H45" s="8" t="str">
        <f>INDEX('Master List Import'!$A$2:$P$700, MATCH('Auto Menu'!$G45, 'Master List Import'!$M$2:$M$700), 14)</f>
        <v>White Panties (Sz 12)</v>
      </c>
      <c r="I45" s="63">
        <f>INDEX('Master List Import'!$A$2:$P$700, MATCH('Auto Menu'!$G45, 'Master List Import'!$M$2:$M$700), 16)</f>
        <v>3.3</v>
      </c>
      <c r="J45" s="16"/>
    </row>
    <row r="46" spans="1:14" ht="11.25" customHeight="1" x14ac:dyDescent="0.25">
      <c r="A46" s="6"/>
      <c r="B46" s="12">
        <v>1625</v>
      </c>
      <c r="C46" s="8" t="str">
        <f>INDEX('Master List Import'!$A$2:$P$700, MATCH('Auto Menu'!$B46, 'Master List Import'!$M$2:$M$700), 14)</f>
        <v>Orange Canvas Shoes (M10/L12)</v>
      </c>
      <c r="D46" s="63">
        <f>INDEX('Master List Import'!$A$2:$P$700, MATCH('Auto Menu'!$B46, 'Master List Import'!$M$2:$M$700), 16)</f>
        <v>15.55</v>
      </c>
      <c r="F46" s="6"/>
      <c r="G46" s="12">
        <v>1408</v>
      </c>
      <c r="H46" s="8" t="str">
        <f>INDEX('Master List Import'!$A$2:$P$700, MATCH('Auto Menu'!$G46, 'Master List Import'!$M$2:$M$700), 14)</f>
        <v>White Panties (Sz 13)</v>
      </c>
      <c r="I46" s="63">
        <f>INDEX('Master List Import'!$A$2:$P$700, MATCH('Auto Menu'!$G46, 'Master List Import'!$M$2:$M$700), 16)</f>
        <v>4.5</v>
      </c>
      <c r="J46" s="16"/>
    </row>
    <row r="47" spans="1:14" ht="11.25" customHeight="1" x14ac:dyDescent="0.25">
      <c r="A47" s="6"/>
      <c r="B47" s="12">
        <v>1626</v>
      </c>
      <c r="C47" s="8" t="str">
        <f>INDEX('Master List Import'!$A$2:$P$700, MATCH('Auto Menu'!$B47, 'Master List Import'!$M$2:$M$700), 14)</f>
        <v>Orange Canvas Shoes (M11)</v>
      </c>
      <c r="D47" s="63">
        <f>INDEX('Master List Import'!$A$2:$P$700, MATCH('Auto Menu'!$B47, 'Master List Import'!$M$2:$M$700), 16)</f>
        <v>15.55</v>
      </c>
      <c r="F47" s="6"/>
      <c r="G47" s="12">
        <v>1409</v>
      </c>
      <c r="H47" s="8" t="str">
        <f>INDEX('Master List Import'!$A$2:$P$700, MATCH('Auto Menu'!$G47, 'Master List Import'!$M$2:$M$700), 14)</f>
        <v>White Panties (Sz 14)</v>
      </c>
      <c r="I47" s="63">
        <f>INDEX('Master List Import'!$A$2:$P$700, MATCH('Auto Menu'!$G47, 'Master List Import'!$M$2:$M$700), 16)</f>
        <v>5.5</v>
      </c>
      <c r="J47" s="16"/>
    </row>
    <row r="48" spans="1:14" ht="11.25" customHeight="1" x14ac:dyDescent="0.25">
      <c r="A48" s="6"/>
      <c r="B48" s="12">
        <v>1627</v>
      </c>
      <c r="C48" s="8" t="str">
        <f>INDEX('Master List Import'!$A$2:$P$700, MATCH('Auto Menu'!$B48, 'Master List Import'!$M$2:$M$700), 14)</f>
        <v>Orange Canvas Shoes (M12)</v>
      </c>
      <c r="D48" s="63">
        <f>INDEX('Master List Import'!$A$2:$P$700, MATCH('Auto Menu'!$B48, 'Master List Import'!$M$2:$M$700), 16)</f>
        <v>15.55</v>
      </c>
      <c r="F48" s="6"/>
      <c r="G48" s="12">
        <v>1500</v>
      </c>
      <c r="H48" s="8" t="str">
        <f>INDEX('Master List Import'!$A$2:$P$700, MATCH('Auto Menu'!$G48, 'Master List Import'!$M$2:$M$700), 14)</f>
        <v>White Sports Bra (32)</v>
      </c>
      <c r="I48" s="63">
        <f>INDEX('Master List Import'!$A$2:$P$700, MATCH('Auto Menu'!$G48, 'Master List Import'!$M$2:$M$700), 16)</f>
        <v>8.3000000000000007</v>
      </c>
      <c r="J48" s="16"/>
    </row>
    <row r="49" spans="1:14" ht="11.25" customHeight="1" x14ac:dyDescent="0.25">
      <c r="A49" s="6"/>
      <c r="B49" s="12">
        <v>1628</v>
      </c>
      <c r="C49" s="8" t="str">
        <f>INDEX('Master List Import'!$A$2:$P$700, MATCH('Auto Menu'!$B49, 'Master List Import'!$M$2:$M$700), 14)</f>
        <v>Orange Canvas Shoes (M13)</v>
      </c>
      <c r="D49" s="63">
        <f>INDEX('Master List Import'!$A$2:$P$700, MATCH('Auto Menu'!$B49, 'Master List Import'!$M$2:$M$700), 16)</f>
        <v>15.55</v>
      </c>
      <c r="F49" s="6"/>
      <c r="G49" s="12">
        <v>1501</v>
      </c>
      <c r="H49" s="8" t="str">
        <f>INDEX('Master List Import'!$A$2:$P$700, MATCH('Auto Menu'!$G49, 'Master List Import'!$M$2:$M$700), 14)</f>
        <v>White Sports Bra (34)</v>
      </c>
      <c r="I49" s="63">
        <f>INDEX('Master List Import'!$A$2:$P$700, MATCH('Auto Menu'!$G49, 'Master List Import'!$M$2:$M$700), 16)</f>
        <v>8.3000000000000007</v>
      </c>
      <c r="J49" s="16"/>
    </row>
    <row r="50" spans="1:14" ht="11.25" customHeight="1" x14ac:dyDescent="0.25">
      <c r="A50" s="6"/>
      <c r="B50" s="22">
        <v>1630</v>
      </c>
      <c r="C50" s="8" t="str">
        <f>INDEX('Master List Import'!$A$2:$P$700, MATCH('Auto Menu'!$B50, 'Master List Import'!$M$2:$M$700), 14)</f>
        <v>White Athletic Lace-up Shoes (08)</v>
      </c>
      <c r="D50" s="63">
        <f>INDEX('Master List Import'!$A$2:$P$700, MATCH('Auto Menu'!$B50, 'Master List Import'!$M$2:$M$700), 16)</f>
        <v>40</v>
      </c>
      <c r="F50" s="6"/>
      <c r="G50" s="12">
        <v>1502</v>
      </c>
      <c r="H50" s="8" t="str">
        <f>INDEX('Master List Import'!$A$2:$P$700, MATCH('Auto Menu'!$G50, 'Master List Import'!$M$2:$M$700), 14)</f>
        <v>White Sports Bra (36)</v>
      </c>
      <c r="I50" s="63">
        <f>INDEX('Master List Import'!$A$2:$P$700, MATCH('Auto Menu'!$G50, 'Master List Import'!$M$2:$M$700), 16)</f>
        <v>8.3000000000000007</v>
      </c>
      <c r="J50" s="16"/>
    </row>
    <row r="51" spans="1:14" ht="11.25" customHeight="1" x14ac:dyDescent="0.25">
      <c r="A51" s="6"/>
      <c r="B51" s="23">
        <v>1632</v>
      </c>
      <c r="C51" s="8" t="str">
        <f>INDEX('Master List Import'!$A$2:$P$700, MATCH('Auto Menu'!$B51, 'Master List Import'!$M$2:$M$700), 14)</f>
        <v>White Athletic Lace-up Shoes (09)</v>
      </c>
      <c r="D51" s="63">
        <f>INDEX('Master List Import'!$A$2:$P$700, MATCH('Auto Menu'!$B51, 'Master List Import'!$M$2:$M$700), 16)</f>
        <v>40</v>
      </c>
      <c r="F51" s="6"/>
      <c r="G51" s="12">
        <v>1503</v>
      </c>
      <c r="H51" s="8" t="str">
        <f>INDEX('Master List Import'!$A$2:$P$700, MATCH('Auto Menu'!$G51, 'Master List Import'!$M$2:$M$700), 14)</f>
        <v>White Sports Bra (38)</v>
      </c>
      <c r="I51" s="63">
        <f>INDEX('Master List Import'!$A$2:$P$700, MATCH('Auto Menu'!$G51, 'Master List Import'!$M$2:$M$700), 16)</f>
        <v>8.3000000000000007</v>
      </c>
      <c r="J51" s="16"/>
    </row>
    <row r="52" spans="1:14" ht="11.25" customHeight="1" x14ac:dyDescent="0.25">
      <c r="A52" s="6"/>
      <c r="B52" s="23">
        <v>1634</v>
      </c>
      <c r="C52" s="8" t="str">
        <f>INDEX('Master List Import'!$A$2:$P$700, MATCH('Auto Menu'!$B52, 'Master List Import'!$M$2:$M$700), 14)</f>
        <v>White Athletic Lace-up Shoes (10)</v>
      </c>
      <c r="D52" s="63">
        <f>INDEX('Master List Import'!$A$2:$P$700, MATCH('Auto Menu'!$B52, 'Master List Import'!$M$2:$M$700), 16)</f>
        <v>40</v>
      </c>
      <c r="F52" s="6"/>
      <c r="G52" s="12">
        <v>1504</v>
      </c>
      <c r="H52" s="8" t="str">
        <f>INDEX('Master List Import'!$A$2:$P$700, MATCH('Auto Menu'!$G52, 'Master List Import'!$M$2:$M$700), 14)</f>
        <v>White Sports Bra (40-42)</v>
      </c>
      <c r="I52" s="63">
        <f>INDEX('Master List Import'!$A$2:$P$700, MATCH('Auto Menu'!$G52, 'Master List Import'!$M$2:$M$700), 16)</f>
        <v>9.4</v>
      </c>
      <c r="J52" s="16"/>
    </row>
    <row r="53" spans="1:14" ht="11.25" customHeight="1" x14ac:dyDescent="0.25">
      <c r="A53" s="6"/>
      <c r="B53" s="23">
        <v>1636</v>
      </c>
      <c r="C53" s="8" t="str">
        <f>INDEX('Master List Import'!$A$2:$P$700, MATCH('Auto Menu'!$B53, 'Master List Import'!$M$2:$M$700), 14)</f>
        <v>White Athletic Lace-up Shoes (11)</v>
      </c>
      <c r="D53" s="63">
        <f>INDEX('Master List Import'!$A$2:$P$700, MATCH('Auto Menu'!$B53, 'Master List Import'!$M$2:$M$700), 16)</f>
        <v>40</v>
      </c>
      <c r="F53" s="6"/>
      <c r="G53" s="12">
        <v>1506</v>
      </c>
      <c r="H53" s="8" t="str">
        <f>INDEX('Master List Import'!$A$2:$P$700, MATCH('Auto Menu'!$G53, 'Master List Import'!$M$2:$M$700), 14)</f>
        <v>White Sports Bra (44-46)</v>
      </c>
      <c r="I53" s="63">
        <f>INDEX('Master List Import'!$A$2:$P$700, MATCH('Auto Menu'!$G53, 'Master List Import'!$M$2:$M$700), 16)</f>
        <v>9.4</v>
      </c>
      <c r="J53" s="16"/>
    </row>
    <row r="54" spans="1:14" ht="11.25" customHeight="1" x14ac:dyDescent="0.25">
      <c r="A54" s="6"/>
      <c r="B54" s="23">
        <v>1638</v>
      </c>
      <c r="C54" s="8" t="str">
        <f>INDEX('Master List Import'!$A$2:$P$700, MATCH('Auto Menu'!$B54, 'Master List Import'!$M$2:$M$700), 14)</f>
        <v>White Athletic Lace-up Shoes (12)</v>
      </c>
      <c r="D54" s="63">
        <f>INDEX('Master List Import'!$A$2:$P$700, MATCH('Auto Menu'!$B54, 'Master List Import'!$M$2:$M$700), 16)</f>
        <v>40</v>
      </c>
      <c r="F54" s="6"/>
      <c r="G54" s="12">
        <v>1509</v>
      </c>
      <c r="H54" s="8" t="str">
        <f>INDEX('Master List Import'!$A$2:$P$700, MATCH('Auto Menu'!$G54, 'Master List Import'!$M$2:$M$700), 14)</f>
        <v>White Sports Bra (50)</v>
      </c>
      <c r="I54" s="63">
        <f>INDEX('Master List Import'!$A$2:$P$700, MATCH('Auto Menu'!$G54, 'Master List Import'!$M$2:$M$700), 16)</f>
        <v>10.5</v>
      </c>
      <c r="J54" s="16"/>
    </row>
    <row r="55" spans="1:14" ht="11.25" customHeight="1" x14ac:dyDescent="0.25">
      <c r="F55" s="1"/>
      <c r="G55" s="1"/>
      <c r="H55" s="1"/>
      <c r="I55" s="1"/>
      <c r="J55" s="16"/>
    </row>
    <row r="56" spans="1:14" ht="11.25" customHeight="1" x14ac:dyDescent="0.25">
      <c r="A56" s="69" t="s">
        <v>101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spans="1:14" s="5" customFormat="1" ht="11.25" customHeight="1" x14ac:dyDescent="0.25">
      <c r="A57" s="70" t="s">
        <v>102</v>
      </c>
      <c r="B57" s="70"/>
      <c r="C57" s="70"/>
      <c r="D57" s="70"/>
      <c r="E57" s="4"/>
      <c r="F57" s="70" t="s">
        <v>103</v>
      </c>
      <c r="G57" s="70"/>
      <c r="H57" s="70"/>
      <c r="I57" s="70"/>
      <c r="K57" s="70" t="s">
        <v>104</v>
      </c>
      <c r="L57" s="70"/>
      <c r="M57" s="70"/>
      <c r="N57" s="70"/>
    </row>
    <row r="58" spans="1:14" ht="11.25" customHeight="1" x14ac:dyDescent="0.25">
      <c r="A58" s="6"/>
      <c r="B58" s="7">
        <v>5600</v>
      </c>
      <c r="C58" s="8" t="str">
        <f>INDEX('Master List Import'!$A$2:$P$700, MATCH('Auto Menu'!$B58, 'Master List Import'!$M$2:$M$700), 14)</f>
        <v>Contact Lens Case</v>
      </c>
      <c r="D58" s="63">
        <f>INDEX('Master List Import'!$A$2:$P$700, MATCH('Auto Menu'!$B58, 'Master List Import'!$M$2:$M$700), 16)</f>
        <v>3.65</v>
      </c>
      <c r="F58" s="6"/>
      <c r="G58" s="7">
        <v>5700</v>
      </c>
      <c r="H58" s="8" t="str">
        <f>INDEX('Master List Import'!$A$2:$P$700, MATCH('Auto Menu'!$G58, 'Master List Import'!$M$2:$M$700), 14)</f>
        <v>Acetaminophen (2pk)</v>
      </c>
      <c r="I58" s="63">
        <f>INDEX('Master List Import'!$A$2:$P$700, MATCH('Auto Menu'!$G58, 'Master List Import'!$M$2:$M$700), 16)</f>
        <v>1</v>
      </c>
      <c r="J58" s="16"/>
      <c r="K58" s="6"/>
      <c r="L58" s="7">
        <v>5720</v>
      </c>
      <c r="M58" s="8" t="str">
        <f>INDEX('Master List Import'!$A$2:$P$700, MATCH('Auto Menu'!$L58, 'Master List Import'!$M$2:$M$700), 14)</f>
        <v>Rolaids</v>
      </c>
      <c r="N58" s="63">
        <f>INDEX('Master List Import'!$A$2:$P$700, MATCH('Auto Menu'!$L58, 'Master List Import'!$M$2:$M$700), 16)</f>
        <v>2.0499999999999998</v>
      </c>
    </row>
    <row r="59" spans="1:14" ht="11.25" customHeight="1" x14ac:dyDescent="0.25">
      <c r="A59" s="6"/>
      <c r="B59" s="12">
        <v>5610</v>
      </c>
      <c r="C59" s="8" t="str">
        <f>INDEX('Master List Import'!$A$2:$P$700, MATCH('Auto Menu'!$B59, 'Master List Import'!$M$2:$M$700), 14)</f>
        <v>Contact Lens Solution</v>
      </c>
      <c r="D59" s="63">
        <f>INDEX('Master List Import'!$A$2:$P$700, MATCH('Auto Menu'!$B59, 'Master List Import'!$M$2:$M$700), 16)</f>
        <v>5.5</v>
      </c>
      <c r="F59" s="6"/>
      <c r="G59" s="12">
        <v>5701</v>
      </c>
      <c r="H59" s="8" t="str">
        <f>INDEX('Master List Import'!$A$2:$P$700, MATCH('Auto Menu'!$G59, 'Master List Import'!$M$2:$M$700), 14)</f>
        <v>Ibuprofen (2pk)</v>
      </c>
      <c r="I59" s="63">
        <f>INDEX('Master List Import'!$A$2:$P$700, MATCH('Auto Menu'!$G59, 'Master List Import'!$M$2:$M$700), 16)</f>
        <v>0.7</v>
      </c>
      <c r="J59" s="16"/>
      <c r="K59" s="6"/>
      <c r="L59" s="12">
        <v>5730</v>
      </c>
      <c r="M59" s="8" t="str">
        <f>INDEX('Master List Import'!$A$2:$P$700, MATCH('Auto Menu'!$L59, 'Master List Import'!$M$2:$M$700), 14)</f>
        <v>Halls Menthol Cough Drops</v>
      </c>
      <c r="N59" s="63">
        <f>INDEX('Master List Import'!$A$2:$P$700, MATCH('Auto Menu'!$L59, 'Master List Import'!$M$2:$M$700), 16)</f>
        <v>2.25</v>
      </c>
    </row>
    <row r="60" spans="1:14" ht="11.25" customHeight="1" x14ac:dyDescent="0.25">
      <c r="A60" s="6"/>
      <c r="B60" s="12">
        <v>5620</v>
      </c>
      <c r="C60" s="8" t="str">
        <f>INDEX('Master List Import'!$A$2:$P$700, MATCH('Auto Menu'!$B60, 'Master List Import'!$M$2:$M$700), 14)</f>
        <v>Artificial Tears Eye Drops</v>
      </c>
      <c r="D60" s="63">
        <f>INDEX('Master List Import'!$A$2:$P$700, MATCH('Auto Menu'!$B60, 'Master List Import'!$M$2:$M$700), 16)</f>
        <v>3.2</v>
      </c>
      <c r="F60" s="6"/>
      <c r="G60" s="12">
        <v>5710</v>
      </c>
      <c r="H60" s="8" t="str">
        <f>INDEX('Master List Import'!$A$2:$P$700, MATCH('Auto Menu'!$G60, 'Master List Import'!$M$2:$M$700), 14)</f>
        <v>Alka Seltzer (2pk)</v>
      </c>
      <c r="I60" s="63">
        <f>INDEX('Master List Import'!$A$2:$P$700, MATCH('Auto Menu'!$G60, 'Master List Import'!$M$2:$M$700), 16)</f>
        <v>0.9</v>
      </c>
      <c r="J60" s="16"/>
      <c r="K60" s="6"/>
      <c r="L60" s="12">
        <v>5731</v>
      </c>
      <c r="M60" s="8" t="str">
        <f>INDEX('Master List Import'!$A$2:$P$700, MATCH('Auto Menu'!$L60, 'Master List Import'!$M$2:$M$700), 14)</f>
        <v>Halls Cherry Cough Drops</v>
      </c>
      <c r="N60" s="63">
        <f>INDEX('Master List Import'!$A$2:$P$700, MATCH('Auto Menu'!$L60, 'Master List Import'!$M$2:$M$700), 16)</f>
        <v>2.25</v>
      </c>
    </row>
    <row r="61" spans="1:14" ht="11.25" customHeight="1" x14ac:dyDescent="0.25">
      <c r="A61" s="6"/>
      <c r="B61" s="12">
        <v>5630</v>
      </c>
      <c r="C61" s="8" t="str">
        <f>INDEX('Master List Import'!$A$2:$P$700, MATCH('Auto Menu'!$B61, 'Master List Import'!$M$2:$M$700), 14)</f>
        <v>Reading Glasses (1.00)</v>
      </c>
      <c r="D61" s="63">
        <f>INDEX('Master List Import'!$A$2:$P$700, MATCH('Auto Menu'!$B61, 'Master List Import'!$M$2:$M$700), 16)</f>
        <v>8.6999999999999993</v>
      </c>
      <c r="F61" s="6"/>
      <c r="G61" s="12">
        <v>5711</v>
      </c>
      <c r="H61" s="8" t="str">
        <f>INDEX('Master List Import'!$A$2:$P$700, MATCH('Auto Menu'!$G61, 'Master List Import'!$M$2:$M$700), 14)</f>
        <v>Cold &amp; Sinus (2pk)</v>
      </c>
      <c r="I61" s="63">
        <f>INDEX('Master List Import'!$A$2:$P$700, MATCH('Auto Menu'!$G61, 'Master List Import'!$M$2:$M$700), 16)</f>
        <v>0.7</v>
      </c>
      <c r="J61" s="16"/>
      <c r="K61" s="6"/>
      <c r="L61" s="12">
        <v>5800</v>
      </c>
      <c r="M61" s="8" t="str">
        <f>INDEX('Master List Import'!$A$2:$P$700, MATCH('Auto Menu'!$L61, 'Master List Import'!$M$2:$M$700), 14)</f>
        <v>Multivitamins (100ct)</v>
      </c>
      <c r="N61" s="63">
        <f>INDEX('Master List Import'!$A$2:$P$700, MATCH('Auto Menu'!$L61, 'Master List Import'!$M$2:$M$700), 16)</f>
        <v>6</v>
      </c>
    </row>
    <row r="62" spans="1:14" ht="11.25" customHeight="1" x14ac:dyDescent="0.25">
      <c r="A62" s="6"/>
      <c r="B62" s="12">
        <v>5631</v>
      </c>
      <c r="C62" s="8" t="str">
        <f>INDEX('Master List Import'!$A$2:$P$700, MATCH('Auto Menu'!$B62, 'Master List Import'!$M$2:$M$700), 14)</f>
        <v>Reading Glasses (1.25)</v>
      </c>
      <c r="D62" s="63">
        <f>INDEX('Master List Import'!$A$2:$P$700, MATCH('Auto Menu'!$B62, 'Master List Import'!$M$2:$M$700), 16)</f>
        <v>8.6999999999999993</v>
      </c>
      <c r="F62" s="6"/>
      <c r="G62" s="12">
        <v>5712</v>
      </c>
      <c r="H62" s="8" t="str">
        <f>INDEX('Master List Import'!$A$2:$P$700, MATCH('Auto Menu'!$G62, 'Master List Import'!$M$2:$M$700), 14)</f>
        <v>Diphen Allergy Relief (2pk)</v>
      </c>
      <c r="I62" s="63">
        <f>INDEX('Master List Import'!$A$2:$P$700, MATCH('Auto Menu'!$G62, 'Master List Import'!$M$2:$M$700), 16)</f>
        <v>0.7</v>
      </c>
      <c r="J62" s="16"/>
      <c r="K62" s="20"/>
      <c r="L62" s="13"/>
      <c r="M62" s="13"/>
      <c r="N62" s="15"/>
    </row>
    <row r="63" spans="1:14" ht="11.25" customHeight="1" x14ac:dyDescent="0.25">
      <c r="A63" s="6"/>
      <c r="B63" s="12">
        <v>5632</v>
      </c>
      <c r="C63" s="8" t="str">
        <f>INDEX('Master List Import'!$A$2:$P$700, MATCH('Auto Menu'!$B63, 'Master List Import'!$M$2:$M$700), 14)</f>
        <v>Reading Glasses (1.50)</v>
      </c>
      <c r="D63" s="63">
        <f>INDEX('Master List Import'!$A$2:$P$700, MATCH('Auto Menu'!$B63, 'Master List Import'!$M$2:$M$700), 16)</f>
        <v>8.6999999999999993</v>
      </c>
      <c r="F63" s="16"/>
      <c r="G63" s="16"/>
      <c r="H63" s="16"/>
      <c r="I63" s="16"/>
      <c r="J63" s="16"/>
      <c r="K63" s="20"/>
      <c r="L63" s="13"/>
      <c r="M63" s="13"/>
      <c r="N63" s="15"/>
    </row>
    <row r="64" spans="1:14" ht="11.25" customHeight="1" x14ac:dyDescent="0.25">
      <c r="A64" s="6"/>
      <c r="B64" s="12">
        <v>5633</v>
      </c>
      <c r="C64" s="8" t="str">
        <f>INDEX('Master List Import'!$A$2:$P$700, MATCH('Auto Menu'!$B64, 'Master List Import'!$M$2:$M$700), 14)</f>
        <v>Reading Glasses (1.75)</v>
      </c>
      <c r="D64" s="63">
        <f>INDEX('Master List Import'!$A$2:$P$700, MATCH('Auto Menu'!$B64, 'Master List Import'!$M$2:$M$700), 16)</f>
        <v>8.6999999999999993</v>
      </c>
      <c r="F64" s="16"/>
      <c r="G64" s="16"/>
      <c r="H64" s="16"/>
      <c r="I64" s="16"/>
      <c r="J64" s="16"/>
      <c r="K64" s="20"/>
      <c r="L64" s="13"/>
      <c r="M64" s="13"/>
      <c r="N64" s="15"/>
    </row>
    <row r="65" spans="1:14" ht="11.25" customHeight="1" x14ac:dyDescent="0.25">
      <c r="A65" s="6"/>
      <c r="B65" s="7">
        <v>5634</v>
      </c>
      <c r="C65" s="8" t="str">
        <f>INDEX('Master List Import'!$A$2:$P$700, MATCH('Auto Menu'!$B65, 'Master List Import'!$M$2:$M$700), 14)</f>
        <v>Reading Glasses (2.00)</v>
      </c>
      <c r="D65" s="63">
        <f>INDEX('Master List Import'!$A$2:$P$700, MATCH('Auto Menu'!$B65, 'Master List Import'!$M$2:$M$700), 16)</f>
        <v>8.6999999999999993</v>
      </c>
      <c r="F65" s="16"/>
      <c r="G65" s="16"/>
      <c r="H65" s="16"/>
      <c r="I65" s="16"/>
      <c r="J65" s="16"/>
      <c r="K65" s="20"/>
      <c r="L65" s="13"/>
      <c r="M65" s="13"/>
      <c r="N65" s="15"/>
    </row>
    <row r="66" spans="1:14" ht="11.25" customHeight="1" x14ac:dyDescent="0.25">
      <c r="A66" s="6"/>
      <c r="B66" s="12">
        <v>5635</v>
      </c>
      <c r="C66" s="8" t="str">
        <f>INDEX('Master List Import'!$A$2:$P$700, MATCH('Auto Menu'!$B66, 'Master List Import'!$M$2:$M$700), 14)</f>
        <v>Reading Glasses (2.25)</v>
      </c>
      <c r="D66" s="63">
        <f>INDEX('Master List Import'!$A$2:$P$700, MATCH('Auto Menu'!$B66, 'Master List Import'!$M$2:$M$700), 16)</f>
        <v>8.6999999999999993</v>
      </c>
      <c r="F66" s="16"/>
      <c r="G66" s="16"/>
      <c r="H66" s="16"/>
      <c r="I66" s="16"/>
      <c r="J66" s="16"/>
      <c r="K66" s="20"/>
      <c r="L66" s="13"/>
      <c r="M66" s="13"/>
      <c r="N66" s="15"/>
    </row>
    <row r="67" spans="1:14" ht="11.25" customHeight="1" x14ac:dyDescent="0.25">
      <c r="A67" s="6"/>
      <c r="B67" s="12">
        <v>5636</v>
      </c>
      <c r="C67" s="8" t="str">
        <f>INDEX('Master List Import'!$A$2:$P$700, MATCH('Auto Menu'!$B67, 'Master List Import'!$M$2:$M$700), 14)</f>
        <v>Reading Glasses (2.50)</v>
      </c>
      <c r="D67" s="63">
        <f>INDEX('Master List Import'!$A$2:$P$700, MATCH('Auto Menu'!$B67, 'Master List Import'!$M$2:$M$700), 16)</f>
        <v>8.6999999999999993</v>
      </c>
      <c r="F67" s="16"/>
      <c r="G67" s="16"/>
      <c r="H67" s="16"/>
      <c r="I67" s="16"/>
      <c r="J67" s="16"/>
      <c r="K67" s="20"/>
      <c r="L67" s="13"/>
      <c r="M67" s="13"/>
      <c r="N67" s="15"/>
    </row>
    <row r="68" spans="1:14" ht="11.25" customHeight="1" x14ac:dyDescent="0.25">
      <c r="A68" s="6"/>
      <c r="B68" s="12">
        <v>5637</v>
      </c>
      <c r="C68" s="8" t="str">
        <f>INDEX('Master List Import'!$A$2:$P$700, MATCH('Auto Menu'!$B68, 'Master List Import'!$M$2:$M$700), 14)</f>
        <v>Reading Glasses (2.75)</v>
      </c>
      <c r="D68" s="63">
        <f>INDEX('Master List Import'!$A$2:$P$700, MATCH('Auto Menu'!$B68, 'Master List Import'!$M$2:$M$700), 16)</f>
        <v>8.6999999999999993</v>
      </c>
      <c r="F68" s="16"/>
      <c r="G68" s="16"/>
      <c r="H68" s="16"/>
      <c r="I68" s="16"/>
      <c r="J68" s="16"/>
      <c r="K68" s="20"/>
      <c r="L68" s="13"/>
      <c r="M68" s="13"/>
      <c r="N68" s="15"/>
    </row>
    <row r="69" spans="1:14" ht="11.25" customHeight="1" x14ac:dyDescent="0.25">
      <c r="A69" s="6"/>
      <c r="B69" s="12">
        <v>5638</v>
      </c>
      <c r="C69" s="8" t="str">
        <f>INDEX('Master List Import'!$A$2:$P$700, MATCH('Auto Menu'!$B69, 'Master List Import'!$M$2:$M$700), 14)</f>
        <v>Reading Glasses (3.00)</v>
      </c>
      <c r="D69" s="63">
        <f>INDEX('Master List Import'!$A$2:$P$700, MATCH('Auto Menu'!$B69, 'Master List Import'!$M$2:$M$700), 16)</f>
        <v>8.6999999999999993</v>
      </c>
      <c r="F69" s="16"/>
      <c r="G69" s="16"/>
      <c r="H69" s="16"/>
      <c r="I69" s="16"/>
      <c r="J69" s="16"/>
      <c r="K69" s="20"/>
      <c r="L69" s="13"/>
      <c r="M69" s="13"/>
      <c r="N69" s="15"/>
    </row>
    <row r="70" spans="1:14" ht="11.25" customHeight="1" x14ac:dyDescent="0.25">
      <c r="A70" s="6"/>
      <c r="B70" s="12">
        <v>5639</v>
      </c>
      <c r="C70" s="8" t="str">
        <f>INDEX('Master List Import'!$A$2:$P$700, MATCH('Auto Menu'!$B70, 'Master List Import'!$M$2:$M$700), 14)</f>
        <v>Reading Glasses (3.25)</v>
      </c>
      <c r="D70" s="63">
        <f>INDEX('Master List Import'!$A$2:$P$700, MATCH('Auto Menu'!$B70, 'Master List Import'!$M$2:$M$700), 16)</f>
        <v>8.6999999999999993</v>
      </c>
      <c r="E70" s="10"/>
      <c r="F70" s="1"/>
      <c r="G70" s="1"/>
      <c r="H70" s="1"/>
      <c r="I70" s="1"/>
      <c r="J70" s="16"/>
      <c r="K70" s="20"/>
      <c r="L70" s="13"/>
      <c r="M70" s="13"/>
      <c r="N70" s="15"/>
    </row>
    <row r="71" spans="1:14" ht="11.25" customHeight="1" x14ac:dyDescent="0.25">
      <c r="A71" s="6"/>
      <c r="B71" s="12">
        <v>5640</v>
      </c>
      <c r="C71" s="8" t="str">
        <f>INDEX('Master List Import'!$A$2:$P$700, MATCH('Auto Menu'!$B71, 'Master List Import'!$M$2:$M$700), 14)</f>
        <v>Reading Glasses (3.50)</v>
      </c>
      <c r="D71" s="63">
        <f>INDEX('Master List Import'!$A$2:$P$700, MATCH('Auto Menu'!$B71, 'Master List Import'!$M$2:$M$700), 16)</f>
        <v>8.6999999999999993</v>
      </c>
      <c r="E71" s="10"/>
      <c r="F71" s="1"/>
      <c r="G71" s="1"/>
      <c r="H71" s="1"/>
      <c r="I71" s="1"/>
      <c r="J71" s="16"/>
      <c r="K71" s="20"/>
      <c r="L71" s="13"/>
      <c r="M71" s="13"/>
      <c r="N71" s="15"/>
    </row>
    <row r="72" spans="1:14" ht="11.25" customHeight="1" x14ac:dyDescent="0.25">
      <c r="E72" s="10"/>
      <c r="F72" s="1"/>
      <c r="G72" s="1"/>
      <c r="H72" s="1"/>
      <c r="I72" s="1"/>
      <c r="J72" s="16"/>
      <c r="K72" s="20"/>
      <c r="L72" s="13"/>
      <c r="M72" s="13"/>
      <c r="N72" s="15"/>
    </row>
    <row r="73" spans="1:14" ht="11.25" customHeight="1" x14ac:dyDescent="0.25">
      <c r="E73" s="10"/>
      <c r="F73" s="1"/>
      <c r="G73" s="1"/>
      <c r="H73" s="1"/>
      <c r="I73" s="1"/>
      <c r="J73" s="16"/>
      <c r="K73" s="20"/>
      <c r="L73" s="13"/>
      <c r="M73" s="13"/>
      <c r="N73" s="15"/>
    </row>
    <row r="74" spans="1:14" ht="11.25" customHeight="1" x14ac:dyDescent="0.25">
      <c r="E74" s="10"/>
      <c r="F74" s="1"/>
      <c r="G74" s="1"/>
      <c r="H74" s="1"/>
      <c r="I74" s="1"/>
      <c r="J74" s="16"/>
      <c r="K74" s="20"/>
      <c r="L74" s="13"/>
      <c r="M74" s="13"/>
      <c r="N74" s="15"/>
    </row>
    <row r="75" spans="1:14" ht="11.25" customHeight="1" x14ac:dyDescent="0.25">
      <c r="E75" s="10"/>
      <c r="F75" s="1"/>
      <c r="G75" s="1"/>
      <c r="H75" s="1"/>
      <c r="I75" s="1"/>
      <c r="J75" s="16"/>
      <c r="K75" s="20"/>
      <c r="L75" s="13"/>
      <c r="M75" s="13"/>
      <c r="N75" s="15"/>
    </row>
    <row r="76" spans="1:14" ht="11.25" customHeight="1" x14ac:dyDescent="0.25">
      <c r="E76" s="10"/>
      <c r="F76" s="1"/>
      <c r="G76" s="1"/>
      <c r="H76" s="1"/>
      <c r="I76" s="1"/>
      <c r="J76" s="16"/>
      <c r="K76" s="20"/>
      <c r="L76" s="13"/>
      <c r="M76" s="13"/>
      <c r="N76" s="15"/>
    </row>
    <row r="77" spans="1:14" ht="11.25" customHeight="1" x14ac:dyDescent="0.25">
      <c r="E77" s="10"/>
      <c r="F77" s="1"/>
      <c r="G77" s="1"/>
      <c r="H77" s="1"/>
      <c r="I77" s="1"/>
      <c r="J77" s="16"/>
      <c r="K77" s="20"/>
      <c r="L77" s="13"/>
      <c r="M77" s="13"/>
      <c r="N77" s="15"/>
    </row>
    <row r="78" spans="1:14" ht="11.25" customHeight="1" x14ac:dyDescent="0.25">
      <c r="E78" s="10"/>
      <c r="F78" s="1"/>
      <c r="G78" s="1"/>
      <c r="H78" s="1"/>
      <c r="I78" s="1"/>
      <c r="J78" s="16"/>
      <c r="K78" s="20"/>
      <c r="L78" s="13"/>
      <c r="M78" s="13"/>
      <c r="N78" s="15"/>
    </row>
    <row r="79" spans="1:14" ht="11.25" customHeight="1" x14ac:dyDescent="0.25">
      <c r="E79" s="10"/>
      <c r="F79" s="1"/>
      <c r="G79" s="1"/>
      <c r="H79" s="1"/>
      <c r="I79" s="1"/>
      <c r="J79" s="16"/>
      <c r="K79" s="20"/>
      <c r="L79" s="13"/>
      <c r="M79" s="13"/>
      <c r="N79" s="15"/>
    </row>
    <row r="80" spans="1:14" ht="12" customHeight="1" x14ac:dyDescent="0.25">
      <c r="E80" s="10"/>
      <c r="F80" s="1"/>
      <c r="G80" s="1"/>
      <c r="H80" s="1"/>
      <c r="I80" s="1"/>
      <c r="J80" s="16"/>
      <c r="K80" s="20"/>
      <c r="L80" s="13"/>
      <c r="M80" s="13"/>
      <c r="N80" s="15"/>
    </row>
    <row r="81" spans="1:14" ht="11.25" customHeight="1" x14ac:dyDescent="0.25">
      <c r="A81" s="69" t="s">
        <v>127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</row>
    <row r="82" spans="1:14" ht="11.25" customHeight="1" x14ac:dyDescent="0.25">
      <c r="A82" s="70" t="s">
        <v>128</v>
      </c>
      <c r="B82" s="70"/>
      <c r="C82" s="70"/>
      <c r="D82" s="70"/>
      <c r="E82" s="25"/>
      <c r="F82" s="70" t="s">
        <v>129</v>
      </c>
      <c r="G82" s="70"/>
      <c r="H82" s="70"/>
      <c r="I82" s="70"/>
      <c r="J82" s="11"/>
      <c r="K82" s="70" t="s">
        <v>130</v>
      </c>
      <c r="L82" s="70"/>
      <c r="M82" s="70"/>
      <c r="N82" s="70"/>
    </row>
    <row r="83" spans="1:14" ht="11.25" customHeight="1" x14ac:dyDescent="0.25">
      <c r="A83" s="6"/>
      <c r="B83" s="7">
        <v>4100</v>
      </c>
      <c r="C83" s="8" t="str">
        <f>INDEX('Master List Import'!$A$2:$P$700, MATCH('Auto Menu'!$B83, 'Master List Import'!$M$2:$M$700), 14)</f>
        <v>Dalan Bar Soap</v>
      </c>
      <c r="D83" s="63">
        <f>INDEX('Master List Import'!$A$2:$P$700, MATCH('Auto Menu'!$B83, 'Master List Import'!$M$2:$M$700), 16)</f>
        <v>1.65</v>
      </c>
      <c r="E83" s="10"/>
      <c r="F83" s="6"/>
      <c r="G83" s="7">
        <v>5100</v>
      </c>
      <c r="H83" s="8" t="str">
        <f>INDEX('Master List Import'!$A$2:$P$700, MATCH('Auto Menu'!$G83, 'Master List Import'!$M$2:$M$700), 14)</f>
        <v>Pocket Comb (5")</v>
      </c>
      <c r="I83" s="63">
        <f>INDEX('Master List Import'!$A$2:$P$700, MATCH('Auto Menu'!$G83, 'Master List Import'!$M$2:$M$700), 16)</f>
        <v>0.25</v>
      </c>
      <c r="J83" s="11"/>
      <c r="K83" s="26"/>
      <c r="L83" s="7">
        <v>1850</v>
      </c>
      <c r="M83" s="8" t="str">
        <f>INDEX('Master List Import'!$A$2:$P$700, MATCH('Auto Menu'!$L83, 'Master List Import'!$M$2:$M$700), 14)</f>
        <v>Mesh Bath Pouf</v>
      </c>
      <c r="N83" s="63">
        <f>INDEX('Master List Import'!$A$2:$P$700, MATCH('Auto Menu'!$L83, 'Master List Import'!$M$2:$M$700), 16)</f>
        <v>2.75</v>
      </c>
    </row>
    <row r="84" spans="1:14" ht="11.25" customHeight="1" x14ac:dyDescent="0.25">
      <c r="A84" s="27"/>
      <c r="B84" s="12">
        <v>4101</v>
      </c>
      <c r="C84" s="8" t="str">
        <f>INDEX('Master List Import'!$A$2:$P$700, MATCH('Auto Menu'!$B84, 'Master List Import'!$M$2:$M$700), 14)</f>
        <v>Jergens Bar Soap</v>
      </c>
      <c r="D84" s="63">
        <f>INDEX('Master List Import'!$A$2:$P$700, MATCH('Auto Menu'!$B84, 'Master List Import'!$M$2:$M$700), 16)</f>
        <v>1.8</v>
      </c>
      <c r="E84" s="10"/>
      <c r="F84" s="27"/>
      <c r="G84" s="12">
        <v>5101</v>
      </c>
      <c r="H84" s="8" t="str">
        <f>INDEX('Master List Import'!$A$2:$P$700, MATCH('Auto Menu'!$G84, 'Master List Import'!$M$2:$M$700), 14)</f>
        <v>Large Comb (8")</v>
      </c>
      <c r="I84" s="63">
        <f>INDEX('Master List Import'!$A$2:$P$700, MATCH('Auto Menu'!$G84, 'Master List Import'!$M$2:$M$700), 16)</f>
        <v>0.5</v>
      </c>
      <c r="J84" s="11"/>
      <c r="K84" s="26"/>
      <c r="L84" s="7">
        <v>4300</v>
      </c>
      <c r="M84" s="8" t="str">
        <f>INDEX('Master List Import'!$A$2:$P$700, MATCH('Auto Menu'!$L84, 'Master List Import'!$M$2:$M$700), 14)</f>
        <v>Shaving Cream</v>
      </c>
      <c r="N84" s="63">
        <f>INDEX('Master List Import'!$A$2:$P$700, MATCH('Auto Menu'!$L84, 'Master List Import'!$M$2:$M$700), 16)</f>
        <v>1.85</v>
      </c>
    </row>
    <row r="85" spans="1:14" ht="11.25" customHeight="1" x14ac:dyDescent="0.25">
      <c r="A85" s="27"/>
      <c r="B85" s="12">
        <v>4102</v>
      </c>
      <c r="C85" s="8" t="str">
        <f>INDEX('Master List Import'!$A$2:$P$700, MATCH('Auto Menu'!$B85, 'Master List Import'!$M$2:$M$700), 14)</f>
        <v>Irish Spring Bar Soap</v>
      </c>
      <c r="D85" s="63">
        <f>INDEX('Master List Import'!$A$2:$P$700, MATCH('Auto Menu'!$B85, 'Master List Import'!$M$2:$M$700), 16)</f>
        <v>2</v>
      </c>
      <c r="E85" s="10"/>
      <c r="F85" s="27"/>
      <c r="G85" s="12">
        <v>5110</v>
      </c>
      <c r="H85" s="8" t="str">
        <f>INDEX('Master List Import'!$A$2:$P$700, MATCH('Auto Menu'!$G85, 'Master List Import'!$M$2:$M$700), 14)</f>
        <v>Palm Brush</v>
      </c>
      <c r="I85" s="63">
        <f>INDEX('Master List Import'!$A$2:$P$700, MATCH('Auto Menu'!$G85, 'Master List Import'!$M$2:$M$700), 16)</f>
        <v>2.65</v>
      </c>
      <c r="J85" s="11"/>
      <c r="K85" s="26"/>
      <c r="L85" s="12">
        <v>4301</v>
      </c>
      <c r="M85" s="8" t="str">
        <f>INDEX('Master List Import'!$A$2:$P$700, MATCH('Auto Menu'!$L85, 'Master List Import'!$M$2:$M$700), 14)</f>
        <v>Magic Shave Cream</v>
      </c>
      <c r="N85" s="63">
        <f>INDEX('Master List Import'!$A$2:$P$700, MATCH('Auto Menu'!$L85, 'Master List Import'!$M$2:$M$700), 16)</f>
        <v>9</v>
      </c>
    </row>
    <row r="86" spans="1:14" ht="11.25" customHeight="1" x14ac:dyDescent="0.25">
      <c r="A86" s="27"/>
      <c r="B86" s="12">
        <v>4103</v>
      </c>
      <c r="C86" s="8" t="str">
        <f>INDEX('Master List Import'!$A$2:$P$700, MATCH('Auto Menu'!$B86, 'Master List Import'!$M$2:$M$700), 14)</f>
        <v>Freshscent Bar Soap</v>
      </c>
      <c r="D86" s="63">
        <f>INDEX('Master List Import'!$A$2:$P$700, MATCH('Auto Menu'!$B86, 'Master List Import'!$M$2:$M$700), 16)</f>
        <v>1.25</v>
      </c>
      <c r="E86" s="10"/>
      <c r="F86" s="27"/>
      <c r="G86" s="12">
        <v>5120</v>
      </c>
      <c r="H86" s="8" t="str">
        <f>INDEX('Master List Import'!$A$2:$P$700, MATCH('Auto Menu'!$G86, 'Master List Import'!$M$2:$M$700), 14)</f>
        <v>Ponytail Holders (18pk)</v>
      </c>
      <c r="I86" s="63">
        <f>INDEX('Master List Import'!$A$2:$P$700, MATCH('Auto Menu'!$G86, 'Master List Import'!$M$2:$M$700), 16)</f>
        <v>2.8</v>
      </c>
      <c r="J86" s="11"/>
      <c r="K86" s="26"/>
      <c r="L86" s="12">
        <v>4310</v>
      </c>
      <c r="M86" s="8" t="str">
        <f>INDEX('Master List Import'!$A$2:$P$700, MATCH('Auto Menu'!$L86, 'Master List Import'!$M$2:$M$700), 14)</f>
        <v>After Shave Lotion</v>
      </c>
      <c r="N86" s="63">
        <f>INDEX('Master List Import'!$A$2:$P$700, MATCH('Auto Menu'!$L86, 'Master List Import'!$M$2:$M$700), 16)</f>
        <v>1.85</v>
      </c>
    </row>
    <row r="87" spans="1:14" ht="11.25" customHeight="1" x14ac:dyDescent="0.25">
      <c r="A87" s="27"/>
      <c r="B87" s="12">
        <v>4104</v>
      </c>
      <c r="C87" s="8" t="str">
        <f>INDEX('Master List Import'!$A$2:$P$700, MATCH('Auto Menu'!$B87, 'Master List Import'!$M$2:$M$700), 14)</f>
        <v>Dial Gold Soap</v>
      </c>
      <c r="D87" s="63">
        <f>INDEX('Master List Import'!$A$2:$P$700, MATCH('Auto Menu'!$B87, 'Master List Import'!$M$2:$M$700), 16)</f>
        <v>2.4</v>
      </c>
      <c r="E87" s="10"/>
      <c r="F87" s="27"/>
      <c r="G87" s="12">
        <v>5121</v>
      </c>
      <c r="H87" s="8" t="str">
        <f>INDEX('Master List Import'!$A$2:$P$700, MATCH('Auto Menu'!$G87, 'Master List Import'!$M$2:$M$700), 14)</f>
        <v>Hair Scrunchy</v>
      </c>
      <c r="I87" s="63">
        <f>INDEX('Master List Import'!$A$2:$P$700, MATCH('Auto Menu'!$G87, 'Master List Import'!$M$2:$M$700), 16)</f>
        <v>2.25</v>
      </c>
      <c r="J87" s="11"/>
      <c r="K87" s="26"/>
      <c r="L87" s="12">
        <v>5400</v>
      </c>
      <c r="M87" s="8" t="str">
        <f>INDEX('Master List Import'!$A$2:$P$700, MATCH('Auto Menu'!$L87, 'Master List Import'!$M$2:$M$700), 14)</f>
        <v>Petroleum Jelly</v>
      </c>
      <c r="N87" s="63">
        <f>INDEX('Master List Import'!$A$2:$P$700, MATCH('Auto Menu'!$L87, 'Master List Import'!$M$2:$M$700), 16)</f>
        <v>2.1</v>
      </c>
    </row>
    <row r="88" spans="1:14" ht="11.25" customHeight="1" x14ac:dyDescent="0.25">
      <c r="A88" s="27"/>
      <c r="B88" s="12">
        <v>4108</v>
      </c>
      <c r="C88" s="8" t="str">
        <f>INDEX('Master List Import'!$A$2:$P$700, MATCH('Auto Menu'!$B88, 'Master List Import'!$M$2:$M$700), 14)</f>
        <v>Ambi Cocoa Butter Soap</v>
      </c>
      <c r="D88" s="63">
        <f>INDEX('Master List Import'!$A$2:$P$700, MATCH('Auto Menu'!$B88, 'Master List Import'!$M$2:$M$700), 16)</f>
        <v>5.6</v>
      </c>
      <c r="E88" s="10"/>
      <c r="F88" s="27"/>
      <c r="G88" s="12">
        <v>5130</v>
      </c>
      <c r="H88" s="8" t="str">
        <f>INDEX('Master List Import'!$A$2:$P$700, MATCH('Auto Menu'!$G88, 'Master List Import'!$M$2:$M$700), 14)</f>
        <v>Durag</v>
      </c>
      <c r="I88" s="63">
        <f>INDEX('Master List Import'!$A$2:$P$700, MATCH('Auto Menu'!$G88, 'Master List Import'!$M$2:$M$700), 16)</f>
        <v>5</v>
      </c>
      <c r="J88" s="11"/>
      <c r="K88" s="26"/>
      <c r="L88" s="12">
        <v>5410</v>
      </c>
      <c r="M88" s="8" t="str">
        <f>INDEX('Master List Import'!$A$2:$P$700, MATCH('Auto Menu'!$L88, 'Master List Import'!$M$2:$M$700), 14)</f>
        <v>Baby Oil</v>
      </c>
      <c r="N88" s="63">
        <f>INDEX('Master List Import'!$A$2:$P$700, MATCH('Auto Menu'!$L88, 'Master List Import'!$M$2:$M$700), 16)</f>
        <v>1.9</v>
      </c>
    </row>
    <row r="89" spans="1:14" ht="11.25" customHeight="1" x14ac:dyDescent="0.25">
      <c r="A89" s="27"/>
      <c r="B89" s="12">
        <v>4150</v>
      </c>
      <c r="C89" s="8" t="str">
        <f>INDEX('Master List Import'!$A$2:$P$700, MATCH('Auto Menu'!$B89, 'Master List Import'!$M$2:$M$700), 14)</f>
        <v>Soap Dish</v>
      </c>
      <c r="D89" s="63">
        <f>INDEX('Master List Import'!$A$2:$P$700, MATCH('Auto Menu'!$B89, 'Master List Import'!$M$2:$M$700), 16)</f>
        <v>0.75</v>
      </c>
      <c r="E89" s="10"/>
      <c r="F89" s="27"/>
      <c r="G89" s="12">
        <v>5200</v>
      </c>
      <c r="H89" s="8" t="str">
        <f>INDEX('Master List Import'!$A$2:$P$700, MATCH('Auto Menu'!$G89, 'Master List Import'!$M$2:$M$700), 14)</f>
        <v>Murray's Hair Pomade</v>
      </c>
      <c r="I89" s="63">
        <f>INDEX('Master List Import'!$A$2:$P$700, MATCH('Auto Menu'!$G89, 'Master List Import'!$M$2:$M$700), 16)</f>
        <v>6</v>
      </c>
      <c r="J89" s="11"/>
      <c r="K89" s="26"/>
      <c r="L89" s="12">
        <v>5420</v>
      </c>
      <c r="M89" s="8" t="str">
        <f>INDEX('Master List Import'!$A$2:$P$700, MATCH('Auto Menu'!$L89, 'Master List Import'!$M$2:$M$700), 14)</f>
        <v>Cocoa Butter Skin Lotion</v>
      </c>
      <c r="N89" s="63">
        <f>INDEX('Master List Import'!$A$2:$P$700, MATCH('Auto Menu'!$L89, 'Master List Import'!$M$2:$M$700), 16)</f>
        <v>3.05</v>
      </c>
    </row>
    <row r="90" spans="1:14" ht="11.25" customHeight="1" x14ac:dyDescent="0.25">
      <c r="A90" s="11"/>
      <c r="B90" s="28"/>
      <c r="C90" s="11"/>
      <c r="D90" s="29"/>
      <c r="E90" s="10"/>
      <c r="F90" s="27"/>
      <c r="G90" s="12">
        <v>5201</v>
      </c>
      <c r="H90" s="8" t="str">
        <f>INDEX('Master List Import'!$A$2:$P$700, MATCH('Auto Menu'!$G90, 'Master List Import'!$M$2:$M$700), 14)</f>
        <v>Royal Crown Hair Dressing</v>
      </c>
      <c r="I90" s="63">
        <f>INDEX('Master List Import'!$A$2:$P$700, MATCH('Auto Menu'!$G90, 'Master List Import'!$M$2:$M$700), 16)</f>
        <v>4.55</v>
      </c>
      <c r="J90" s="11"/>
      <c r="K90" s="26"/>
      <c r="L90" s="12">
        <v>5421</v>
      </c>
      <c r="M90" s="8" t="str">
        <f>INDEX('Master List Import'!$A$2:$P$700, MATCH('Auto Menu'!$L90, 'Master List Import'!$M$2:$M$700), 14)</f>
        <v>Vitamin E Skin Lotion</v>
      </c>
      <c r="N90" s="63">
        <f>INDEX('Master List Import'!$A$2:$P$700, MATCH('Auto Menu'!$L90, 'Master List Import'!$M$2:$M$700), 16)</f>
        <v>3.05</v>
      </c>
    </row>
    <row r="91" spans="1:14" ht="11.25" customHeight="1" x14ac:dyDescent="0.25">
      <c r="A91" s="70" t="s">
        <v>150</v>
      </c>
      <c r="B91" s="70"/>
      <c r="C91" s="70"/>
      <c r="D91" s="70"/>
      <c r="E91" s="10"/>
      <c r="F91" s="27"/>
      <c r="G91" s="12">
        <v>5202</v>
      </c>
      <c r="H91" s="8" t="str">
        <f>INDEX('Master List Import'!$A$2:$P$700, MATCH('Auto Menu'!$G91, 'Master List Import'!$M$2:$M$700), 14)</f>
        <v>DEP Styling Gel</v>
      </c>
      <c r="I91" s="63">
        <f>INDEX('Master List Import'!$A$2:$P$700, MATCH('Auto Menu'!$G91, 'Master List Import'!$M$2:$M$700), 16)</f>
        <v>2.5</v>
      </c>
      <c r="J91" s="11"/>
      <c r="K91" s="26"/>
      <c r="L91" s="12">
        <v>5422</v>
      </c>
      <c r="M91" s="8" t="str">
        <f>INDEX('Master List Import'!$A$2:$P$700, MATCH('Auto Menu'!$L91, 'Master List Import'!$M$2:$M$700), 14)</f>
        <v>Aloe Vera Skin Lotion</v>
      </c>
      <c r="N91" s="63">
        <f>INDEX('Master List Import'!$A$2:$P$700, MATCH('Auto Menu'!$L91, 'Master List Import'!$M$2:$M$700), 16)</f>
        <v>3.05</v>
      </c>
    </row>
    <row r="92" spans="1:14" ht="11.25" customHeight="1" x14ac:dyDescent="0.25">
      <c r="A92" s="6"/>
      <c r="B92" s="7">
        <v>4200</v>
      </c>
      <c r="C92" s="8" t="str">
        <f>INDEX('Master List Import'!$A$2:$P$700, MATCH('Auto Menu'!$B92, 'Master List Import'!$M$2:$M$700), 14)</f>
        <v>Dial Roll-On Deodorant</v>
      </c>
      <c r="D92" s="63">
        <f>INDEX('Master List Import'!$A$2:$P$700, MATCH('Auto Menu'!$B92, 'Master List Import'!$M$2:$M$700), 16)</f>
        <v>2.8</v>
      </c>
      <c r="E92" s="10"/>
      <c r="F92" s="27"/>
      <c r="G92" s="12">
        <v>5210</v>
      </c>
      <c r="H92" s="8" t="str">
        <f>INDEX('Master List Import'!$A$2:$P$700, MATCH('Auto Menu'!$G92, 'Master List Import'!$M$2:$M$700), 14)</f>
        <v>Dark &amp; Lovely Relaxer</v>
      </c>
      <c r="I92" s="63">
        <f>INDEX('Master List Import'!$A$2:$P$700, MATCH('Auto Menu'!$G92, 'Master List Import'!$M$2:$M$700), 16)</f>
        <v>19</v>
      </c>
      <c r="J92" s="11"/>
      <c r="K92" s="26"/>
      <c r="L92" s="12">
        <v>5423</v>
      </c>
      <c r="M92" s="8" t="str">
        <f>INDEX('Master List Import'!$A$2:$P$700, MATCH('Auto Menu'!$L92, 'Master List Import'!$M$2:$M$700), 14)</f>
        <v>Sunscreen (SPF 30)</v>
      </c>
      <c r="N92" s="63">
        <f>INDEX('Master List Import'!$A$2:$P$700, MATCH('Auto Menu'!$L92, 'Master List Import'!$M$2:$M$700), 16)</f>
        <v>8</v>
      </c>
    </row>
    <row r="93" spans="1:14" ht="11.25" customHeight="1" x14ac:dyDescent="0.25">
      <c r="A93" s="6"/>
      <c r="B93" s="7">
        <v>4201</v>
      </c>
      <c r="C93" s="8" t="str">
        <f>INDEX('Master List Import'!$A$2:$P$700, MATCH('Auto Menu'!$B93, 'Master List Import'!$M$2:$M$700), 14)</f>
        <v>Freshscent Roll-On Deodorant</v>
      </c>
      <c r="D93" s="63">
        <f>INDEX('Master List Import'!$A$2:$P$700, MATCH('Auto Menu'!$B93, 'Master List Import'!$M$2:$M$700), 16)</f>
        <v>1.1499999999999999</v>
      </c>
      <c r="E93" s="10"/>
      <c r="F93" s="27"/>
      <c r="G93" s="12">
        <v>5211</v>
      </c>
      <c r="H93" s="8" t="str">
        <f>INDEX('Master List Import'!$A$2:$P$700, MATCH('Auto Menu'!$G93, 'Master List Import'!$M$2:$M$700), 14)</f>
        <v>Lusti Hair Food</v>
      </c>
      <c r="I93" s="63">
        <f>INDEX('Master List Import'!$A$2:$P$700, MATCH('Auto Menu'!$G93, 'Master List Import'!$M$2:$M$700), 16)</f>
        <v>2.5</v>
      </c>
      <c r="J93" s="11"/>
      <c r="K93" s="26"/>
      <c r="L93" s="12">
        <v>5424</v>
      </c>
      <c r="M93" s="8" t="str">
        <f>INDEX('Master List Import'!$A$2:$P$700, MATCH('Auto Menu'!$L93, 'Master List Import'!$M$2:$M$700), 14)</f>
        <v>Lubriderm Lotion</v>
      </c>
      <c r="N93" s="63">
        <f>INDEX('Master List Import'!$A$2:$P$700, MATCH('Auto Menu'!$L93, 'Master List Import'!$M$2:$M$700), 16)</f>
        <v>11</v>
      </c>
    </row>
    <row r="94" spans="1:14" ht="11.25" customHeight="1" x14ac:dyDescent="0.25">
      <c r="A94" s="27"/>
      <c r="B94" s="12">
        <v>4210</v>
      </c>
      <c r="C94" s="8" t="str">
        <f>INDEX('Master List Import'!$A$2:$P$700, MATCH('Auto Menu'!$B94, 'Master List Import'!$M$2:$M$700), 14)</f>
        <v>Lady Speed Stick, Shower Fresh</v>
      </c>
      <c r="D94" s="63">
        <f>INDEX('Master List Import'!$A$2:$P$700, MATCH('Auto Menu'!$B94, 'Master List Import'!$M$2:$M$700), 16)</f>
        <v>4.5</v>
      </c>
      <c r="E94" s="10"/>
      <c r="F94" s="27"/>
      <c r="G94" s="12">
        <v>5212</v>
      </c>
      <c r="H94" s="8" t="str">
        <f>INDEX('Master List Import'!$A$2:$P$700, MATCH('Auto Menu'!$G94, 'Master List Import'!$M$2:$M$700), 14)</f>
        <v>Luster's Pink Oil Hair Moisturizer</v>
      </c>
      <c r="I94" s="63">
        <f>INDEX('Master List Import'!$A$2:$P$700, MATCH('Auto Menu'!$G94, 'Master List Import'!$M$2:$M$700), 16)</f>
        <v>12</v>
      </c>
      <c r="J94" s="11"/>
      <c r="K94" s="26"/>
      <c r="L94" s="12">
        <v>5430</v>
      </c>
      <c r="M94" s="8" t="str">
        <f>INDEX('Master List Import'!$A$2:$P$700, MATCH('Auto Menu'!$L94, 'Master List Import'!$M$2:$M$700), 14)</f>
        <v>Baby Powder</v>
      </c>
      <c r="N94" s="63">
        <f>INDEX('Master List Import'!$A$2:$P$700, MATCH('Auto Menu'!$L94, 'Master List Import'!$M$2:$M$700), 16)</f>
        <v>1.6</v>
      </c>
    </row>
    <row r="95" spans="1:14" ht="11.25" customHeight="1" x14ac:dyDescent="0.25">
      <c r="A95" s="27"/>
      <c r="B95" s="12">
        <v>4211</v>
      </c>
      <c r="C95" s="8" t="str">
        <f>INDEX('Master List Import'!$A$2:$P$700, MATCH('Auto Menu'!$B95, 'Master List Import'!$M$2:$M$700), 14)</f>
        <v>Speed Stick, Fresh Scent</v>
      </c>
      <c r="D95" s="63">
        <f>INDEX('Master List Import'!$A$2:$P$700, MATCH('Auto Menu'!$B95, 'Master List Import'!$M$2:$M$700), 16)</f>
        <v>4.8499999999999996</v>
      </c>
      <c r="E95" s="10"/>
      <c r="F95" s="11"/>
      <c r="G95" s="28"/>
      <c r="H95" s="11"/>
      <c r="I95" s="29"/>
      <c r="J95" s="11"/>
      <c r="K95" s="26"/>
      <c r="L95" s="12">
        <v>5440</v>
      </c>
      <c r="M95" s="8" t="str">
        <f>INDEX('Master List Import'!$A$2:$P$700, MATCH('Auto Menu'!$L95, 'Master List Import'!$M$2:$M$700), 14)</f>
        <v>Lip Balm</v>
      </c>
      <c r="N95" s="63">
        <f>INDEX('Master List Import'!$A$2:$P$700, MATCH('Auto Menu'!$L95, 'Master List Import'!$M$2:$M$700), 16)</f>
        <v>1.5</v>
      </c>
    </row>
    <row r="96" spans="1:14" ht="11.25" customHeight="1" x14ac:dyDescent="0.25">
      <c r="A96" s="27"/>
      <c r="B96" s="12">
        <v>4212</v>
      </c>
      <c r="C96" s="8" t="str">
        <f>INDEX('Master List Import'!$A$2:$P$700, MATCH('Auto Menu'!$B96, 'Master List Import'!$M$2:$M$700), 14)</f>
        <v>Degree Solid, Extreme Blast</v>
      </c>
      <c r="D96" s="63">
        <f>INDEX('Master List Import'!$A$2:$P$700, MATCH('Auto Menu'!$B96, 'Master List Import'!$M$2:$M$700), 16)</f>
        <v>6</v>
      </c>
      <c r="E96" s="10"/>
      <c r="F96" s="70" t="s">
        <v>160</v>
      </c>
      <c r="G96" s="70"/>
      <c r="H96" s="70"/>
      <c r="I96" s="70"/>
      <c r="J96" s="11"/>
      <c r="K96" s="26"/>
      <c r="L96" s="12">
        <v>5500</v>
      </c>
      <c r="M96" s="8" t="str">
        <f>INDEX('Master List Import'!$A$2:$P$700, MATCH('Auto Menu'!$L96, 'Master List Import'!$M$2:$M$700), 14)</f>
        <v>Antifungal Cream</v>
      </c>
      <c r="N96" s="63">
        <f>INDEX('Master List Import'!$A$2:$P$700, MATCH('Auto Menu'!$L96, 'Master List Import'!$M$2:$M$700), 16)</f>
        <v>4.2</v>
      </c>
    </row>
    <row r="97" spans="1:14" ht="11.25" customHeight="1" x14ac:dyDescent="0.25">
      <c r="A97" s="27"/>
      <c r="B97" s="12">
        <v>4213</v>
      </c>
      <c r="C97" s="8" t="str">
        <f>INDEX('Master List Import'!$A$2:$P$700, MATCH('Auto Menu'!$B97, 'Master List Import'!$M$2:$M$700), 14)</f>
        <v>Suave, Powder Scent</v>
      </c>
      <c r="D97" s="63">
        <f>INDEX('Master List Import'!$A$2:$P$700, MATCH('Auto Menu'!$B97, 'Master List Import'!$M$2:$M$700), 16)</f>
        <v>4.5</v>
      </c>
      <c r="E97" s="10"/>
      <c r="F97" s="26"/>
      <c r="G97" s="7">
        <v>4400</v>
      </c>
      <c r="H97" s="8" t="str">
        <f>INDEX('Master List Import'!$A$2:$P$700, MATCH('Auto Menu'!$G97, 'Master List Import'!$M$2:$M$700), 14)</f>
        <v>Colgate Regular Toothpaste</v>
      </c>
      <c r="I97" s="63">
        <f>INDEX('Master List Import'!$A$2:$P$700, MATCH('Auto Menu'!$G97, 'Master List Import'!$M$2:$M$700), 16)</f>
        <v>3.15</v>
      </c>
      <c r="J97" s="11"/>
      <c r="K97" s="30"/>
      <c r="L97" s="12">
        <v>5510</v>
      </c>
      <c r="M97" s="8" t="str">
        <f>INDEX('Master List Import'!$A$2:$P$700, MATCH('Auto Menu'!$L97, 'Master List Import'!$M$2:$M$700), 14)</f>
        <v>Foot Powder</v>
      </c>
      <c r="N97" s="63">
        <f>INDEX('Master List Import'!$A$2:$P$700, MATCH('Auto Menu'!$L97, 'Master List Import'!$M$2:$M$700), 16)</f>
        <v>2.85</v>
      </c>
    </row>
    <row r="98" spans="1:14" ht="11.25" customHeight="1" x14ac:dyDescent="0.25">
      <c r="A98" s="11"/>
      <c r="B98" s="28"/>
      <c r="C98" s="11"/>
      <c r="D98" s="63"/>
      <c r="E98" s="10"/>
      <c r="F98" s="30"/>
      <c r="G98" s="12">
        <v>4401</v>
      </c>
      <c r="H98" s="8" t="str">
        <f>INDEX('Master List Import'!$A$2:$P$700, MATCH('Auto Menu'!$G98, 'Master List Import'!$M$2:$M$700), 14)</f>
        <v>Close-Up Toothpaste</v>
      </c>
      <c r="I98" s="63">
        <f>INDEX('Master List Import'!$A$2:$P$700, MATCH('Auto Menu'!$G98, 'Master List Import'!$M$2:$M$700), 16)</f>
        <v>3.95</v>
      </c>
      <c r="J98" s="11"/>
      <c r="K98" s="30"/>
      <c r="L98" s="12">
        <v>5520</v>
      </c>
      <c r="M98" s="8" t="str">
        <f>INDEX('Master List Import'!$A$2:$P$700, MATCH('Auto Menu'!$L98, 'Master List Import'!$M$2:$M$700), 14)</f>
        <v>Acne Cream</v>
      </c>
      <c r="N98" s="63">
        <f>INDEX('Master List Import'!$A$2:$P$700, MATCH('Auto Menu'!$L98, 'Master List Import'!$M$2:$M$700), 16)</f>
        <v>3.95</v>
      </c>
    </row>
    <row r="99" spans="1:14" ht="11.25" customHeight="1" x14ac:dyDescent="0.25">
      <c r="A99" s="70" t="s">
        <v>167</v>
      </c>
      <c r="B99" s="70"/>
      <c r="C99" s="70"/>
      <c r="D99" s="70"/>
      <c r="E99" s="10"/>
      <c r="F99" s="30"/>
      <c r="G99" s="12">
        <v>4402</v>
      </c>
      <c r="H99" s="8" t="str">
        <f>INDEX('Master List Import'!$A$2:$P$700, MATCH('Auto Menu'!$G99, 'Master List Import'!$M$2:$M$700), 14)</f>
        <v>Freshmint Toothpaste</v>
      </c>
      <c r="I99" s="63">
        <f>INDEX('Master List Import'!$A$2:$P$700, MATCH('Auto Menu'!$G99, 'Master List Import'!$M$2:$M$700), 16)</f>
        <v>1</v>
      </c>
      <c r="J99" s="11"/>
      <c r="K99" s="30"/>
      <c r="L99" s="12">
        <v>5530</v>
      </c>
      <c r="M99" s="8" t="str">
        <f>INDEX('Master List Import'!$A$2:$P$700, MATCH('Auto Menu'!$L99, 'Master List Import'!$M$2:$M$700), 14)</f>
        <v>Hydrocortisone Cream</v>
      </c>
      <c r="N99" s="63">
        <f>INDEX('Master List Import'!$A$2:$P$700, MATCH('Auto Menu'!$L99, 'Master List Import'!$M$2:$M$700), 16)</f>
        <v>3.05</v>
      </c>
    </row>
    <row r="100" spans="1:14" ht="11.25" customHeight="1" x14ac:dyDescent="0.25">
      <c r="A100" s="6"/>
      <c r="B100" s="7">
        <v>5000</v>
      </c>
      <c r="C100" s="8" t="str">
        <f>INDEX('Master List Import'!$A$2:$P$700, MATCH('Auto Menu'!$B100, 'Master List Import'!$M$2:$M$700), 14)</f>
        <v>VO5 Extra Body Shampoo</v>
      </c>
      <c r="D100" s="63">
        <f>INDEX('Master List Import'!$A$2:$P$700, MATCH('Auto Menu'!$B100, 'Master List Import'!$M$2:$M$700), 16)</f>
        <v>3.5</v>
      </c>
      <c r="E100" s="10"/>
      <c r="F100" s="26"/>
      <c r="G100" s="7">
        <v>4403</v>
      </c>
      <c r="H100" s="8" t="str">
        <f>INDEX('Master List Import'!$A$2:$P$700, MATCH('Auto Menu'!$G100, 'Master List Import'!$M$2:$M$700), 14)</f>
        <v>Aim Toothpaste</v>
      </c>
      <c r="I100" s="63">
        <f>INDEX('Master List Import'!$A$2:$P$700, MATCH('Auto Menu'!$G100, 'Master List Import'!$M$2:$M$700), 16)</f>
        <v>4.25</v>
      </c>
      <c r="J100" s="11"/>
      <c r="K100" s="30"/>
      <c r="L100" s="12">
        <v>5540</v>
      </c>
      <c r="M100" s="8" t="str">
        <f>INDEX('Master List Import'!$A$2:$P$700, MATCH('Auto Menu'!$L100, 'Master List Import'!$M$2:$M$700), 14)</f>
        <v>Medicated Skin Cream</v>
      </c>
      <c r="N100" s="63">
        <f>INDEX('Master List Import'!$A$2:$P$700, MATCH('Auto Menu'!$L100, 'Master List Import'!$M$2:$M$700), 16)</f>
        <v>2.2999999999999998</v>
      </c>
    </row>
    <row r="101" spans="1:14" ht="11.25" customHeight="1" x14ac:dyDescent="0.25">
      <c r="A101" s="27"/>
      <c r="B101" s="12">
        <v>5001</v>
      </c>
      <c r="C101" s="8" t="str">
        <f>INDEX('Master List Import'!$A$2:$P$700, MATCH('Auto Menu'!$B101, 'Master List Import'!$M$2:$M$700), 14)</f>
        <v>Herbal Shampoo (Vanilla/Vitamin E)</v>
      </c>
      <c r="D101" s="63">
        <f>INDEX('Master List Import'!$A$2:$P$700, MATCH('Auto Menu'!$B101, 'Master List Import'!$M$2:$M$700), 16)</f>
        <v>3</v>
      </c>
      <c r="E101" s="10"/>
      <c r="F101" s="26"/>
      <c r="G101" s="7">
        <v>4420</v>
      </c>
      <c r="H101" s="8" t="str">
        <f>INDEX('Master List Import'!$A$2:$P$700, MATCH('Auto Menu'!$G101, 'Master List Import'!$M$2:$M$700), 14)</f>
        <v>Colgate Sensitive Toothpaste</v>
      </c>
      <c r="I101" s="63">
        <f>INDEX('Master List Import'!$A$2:$P$700, MATCH('Auto Menu'!$G101, 'Master List Import'!$M$2:$M$700), 16)</f>
        <v>12</v>
      </c>
      <c r="J101" s="11"/>
      <c r="K101" s="30"/>
      <c r="L101" s="12">
        <v>5541</v>
      </c>
      <c r="M101" s="8" t="str">
        <f>INDEX('Master List Import'!$A$2:$P$700, MATCH('Auto Menu'!$L101, 'Master List Import'!$M$2:$M$700), 14)</f>
        <v>Triple Antibiotic Ointment</v>
      </c>
      <c r="N101" s="63">
        <f>INDEX('Master List Import'!$A$2:$P$700, MATCH('Auto Menu'!$L101, 'Master List Import'!$M$2:$M$700), 16)</f>
        <v>3.5</v>
      </c>
    </row>
    <row r="102" spans="1:14" ht="11.25" customHeight="1" x14ac:dyDescent="0.25">
      <c r="A102" s="27"/>
      <c r="B102" s="12">
        <v>5002</v>
      </c>
      <c r="C102" s="8" t="str">
        <f>INDEX('Master List Import'!$A$2:$P$700, MATCH('Auto Menu'!$B102, 'Master List Import'!$M$2:$M$700), 14)</f>
        <v>VO5 Strwb/Crm Shampoo</v>
      </c>
      <c r="D102" s="63">
        <f>INDEX('Master List Import'!$A$2:$P$700, MATCH('Auto Menu'!$B102, 'Master List Import'!$M$2:$M$700), 16)</f>
        <v>3.5</v>
      </c>
      <c r="E102" s="10"/>
      <c r="F102" s="30"/>
      <c r="G102" s="12">
        <v>4500</v>
      </c>
      <c r="H102" s="8" t="str">
        <f>INDEX('Master List Import'!$A$2:$P$700, MATCH('Auto Menu'!$G102, 'Master List Import'!$M$2:$M$700), 14)</f>
        <v>Tek Toothbrush</v>
      </c>
      <c r="I102" s="63">
        <f>INDEX('Master List Import'!$A$2:$P$700, MATCH('Auto Menu'!$G102, 'Master List Import'!$M$2:$M$700), 16)</f>
        <v>1.25</v>
      </c>
      <c r="J102" s="11"/>
      <c r="K102" s="30"/>
      <c r="L102" s="12">
        <v>5542</v>
      </c>
      <c r="M102" s="8" t="str">
        <f>INDEX('Master List Import'!$A$2:$P$700, MATCH('Auto Menu'!$L102, 'Master List Import'!$M$2:$M$700), 14)</f>
        <v>Hemorrhoid Ointment</v>
      </c>
      <c r="N102" s="63">
        <f>INDEX('Master List Import'!$A$2:$P$700, MATCH('Auto Menu'!$L102, 'Master List Import'!$M$2:$M$700), 16)</f>
        <v>7.5</v>
      </c>
    </row>
    <row r="103" spans="1:14" ht="11.25" customHeight="1" x14ac:dyDescent="0.25">
      <c r="A103" s="27"/>
      <c r="B103" s="12">
        <v>5040</v>
      </c>
      <c r="C103" s="8" t="str">
        <f>INDEX('Master List Import'!$A$2:$P$700, MATCH('Auto Menu'!$B103, 'Master List Import'!$M$2:$M$700), 14)</f>
        <v>Dandruff Shampoo</v>
      </c>
      <c r="D103" s="63">
        <f>INDEX('Master List Import'!$A$2:$P$700, MATCH('Auto Menu'!$B103, 'Master List Import'!$M$2:$M$700), 16)</f>
        <v>3</v>
      </c>
      <c r="E103" s="10"/>
      <c r="F103" s="30"/>
      <c r="G103" s="12">
        <v>4501</v>
      </c>
      <c r="H103" s="8" t="str">
        <f>INDEX('Master List Import'!$A$2:$P$700, MATCH('Auto Menu'!$G103, 'Master List Import'!$M$2:$M$700), 14)</f>
        <v>Shorty Toothbrush</v>
      </c>
      <c r="I103" s="63">
        <f>INDEX('Master List Import'!$A$2:$P$700, MATCH('Auto Menu'!$G103, 'Master List Import'!$M$2:$M$700), 16)</f>
        <v>0.2</v>
      </c>
      <c r="J103" s="11"/>
      <c r="K103" s="26"/>
      <c r="L103" s="7">
        <v>4800</v>
      </c>
      <c r="M103" s="8" t="str">
        <f>INDEX('Master List Import'!$A$2:$P$700, MATCH('Auto Menu'!$L103, 'Master List Import'!$M$2:$M$700), 14)</f>
        <v>Q-Tips (90ct)</v>
      </c>
      <c r="N103" s="63">
        <f>INDEX('Master List Import'!$A$2:$P$700, MATCH('Auto Menu'!$L103, 'Master List Import'!$M$2:$M$700), 16)</f>
        <v>2.2999999999999998</v>
      </c>
    </row>
    <row r="104" spans="1:14" ht="11.25" customHeight="1" x14ac:dyDescent="0.25">
      <c r="A104" s="27"/>
      <c r="B104" s="12">
        <v>5041</v>
      </c>
      <c r="C104" s="8" t="str">
        <f>INDEX('Master List Import'!$A$2:$P$700, MATCH('Auto Menu'!$B104, 'Master List Import'!$M$2:$M$700), 14)</f>
        <v>Sulfur 8 Shampoo</v>
      </c>
      <c r="D104" s="63">
        <f>INDEX('Master List Import'!$A$2:$P$700, MATCH('Auto Menu'!$B104, 'Master List Import'!$M$2:$M$700), 16)</f>
        <v>8.4</v>
      </c>
      <c r="E104" s="10"/>
      <c r="F104" s="30"/>
      <c r="G104" s="12">
        <v>4502</v>
      </c>
      <c r="H104" s="8" t="str">
        <f>INDEX('Master List Import'!$A$2:$P$700, MATCH('Auto Menu'!$G104, 'Master List Import'!$M$2:$M$700), 14)</f>
        <v>Thumb Toothbrush</v>
      </c>
      <c r="I104" s="63">
        <f>INDEX('Master List Import'!$A$2:$P$700, MATCH('Auto Menu'!$G104, 'Master List Import'!$M$2:$M$700), 16)</f>
        <v>1</v>
      </c>
      <c r="J104" s="11"/>
      <c r="K104" s="30"/>
      <c r="L104" s="12">
        <v>4801</v>
      </c>
      <c r="M104" s="8" t="str">
        <f>INDEX('Master List Import'!$A$2:$P$700, MATCH('Auto Menu'!$L104, 'Master List Import'!$M$2:$M$700), 14)</f>
        <v>Handkerchief</v>
      </c>
      <c r="N104" s="63">
        <f>INDEX('Master List Import'!$A$2:$P$700, MATCH('Auto Menu'!$L104, 'Master List Import'!$M$2:$M$700), 16)</f>
        <v>2.25</v>
      </c>
    </row>
    <row r="105" spans="1:14" ht="11.25" customHeight="1" x14ac:dyDescent="0.25">
      <c r="A105" s="27"/>
      <c r="B105" s="12">
        <v>5042</v>
      </c>
      <c r="C105" s="8" t="str">
        <f>INDEX('Master List Import'!$A$2:$P$700, MATCH('Auto Menu'!$B105, 'Master List Import'!$M$2:$M$700), 14)</f>
        <v>Sulfur 8 Medicated Conditioner</v>
      </c>
      <c r="D105" s="63">
        <f>INDEX('Master List Import'!$A$2:$P$700, MATCH('Auto Menu'!$B105, 'Master List Import'!$M$2:$M$700), 16)</f>
        <v>9</v>
      </c>
      <c r="E105" s="10"/>
      <c r="F105" s="30"/>
      <c r="G105" s="12">
        <v>4503</v>
      </c>
      <c r="H105" s="8" t="str">
        <f>INDEX('Master List Import'!$A$2:$P$700, MATCH('Auto Menu'!$G105, 'Master List Import'!$M$2:$M$700), 14)</f>
        <v>Colgate Toothbrush, Soft</v>
      </c>
      <c r="I105" s="63">
        <f>INDEX('Master List Import'!$A$2:$P$700, MATCH('Auto Menu'!$G105, 'Master List Import'!$M$2:$M$700), 16)</f>
        <v>2.6</v>
      </c>
      <c r="J105" s="11"/>
      <c r="K105" s="30"/>
      <c r="L105" s="12">
        <v>4802</v>
      </c>
      <c r="M105" s="8" t="str">
        <f>INDEX('Master List Import'!$A$2:$P$700, MATCH('Auto Menu'!$L105, 'Master List Import'!$M$2:$M$700), 14)</f>
        <v>Foam Earplugs</v>
      </c>
      <c r="N105" s="63">
        <f>INDEX('Master List Import'!$A$2:$P$700, MATCH('Auto Menu'!$L105, 'Master List Import'!$M$2:$M$700), 16)</f>
        <v>0.55000000000000004</v>
      </c>
    </row>
    <row r="106" spans="1:14" ht="11.25" customHeight="1" x14ac:dyDescent="0.25">
      <c r="A106" s="27"/>
      <c r="B106" s="12">
        <v>5050</v>
      </c>
      <c r="C106" s="8" t="str">
        <f>INDEX('Master List Import'!$A$2:$P$700, MATCH('Auto Menu'!$B106, 'Master List Import'!$M$2:$M$700), 14)</f>
        <v>VO5 Extra Body Conditioner</v>
      </c>
      <c r="D106" s="63">
        <f>INDEX('Master List Import'!$A$2:$P$700, MATCH('Auto Menu'!$B106, 'Master List Import'!$M$2:$M$700), 16)</f>
        <v>3.5</v>
      </c>
      <c r="E106" s="10"/>
      <c r="F106" s="30"/>
      <c r="G106" s="12">
        <v>4520</v>
      </c>
      <c r="H106" s="8" t="str">
        <f>INDEX('Master List Import'!$A$2:$P$700, MATCH('Auto Menu'!$G106, 'Master List Import'!$M$2:$M$700), 14)</f>
        <v>Toothbrush Holder</v>
      </c>
      <c r="I106" s="63">
        <f>INDEX('Master List Import'!$A$2:$P$700, MATCH('Auto Menu'!$G106, 'Master List Import'!$M$2:$M$700), 16)</f>
        <v>0.55000000000000004</v>
      </c>
      <c r="J106" s="11"/>
      <c r="K106" s="30"/>
      <c r="L106" s="12">
        <v>4830</v>
      </c>
      <c r="M106" s="8" t="str">
        <f>INDEX('Master List Import'!$A$2:$P$700, MATCH('Auto Menu'!$L106, 'Master List Import'!$M$2:$M$700), 14)</f>
        <v>Toilet Paper</v>
      </c>
      <c r="N106" s="63">
        <f>INDEX('Master List Import'!$A$2:$P$700, MATCH('Auto Menu'!$L106, 'Master List Import'!$M$2:$M$700), 16)</f>
        <v>1.3</v>
      </c>
    </row>
    <row r="107" spans="1:14" ht="11.25" customHeight="1" x14ac:dyDescent="0.25">
      <c r="A107" s="27"/>
      <c r="B107" s="12">
        <v>5051</v>
      </c>
      <c r="C107" s="8" t="str">
        <f>INDEX('Master List Import'!$A$2:$P$700, MATCH('Auto Menu'!$B107, 'Master List Import'!$M$2:$M$700), 14)</f>
        <v>Herbal Conditioner (Vanilla/Vitamin E)</v>
      </c>
      <c r="D107" s="63">
        <f>INDEX('Master List Import'!$A$2:$P$700, MATCH('Auto Menu'!$B107, 'Master List Import'!$M$2:$M$700), 16)</f>
        <v>3</v>
      </c>
      <c r="E107" s="10"/>
      <c r="F107" s="30"/>
      <c r="G107" s="12">
        <v>4530</v>
      </c>
      <c r="H107" s="8" t="str">
        <f>INDEX('Master List Import'!$A$2:$P$700, MATCH('Auto Menu'!$G107, 'Master List Import'!$M$2:$M$700), 14)</f>
        <v>Dental Floss Loops (30ct)</v>
      </c>
      <c r="I107" s="63">
        <f>INDEX('Master List Import'!$A$2:$P$700, MATCH('Auto Menu'!$G107, 'Master List Import'!$M$2:$M$700), 16)</f>
        <v>7</v>
      </c>
      <c r="J107" s="11"/>
      <c r="K107" s="30"/>
      <c r="L107" s="12">
        <v>4840</v>
      </c>
      <c r="M107" s="8" t="str">
        <f>INDEX('Master List Import'!$A$2:$P$700, MATCH('Auto Menu'!$L107, 'Master List Import'!$M$2:$M$700), 14)</f>
        <v>Nail Clippers</v>
      </c>
      <c r="N107" s="63">
        <f>INDEX('Master List Import'!$A$2:$P$700, MATCH('Auto Menu'!$L107, 'Master List Import'!$M$2:$M$700), 16)</f>
        <v>1</v>
      </c>
    </row>
    <row r="108" spans="1:14" ht="11.25" customHeight="1" x14ac:dyDescent="0.25">
      <c r="A108" s="27"/>
      <c r="B108" s="12">
        <v>5052</v>
      </c>
      <c r="C108" s="8" t="str">
        <f>INDEX('Master List Import'!$A$2:$P$700, MATCH('Auto Menu'!$B108, 'Master List Import'!$M$2:$M$700), 14)</f>
        <v>VO5 Strwb/Crm Conditioner</v>
      </c>
      <c r="D108" s="63">
        <f>INDEX('Master List Import'!$A$2:$P$700, MATCH('Auto Menu'!$B108, 'Master List Import'!$M$2:$M$700), 16)</f>
        <v>3.5</v>
      </c>
      <c r="E108" s="10"/>
      <c r="F108" s="30"/>
      <c r="G108" s="12">
        <v>4600</v>
      </c>
      <c r="H108" s="8" t="str">
        <f>INDEX('Master List Import'!$A$2:$P$700, MATCH('Auto Menu'!$G108, 'Master List Import'!$M$2:$M$700), 14)</f>
        <v>Mouthwash</v>
      </c>
      <c r="I108" s="63">
        <f>INDEX('Master List Import'!$A$2:$P$700, MATCH('Auto Menu'!$G108, 'Master List Import'!$M$2:$M$700), 16)</f>
        <v>1.5</v>
      </c>
      <c r="J108" s="11"/>
      <c r="K108" s="30"/>
      <c r="L108" s="12">
        <v>4841</v>
      </c>
      <c r="M108" s="8" t="str">
        <f>INDEX('Master List Import'!$A$2:$P$700, MATCH('Auto Menu'!$L108, 'Master List Import'!$M$2:$M$700), 14)</f>
        <v>Emery Board</v>
      </c>
      <c r="N108" s="63">
        <f>INDEX('Master List Import'!$A$2:$P$700, MATCH('Auto Menu'!$L108, 'Master List Import'!$M$2:$M$700), 16)</f>
        <v>0.1</v>
      </c>
    </row>
    <row r="109" spans="1:14" ht="11.25" customHeight="1" x14ac:dyDescent="0.25">
      <c r="A109" s="27"/>
      <c r="B109" s="12">
        <v>5060</v>
      </c>
      <c r="C109" s="8" t="str">
        <f>INDEX('Master List Import'!$A$2:$P$700, MATCH('Auto Menu'!$B109, 'Master List Import'!$M$2:$M$700), 14)</f>
        <v>Freshscent Shampoo &amp; Bodywash</v>
      </c>
      <c r="D109" s="63">
        <f>INDEX('Master List Import'!$A$2:$P$700, MATCH('Auto Menu'!$B109, 'Master List Import'!$M$2:$M$700), 16)</f>
        <v>1.5</v>
      </c>
      <c r="E109" s="10"/>
      <c r="F109" s="30"/>
      <c r="G109" s="12">
        <v>4700</v>
      </c>
      <c r="H109" s="8" t="str">
        <f>INDEX('Master List Import'!$A$2:$P$700, MATCH('Auto Menu'!$G109, 'Master List Import'!$M$2:$M$700), 14)</f>
        <v>Denture Adhesive</v>
      </c>
      <c r="I109" s="63">
        <f>INDEX('Master List Import'!$A$2:$P$700, MATCH('Auto Menu'!$G109, 'Master List Import'!$M$2:$M$700), 16)</f>
        <v>5.95</v>
      </c>
      <c r="J109" s="11"/>
      <c r="K109" s="30"/>
      <c r="L109" s="12">
        <v>4842</v>
      </c>
      <c r="M109" s="8" t="str">
        <f>INDEX('Master List Import'!$A$2:$P$700, MATCH('Auto Menu'!$L109, 'Master List Import'!$M$2:$M$700), 14)</f>
        <v>Toe Nail Clippers</v>
      </c>
      <c r="N109" s="63">
        <f>INDEX('Master List Import'!$A$2:$P$700, MATCH('Auto Menu'!$L109, 'Master List Import'!$M$2:$M$700), 16)</f>
        <v>2.1</v>
      </c>
    </row>
    <row r="110" spans="1:14" ht="11.25" customHeight="1" x14ac:dyDescent="0.25">
      <c r="A110" s="27"/>
      <c r="B110" s="12">
        <v>5070</v>
      </c>
      <c r="C110" s="8" t="str">
        <f>INDEX('Master List Import'!$A$2:$P$700, MATCH('Auto Menu'!$B110, 'Master List Import'!$M$2:$M$700), 14)</f>
        <v>White Rain Mens 3-In-1</v>
      </c>
      <c r="D110" s="63">
        <f>INDEX('Master List Import'!$A$2:$P$700, MATCH('Auto Menu'!$B110, 'Master List Import'!$M$2:$M$700), 16)</f>
        <v>4</v>
      </c>
      <c r="E110" s="10"/>
      <c r="F110" s="30"/>
      <c r="G110" s="12">
        <v>4701</v>
      </c>
      <c r="H110" s="8" t="str">
        <f>INDEX('Master List Import'!$A$2:$P$700, MATCH('Auto Menu'!$G110, 'Master List Import'!$M$2:$M$700), 14)</f>
        <v>Freshmint Denture Cleanser Tabs</v>
      </c>
      <c r="I110" s="63">
        <f>INDEX('Master List Import'!$A$2:$P$700, MATCH('Auto Menu'!$G110, 'Master List Import'!$M$2:$M$700), 16)</f>
        <v>0.25</v>
      </c>
      <c r="J110" s="11"/>
      <c r="K110" s="30"/>
      <c r="L110" s="12">
        <v>4900</v>
      </c>
      <c r="M110" s="8" t="str">
        <f>INDEX('Master List Import'!$A$2:$P$700, MATCH('Auto Menu'!$L110, 'Master List Import'!$M$2:$M$700), 14)</f>
        <v>Douche</v>
      </c>
      <c r="N110" s="63">
        <f>INDEX('Master List Import'!$A$2:$P$700, MATCH('Auto Menu'!$L110, 'Master List Import'!$M$2:$M$700), 16)</f>
        <v>3.75</v>
      </c>
    </row>
    <row r="111" spans="1:14" ht="11.25" customHeight="1" x14ac:dyDescent="0.25">
      <c r="A111" s="6"/>
      <c r="B111" s="7">
        <v>5082</v>
      </c>
      <c r="C111" s="8" t="str">
        <f>INDEX('Master List Import'!$A$2:$P$700, MATCH('Auto Menu'!$B111, 'Master List Import'!$M$2:$M$700), 14)</f>
        <v>Suave Ocean Breeze Body Wash</v>
      </c>
      <c r="D111" s="63">
        <f>INDEX('Master List Import'!$A$2:$P$700, MATCH('Auto Menu'!$B111, 'Master List Import'!$M$2:$M$700), 16)</f>
        <v>7.7</v>
      </c>
      <c r="E111" s="10"/>
      <c r="F111" s="30"/>
      <c r="G111" s="12">
        <v>4710</v>
      </c>
      <c r="H111" s="8" t="str">
        <f>INDEX('Master List Import'!$A$2:$P$700, MATCH('Auto Menu'!$G111, 'Master List Import'!$M$2:$M$700), 14)</f>
        <v>Oral Pain Relief</v>
      </c>
      <c r="I111" s="63">
        <f>INDEX('Master List Import'!$A$2:$P$700, MATCH('Auto Menu'!$G111, 'Master List Import'!$M$2:$M$700), 16)</f>
        <v>3.5</v>
      </c>
      <c r="J111" s="11"/>
      <c r="K111" s="30"/>
      <c r="L111" s="12">
        <v>4910</v>
      </c>
      <c r="M111" s="8" t="str">
        <f>INDEX('Master List Import'!$A$2:$P$700, MATCH('Auto Menu'!$L111, 'Master List Import'!$M$2:$M$700), 14)</f>
        <v>Maxipads (14ct)</v>
      </c>
      <c r="N111" s="63">
        <f>INDEX('Master List Import'!$A$2:$P$700, MATCH('Auto Menu'!$L111, 'Master List Import'!$M$2:$M$700), 16)</f>
        <v>2.65</v>
      </c>
    </row>
    <row r="112" spans="1:14" ht="11.25" customHeight="1" x14ac:dyDescent="0.25">
      <c r="A112" s="75"/>
      <c r="B112" s="76"/>
      <c r="C112" s="75"/>
      <c r="D112" s="77"/>
      <c r="E112" s="10"/>
      <c r="F112" s="77"/>
      <c r="G112" s="76"/>
      <c r="H112" s="75"/>
      <c r="I112" s="77"/>
      <c r="J112" s="11"/>
      <c r="K112" s="30"/>
      <c r="L112" s="12">
        <v>4920</v>
      </c>
      <c r="M112" s="8" t="str">
        <f>INDEX('Master List Import'!$A$2:$P$700, MATCH('Auto Menu'!$L112, 'Master List Import'!$M$2:$M$700), 14)</f>
        <v>Tampons (10ct)</v>
      </c>
      <c r="N112" s="63">
        <f>INDEX('Master List Import'!$A$2:$P$700, MATCH('Auto Menu'!$L112, 'Master List Import'!$M$2:$M$700), 16)</f>
        <v>3.3</v>
      </c>
    </row>
    <row r="113" spans="1:14" ht="11.25" customHeight="1" x14ac:dyDescent="0.25">
      <c r="A113" s="11"/>
      <c r="B113" s="11"/>
      <c r="C113" s="11"/>
      <c r="D113" s="31"/>
      <c r="E113" s="10"/>
      <c r="F113" s="31"/>
      <c r="G113" s="28"/>
      <c r="H113" s="11"/>
      <c r="I113" s="9"/>
      <c r="J113" s="11"/>
      <c r="K113" s="11"/>
      <c r="L113" s="11"/>
      <c r="M113" s="11"/>
      <c r="N113" s="11"/>
    </row>
    <row r="114" spans="1:14" ht="11.25" customHeight="1" x14ac:dyDescent="0.25">
      <c r="A114" s="69" t="s">
        <v>197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</row>
    <row r="115" spans="1:14" ht="11.25" customHeight="1" x14ac:dyDescent="0.25">
      <c r="A115" s="70" t="s">
        <v>198</v>
      </c>
      <c r="B115" s="70"/>
      <c r="C115" s="70"/>
      <c r="D115" s="70"/>
      <c r="E115" s="25"/>
      <c r="F115" s="70" t="s">
        <v>199</v>
      </c>
      <c r="G115" s="70"/>
      <c r="H115" s="70"/>
      <c r="I115" s="70"/>
      <c r="J115" s="11"/>
      <c r="K115" s="70" t="s">
        <v>200</v>
      </c>
      <c r="L115" s="70"/>
      <c r="M115" s="70"/>
      <c r="N115" s="70"/>
    </row>
    <row r="116" spans="1:14" ht="11.25" customHeight="1" x14ac:dyDescent="0.25">
      <c r="A116" s="6"/>
      <c r="B116" s="22">
        <v>2200</v>
      </c>
      <c r="C116" s="8" t="str">
        <f>INDEX('Master List Import'!$A$2:$P$700, MATCH('Auto Menu'!$B116, 'Master List Import'!$M$2:$M$700), 14)</f>
        <v>Bowl w/Lid (24oz)</v>
      </c>
      <c r="D116" s="63">
        <f>INDEX('Master List Import'!$A$2:$P$700, MATCH('Auto Menu'!$B116, 'Master List Import'!$M$2:$M$700), 16)</f>
        <v>3.15</v>
      </c>
      <c r="E116" s="10"/>
      <c r="F116" s="6"/>
      <c r="G116" s="7">
        <v>3600</v>
      </c>
      <c r="H116" s="17" t="s">
        <v>202</v>
      </c>
      <c r="I116" s="63">
        <f>INDEX('Master List Import'!$A$2:$P$700, MATCH('Auto Menu'!$G116, 'Master List Import'!$M$2:$M$700), 16)</f>
        <v>2.5</v>
      </c>
      <c r="J116" s="11"/>
      <c r="K116" s="32"/>
      <c r="L116" s="33">
        <v>2650</v>
      </c>
      <c r="M116" s="8" t="str">
        <f>INDEX('Master List Import'!$A$2:$P$700, MATCH('Auto Menu'!$L116, 'Master List Import'!$M$2:$M$700), 14)</f>
        <v>Webster's Dictionary</v>
      </c>
      <c r="N116" s="63">
        <f>INDEX('Master List Import'!$A$2:$P$700, MATCH('Auto Menu'!$L116, 'Master List Import'!$M$2:$M$700), 16)</f>
        <v>3.5</v>
      </c>
    </row>
    <row r="117" spans="1:14" ht="11.25" customHeight="1" x14ac:dyDescent="0.25">
      <c r="A117" s="27"/>
      <c r="B117" s="23">
        <v>2201</v>
      </c>
      <c r="C117" s="8" t="str">
        <f>INDEX('Master List Import'!$A$2:$P$700, MATCH('Auto Menu'!$B117, 'Master List Import'!$M$2:$M$700), 14)</f>
        <v>Tumbler w/Lid (22oz)</v>
      </c>
      <c r="D117" s="63">
        <f>INDEX('Master List Import'!$A$2:$P$700, MATCH('Auto Menu'!$B117, 'Master List Import'!$M$2:$M$700), 16)</f>
        <v>0.9</v>
      </c>
      <c r="E117" s="10"/>
      <c r="F117" s="27"/>
      <c r="G117" s="12">
        <v>3601</v>
      </c>
      <c r="H117" s="19" t="s">
        <v>205</v>
      </c>
      <c r="I117" s="63">
        <f>INDEX('Master List Import'!$A$2:$P$700, MATCH('Auto Menu'!$G117, 'Master List Import'!$M$2:$M$700), 16)</f>
        <v>3.5</v>
      </c>
      <c r="J117" s="11"/>
      <c r="K117" s="26"/>
      <c r="L117" s="23">
        <v>3000</v>
      </c>
      <c r="M117" s="8" t="str">
        <f>INDEX('Master List Import'!$A$2:$P$700, MATCH('Auto Menu'!$L117, 'Master List Import'!$M$2:$M$700), 14)</f>
        <v>Writing Pad (8.5x11, 50pg)</v>
      </c>
      <c r="N117" s="63">
        <f>INDEX('Master List Import'!$A$2:$P$700, MATCH('Auto Menu'!$L117, 'Master List Import'!$M$2:$M$700), 16)</f>
        <v>2.1</v>
      </c>
    </row>
    <row r="118" spans="1:14" ht="11.25" customHeight="1" x14ac:dyDescent="0.25">
      <c r="A118" s="27"/>
      <c r="B118" s="23">
        <v>2202</v>
      </c>
      <c r="C118" s="8" t="str">
        <f>INDEX('Master List Import'!$A$2:$P$700, MATCH('Auto Menu'!$B118, 'Master List Import'!$M$2:$M$700), 14)</f>
        <v>Plastic Mug (12oz)</v>
      </c>
      <c r="D118" s="63">
        <f>INDEX('Master List Import'!$A$2:$P$700, MATCH('Auto Menu'!$B118, 'Master List Import'!$M$2:$M$700), 16)</f>
        <v>1.5</v>
      </c>
      <c r="E118" s="10"/>
      <c r="F118" s="27"/>
      <c r="G118" s="12">
        <v>3602</v>
      </c>
      <c r="H118" s="19" t="s">
        <v>208</v>
      </c>
      <c r="I118" s="63">
        <f>INDEX('Master List Import'!$A$2:$P$700, MATCH('Auto Menu'!$G118, 'Master List Import'!$M$2:$M$700), 16)</f>
        <v>13.5</v>
      </c>
      <c r="J118" s="11"/>
      <c r="K118" s="30"/>
      <c r="L118" s="23">
        <v>3001</v>
      </c>
      <c r="M118" s="8" t="str">
        <f>INDEX('Master List Import'!$A$2:$P$700, MATCH('Auto Menu'!$L118, 'Master List Import'!$M$2:$M$700), 14)</f>
        <v>Writing Pad (8.5x14, 50pg)</v>
      </c>
      <c r="N118" s="63">
        <f>INDEX('Master List Import'!$A$2:$P$700, MATCH('Auto Menu'!$L118, 'Master List Import'!$M$2:$M$700), 16)</f>
        <v>2.5</v>
      </c>
    </row>
    <row r="119" spans="1:14" ht="11.25" customHeight="1" x14ac:dyDescent="0.25">
      <c r="A119" s="27"/>
      <c r="B119" s="23">
        <v>2230</v>
      </c>
      <c r="C119" s="8" t="str">
        <f>INDEX('Master List Import'!$A$2:$P$700, MATCH('Auto Menu'!$B119, 'Master List Import'!$M$2:$M$700), 14)</f>
        <v>Yellow Spork</v>
      </c>
      <c r="D119" s="63">
        <f>INDEX('Master List Import'!$A$2:$P$700, MATCH('Auto Menu'!$B119, 'Master List Import'!$M$2:$M$700), 16)</f>
        <v>0.35</v>
      </c>
      <c r="E119" s="10"/>
      <c r="F119" s="27"/>
      <c r="G119" s="12">
        <v>3610</v>
      </c>
      <c r="H119" s="19" t="s">
        <v>211</v>
      </c>
      <c r="I119" s="63">
        <f>INDEX('Master List Import'!$A$2:$P$700, MATCH('Auto Menu'!$G119, 'Master List Import'!$M$2:$M$700), 16)</f>
        <v>4.5</v>
      </c>
      <c r="J119" s="11"/>
      <c r="K119" s="30"/>
      <c r="L119" s="23">
        <v>3020</v>
      </c>
      <c r="M119" s="8" t="str">
        <f>INDEX('Master List Import'!$A$2:$P$700, MATCH('Auto Menu'!$L119, 'Master List Import'!$M$2:$M$700), 14)</f>
        <v>Art Pad (8.5x11, 50pg)</v>
      </c>
      <c r="N119" s="63">
        <f>INDEX('Master List Import'!$A$2:$P$700, MATCH('Auto Menu'!$L119, 'Master List Import'!$M$2:$M$700), 16)</f>
        <v>2.8</v>
      </c>
    </row>
    <row r="120" spans="1:14" ht="11.25" customHeight="1" x14ac:dyDescent="0.25">
      <c r="A120" s="27"/>
      <c r="B120" s="23">
        <v>2231</v>
      </c>
      <c r="C120" s="8" t="str">
        <f>INDEX('Master List Import'!$A$2:$P$700, MATCH('Auto Menu'!$B120, 'Master List Import'!$M$2:$M$700), 14)</f>
        <v>White Spork (Sm)</v>
      </c>
      <c r="D120" s="63">
        <f>INDEX('Master List Import'!$A$2:$P$700, MATCH('Auto Menu'!$B120, 'Master List Import'!$M$2:$M$700), 16)</f>
        <v>0.15</v>
      </c>
      <c r="E120" s="10"/>
      <c r="F120" s="27"/>
      <c r="G120" s="12">
        <v>3650</v>
      </c>
      <c r="H120" s="19" t="s">
        <v>213</v>
      </c>
      <c r="I120" s="63">
        <f>INDEX('Master List Import'!$A$2:$P$700, MATCH('Auto Menu'!$G120, 'Master List Import'!$M$2:$M$700), 16)</f>
        <v>6.5</v>
      </c>
      <c r="J120" s="11"/>
      <c r="K120" s="26"/>
      <c r="L120" s="22">
        <v>3030</v>
      </c>
      <c r="M120" s="8" t="str">
        <f>INDEX('Master List Import'!$A$2:$P$700, MATCH('Auto Menu'!$L120, 'Master List Import'!$M$2:$M$700), 14)</f>
        <v>Shorty Pencil</v>
      </c>
      <c r="N120" s="63">
        <f>INDEX('Master List Import'!$A$2:$P$700, MATCH('Auto Menu'!$L120, 'Master List Import'!$M$2:$M$700), 16)</f>
        <v>0.25</v>
      </c>
    </row>
    <row r="121" spans="1:14" ht="11.25" customHeight="1" x14ac:dyDescent="0.25">
      <c r="A121" s="11"/>
      <c r="B121" s="11"/>
      <c r="C121" s="11"/>
      <c r="D121" s="31"/>
      <c r="E121" s="10"/>
      <c r="F121" s="27"/>
      <c r="G121" s="12">
        <v>3651</v>
      </c>
      <c r="H121" s="19" t="s">
        <v>215</v>
      </c>
      <c r="I121" s="63">
        <f>INDEX('Master List Import'!$A$2:$P$700, MATCH('Auto Menu'!$G121, 'Master List Import'!$M$2:$M$700), 16)</f>
        <v>13</v>
      </c>
      <c r="J121" s="11"/>
      <c r="K121" s="31"/>
      <c r="L121" s="22">
        <v>3031</v>
      </c>
      <c r="M121" s="8" t="str">
        <f>INDEX('Master List Import'!$A$2:$P$700, MATCH('Auto Menu'!$L121, 'Master List Import'!$M$2:$M$700), 14)</f>
        <v>#2 Pencil</v>
      </c>
      <c r="N121" s="63">
        <f>INDEX('Master List Import'!$A$2:$P$700, MATCH('Auto Menu'!$L121, 'Master List Import'!$M$2:$M$700), 16)</f>
        <v>0.5</v>
      </c>
    </row>
    <row r="122" spans="1:14" ht="11.25" customHeight="1" x14ac:dyDescent="0.25">
      <c r="A122" s="70" t="s">
        <v>217</v>
      </c>
      <c r="B122" s="70"/>
      <c r="C122" s="70"/>
      <c r="D122" s="70"/>
      <c r="E122" s="10"/>
      <c r="F122" s="27"/>
      <c r="G122" s="12">
        <v>3660</v>
      </c>
      <c r="H122" s="19" t="s">
        <v>218</v>
      </c>
      <c r="I122" s="63">
        <f>INDEX('Master List Import'!$A$2:$P$700, MATCH('Auto Menu'!$G122, 'Master List Import'!$M$2:$M$700), 16)</f>
        <v>17</v>
      </c>
      <c r="J122" s="11"/>
      <c r="K122" s="30"/>
      <c r="L122" s="23">
        <v>3035</v>
      </c>
      <c r="M122" s="8" t="str">
        <f>INDEX('Master List Import'!$A$2:$P$700, MATCH('Auto Menu'!$L122, 'Master List Import'!$M$2:$M$700), 14)</f>
        <v>Colored Pencils (12pk)</v>
      </c>
      <c r="N122" s="63">
        <f>INDEX('Master List Import'!$A$2:$P$700, MATCH('Auto Menu'!$L122, 'Master List Import'!$M$2:$M$700), 16)</f>
        <v>5</v>
      </c>
    </row>
    <row r="123" spans="1:14" ht="11.25" customHeight="1" x14ac:dyDescent="0.25">
      <c r="A123" s="6"/>
      <c r="B123" s="22">
        <v>2300</v>
      </c>
      <c r="C123" s="8" t="str">
        <f>INDEX('Master List Import'!$A$2:$P$700, MATCH('Auto Menu'!$B123, 'Master List Import'!$M$2:$M$700), 14)</f>
        <v>AA Batteries (2pk)</v>
      </c>
      <c r="D123" s="63">
        <f>INDEX('Master List Import'!$A$2:$P$700, MATCH('Auto Menu'!$B123, 'Master List Import'!$M$2:$M$700), 16)</f>
        <v>2.8</v>
      </c>
      <c r="E123" s="10"/>
      <c r="F123" s="11"/>
      <c r="G123" s="34" t="s">
        <v>221</v>
      </c>
      <c r="H123" s="11"/>
      <c r="I123" s="9"/>
      <c r="J123" s="11"/>
      <c r="K123" s="30"/>
      <c r="L123" s="23">
        <v>3040</v>
      </c>
      <c r="M123" s="8" t="str">
        <f>INDEX('Master List Import'!$A$2:$P$700, MATCH('Auto Menu'!$L123, 'Master List Import'!$M$2:$M$700), 14)</f>
        <v>Eraser Cap</v>
      </c>
      <c r="N123" s="63">
        <f>INDEX('Master List Import'!$A$2:$P$700, MATCH('Auto Menu'!$L123, 'Master List Import'!$M$2:$M$700), 16)</f>
        <v>0.15</v>
      </c>
    </row>
    <row r="124" spans="1:14" ht="11.25" customHeight="1" x14ac:dyDescent="0.25">
      <c r="A124" s="27"/>
      <c r="B124" s="23">
        <v>2301</v>
      </c>
      <c r="C124" s="8" t="str">
        <f>INDEX('Master List Import'!$A$2:$P$700, MATCH('Auto Menu'!$B124, 'Master List Import'!$M$2:$M$700), 14)</f>
        <v>AA Batteries (4pk)</v>
      </c>
      <c r="D124" s="63">
        <f>INDEX('Master List Import'!$A$2:$P$700, MATCH('Auto Menu'!$B124, 'Master List Import'!$M$2:$M$700), 16)</f>
        <v>3.75</v>
      </c>
      <c r="E124" s="10"/>
      <c r="F124" s="11"/>
      <c r="G124" s="11"/>
      <c r="H124" s="11"/>
      <c r="I124" s="11"/>
      <c r="J124" s="11"/>
      <c r="K124" s="30"/>
      <c r="L124" s="23">
        <v>3050</v>
      </c>
      <c r="M124" s="8" t="str">
        <f>INDEX('Master List Import'!$A$2:$P$700, MATCH('Auto Menu'!$L124, 'Master List Import'!$M$2:$M$700), 14)</f>
        <v>Flex Pen</v>
      </c>
      <c r="N124" s="63">
        <f>INDEX('Master List Import'!$A$2:$P$700, MATCH('Auto Menu'!$L124, 'Master List Import'!$M$2:$M$700), 16)</f>
        <v>0.55000000000000004</v>
      </c>
    </row>
    <row r="125" spans="1:14" ht="11.25" customHeight="1" x14ac:dyDescent="0.25">
      <c r="A125" s="27"/>
      <c r="B125" s="23">
        <v>2310</v>
      </c>
      <c r="C125" s="8" t="str">
        <f>INDEX('Master List Import'!$A$2:$P$700, MATCH('Auto Menu'!$B125, 'Master List Import'!$M$2:$M$700), 14)</f>
        <v>AAA Batteries (2pk)</v>
      </c>
      <c r="D125" s="63">
        <f>INDEX('Master List Import'!$A$2:$P$700, MATCH('Auto Menu'!$B125, 'Master List Import'!$M$2:$M$700), 16)</f>
        <v>2.8</v>
      </c>
      <c r="E125" s="10"/>
      <c r="F125" s="70" t="s">
        <v>226</v>
      </c>
      <c r="G125" s="70"/>
      <c r="H125" s="70"/>
      <c r="I125" s="70"/>
      <c r="J125" s="11"/>
      <c r="K125" s="30"/>
      <c r="L125" s="23">
        <v>3051</v>
      </c>
      <c r="M125" s="8" t="str">
        <f>INDEX('Master List Import'!$A$2:$P$700, MATCH('Auto Menu'!$L125, 'Master List Import'!$M$2:$M$700), 14)</f>
        <v>BIC Pen, Black</v>
      </c>
      <c r="N125" s="63">
        <f>INDEX('Master List Import'!$A$2:$P$700, MATCH('Auto Menu'!$L125, 'Master List Import'!$M$2:$M$700), 16)</f>
        <v>1</v>
      </c>
    </row>
    <row r="126" spans="1:14" ht="11.25" customHeight="1" x14ac:dyDescent="0.25">
      <c r="A126" s="27"/>
      <c r="B126" s="23">
        <v>2400</v>
      </c>
      <c r="C126" s="8" t="str">
        <f>INDEX('Master List Import'!$A$2:$P$700, MATCH('Auto Menu'!$B126, 'Master List Import'!$M$2:$M$700), 14)</f>
        <v>AM/FM Radio</v>
      </c>
      <c r="D126" s="63">
        <f>INDEX('Master List Import'!$A$2:$P$700, MATCH('Auto Menu'!$B126, 'Master List Import'!$M$2:$M$700), 16)</f>
        <v>40.5</v>
      </c>
      <c r="E126" s="10"/>
      <c r="F126" s="6"/>
      <c r="G126" s="7">
        <v>3900</v>
      </c>
      <c r="H126" s="8" t="str">
        <f>INDEX('Master List Import'!$A$2:$P$700, MATCH('Auto Menu'!$G126, 'Master List Import'!$M$2:$M$700), 14)</f>
        <v>E-Cig, Regular</v>
      </c>
      <c r="I126" s="63">
        <f>INDEX('Master List Import'!$A$2:$P$700, MATCH('Auto Menu'!$G126, 'Master List Import'!$M$2:$M$700), 16)</f>
        <v>13</v>
      </c>
      <c r="J126" s="11"/>
      <c r="K126" s="30"/>
      <c r="L126" s="23">
        <v>3052</v>
      </c>
      <c r="M126" s="8" t="str">
        <f>INDEX('Master List Import'!$A$2:$P$700, MATCH('Auto Menu'!$L126, 'Master List Import'!$M$2:$M$700), 14)</f>
        <v>BIC Cristal Pen, Blue</v>
      </c>
      <c r="N126" s="63">
        <f>INDEX('Master List Import'!$A$2:$P$700, MATCH('Auto Menu'!$L126, 'Master List Import'!$M$2:$M$700), 16)</f>
        <v>1</v>
      </c>
    </row>
    <row r="127" spans="1:14" ht="11.25" customHeight="1" x14ac:dyDescent="0.25">
      <c r="A127" s="27"/>
      <c r="B127" s="23">
        <v>2500</v>
      </c>
      <c r="C127" s="8" t="str">
        <f>INDEX('Master List Import'!$A$2:$P$700, MATCH('Auto Menu'!$B127, 'Master List Import'!$M$2:$M$700), 14)</f>
        <v>Sentry Earbuds</v>
      </c>
      <c r="D127" s="63">
        <f>INDEX('Master List Import'!$A$2:$P$700, MATCH('Auto Menu'!$B127, 'Master List Import'!$M$2:$M$700), 16)</f>
        <v>4.3</v>
      </c>
      <c r="E127" s="11"/>
      <c r="F127" s="6"/>
      <c r="G127" s="12">
        <v>3901</v>
      </c>
      <c r="H127" s="8" t="str">
        <f>INDEX('Master List Import'!$A$2:$P$700, MATCH('Auto Menu'!$G127, 'Master List Import'!$M$2:$M$700), 14)</f>
        <v>E-Cig, Menthol</v>
      </c>
      <c r="I127" s="63">
        <f>INDEX('Master List Import'!$A$2:$P$700, MATCH('Auto Menu'!$G127, 'Master List Import'!$M$2:$M$700), 16)</f>
        <v>13</v>
      </c>
      <c r="J127" s="11"/>
      <c r="K127" s="30"/>
      <c r="L127" s="23">
        <v>3060</v>
      </c>
      <c r="M127" s="8" t="str">
        <f>INDEX('Master List Import'!$A$2:$P$700, MATCH('Auto Menu'!$L127, 'Master List Import'!$M$2:$M$700), 14)</f>
        <v>Pencil Sharpener</v>
      </c>
      <c r="N127" s="63">
        <f>INDEX('Master List Import'!$A$2:$P$700, MATCH('Auto Menu'!$L127, 'Master List Import'!$M$2:$M$700), 16)</f>
        <v>0.5</v>
      </c>
    </row>
    <row r="128" spans="1:14" ht="11.25" customHeight="1" x14ac:dyDescent="0.25">
      <c r="A128" s="27"/>
      <c r="B128" s="23">
        <v>2501</v>
      </c>
      <c r="C128" s="8" t="str">
        <f>INDEX('Master List Import'!$A$2:$P$700, MATCH('Auto Menu'!$B128, 'Master List Import'!$M$2:$M$700), 14)</f>
        <v>Koss CL-3 Earbuds</v>
      </c>
      <c r="D128" s="63">
        <f>INDEX('Master List Import'!$A$2:$P$700, MATCH('Auto Menu'!$B128, 'Master List Import'!$M$2:$M$700), 16)</f>
        <v>8.6</v>
      </c>
      <c r="E128" s="11"/>
      <c r="F128" s="11"/>
      <c r="G128" s="11"/>
      <c r="H128" s="11"/>
      <c r="I128" s="11"/>
      <c r="J128" s="11"/>
      <c r="K128" s="30"/>
      <c r="L128" s="23">
        <v>3150</v>
      </c>
      <c r="M128" s="8" t="str">
        <f>INDEX('Master List Import'!$A$2:$P$700, MATCH('Auto Menu'!$L128, 'Master List Import'!$M$2:$M$700), 14)</f>
        <v>Photo Album</v>
      </c>
      <c r="N128" s="63">
        <f>INDEX('Master List Import'!$A$2:$P$700, MATCH('Auto Menu'!$L128, 'Master List Import'!$M$2:$M$700), 16)</f>
        <v>5.25</v>
      </c>
    </row>
    <row r="129" spans="1:14" ht="11.25" customHeight="1" x14ac:dyDescent="0.25">
      <c r="A129" s="27"/>
      <c r="B129" s="23">
        <v>2510</v>
      </c>
      <c r="C129" s="8" t="str">
        <f>INDEX('Master List Import'!$A$2:$P$700, MATCH('Auto Menu'!$B129, 'Master List Import'!$M$2:$M$700), 14)</f>
        <v>Earbuds w/Microphone</v>
      </c>
      <c r="D129" s="63">
        <f>INDEX('Master List Import'!$A$2:$P$700, MATCH('Auto Menu'!$B129, 'Master List Import'!$M$2:$M$700), 16)</f>
        <v>5</v>
      </c>
      <c r="E129" s="11"/>
      <c r="F129" s="70" t="s">
        <v>233</v>
      </c>
      <c r="G129" s="70"/>
      <c r="H129" s="70"/>
      <c r="I129" s="70"/>
      <c r="J129" s="11"/>
      <c r="K129" s="26"/>
      <c r="L129" s="22">
        <v>3100</v>
      </c>
      <c r="M129" s="8" t="str">
        <f>INDEX('Master List Import'!$A$2:$P$700, MATCH('Auto Menu'!$L129, 'Master List Import'!$M$2:$M$700), 14)</f>
        <v>Friendship Card</v>
      </c>
      <c r="N129" s="63">
        <f>INDEX('Master List Import'!$A$2:$P$700, MATCH('Auto Menu'!$L129, 'Master List Import'!$M$2:$M$700), 16)</f>
        <v>1.05</v>
      </c>
    </row>
    <row r="130" spans="1:14" ht="11.25" customHeight="1" x14ac:dyDescent="0.25">
      <c r="A130" s="27"/>
      <c r="B130" s="23">
        <v>2520</v>
      </c>
      <c r="C130" s="8" t="str">
        <f>INDEX('Master List Import'!$A$2:$P$700, MATCH('Auto Menu'!$B130, 'Master List Import'!$M$2:$M$700), 14)</f>
        <v>Clear Headphones w/Cord</v>
      </c>
      <c r="D130" s="63">
        <f>INDEX('Master List Import'!$A$2:$P$700, MATCH('Auto Menu'!$B130, 'Master List Import'!$M$2:$M$700), 16)</f>
        <v>20</v>
      </c>
      <c r="E130" s="11"/>
      <c r="F130" s="6"/>
      <c r="G130" s="7">
        <v>3930</v>
      </c>
      <c r="H130" s="8" t="str">
        <f>INDEX('Master List Import'!$A$2:$P$700, MATCH('Auto Menu'!$G130, 'Master List Import'!$M$2:$M$700), 14)</f>
        <v>E-Cig, Menthol</v>
      </c>
      <c r="I130" s="63">
        <f>INDEX('Master List Import'!$A$2:$P$700, MATCH('Auto Menu'!$G130, 'Master List Import'!$M$2:$M$700), 16)</f>
        <v>13</v>
      </c>
      <c r="J130" s="11"/>
      <c r="K130" s="30"/>
      <c r="L130" s="23">
        <v>3101</v>
      </c>
      <c r="M130" s="8" t="str">
        <f>INDEX('Master List Import'!$A$2:$P$700, MATCH('Auto Menu'!$L130, 'Master List Import'!$M$2:$M$700), 14)</f>
        <v>Love Card</v>
      </c>
      <c r="N130" s="63">
        <f>INDEX('Master List Import'!$A$2:$P$700, MATCH('Auto Menu'!$L130, 'Master List Import'!$M$2:$M$700), 16)</f>
        <v>1.05</v>
      </c>
    </row>
    <row r="131" spans="1:14" ht="11.25" customHeight="1" x14ac:dyDescent="0.25">
      <c r="A131" s="11"/>
      <c r="B131" s="11"/>
      <c r="C131" s="11"/>
      <c r="D131" s="31"/>
      <c r="E131" s="11"/>
      <c r="F131" s="6"/>
      <c r="G131" s="12">
        <v>3931</v>
      </c>
      <c r="H131" s="8" t="str">
        <f>INDEX('Master List Import'!$A$2:$P$700, MATCH('Auto Menu'!$G131, 'Master List Import'!$M$2:$M$700), 14)</f>
        <v>E-Cig, Menthol</v>
      </c>
      <c r="I131" s="63">
        <f>INDEX('Master List Import'!$A$2:$P$700, MATCH('Auto Menu'!$G131, 'Master List Import'!$M$2:$M$700), 16)</f>
        <v>13</v>
      </c>
      <c r="J131" s="11"/>
      <c r="K131" s="30"/>
      <c r="L131" s="23">
        <v>3102</v>
      </c>
      <c r="M131" s="8" t="str">
        <f>INDEX('Master List Import'!$A$2:$P$700, MATCH('Auto Menu'!$L131, 'Master List Import'!$M$2:$M$700), 14)</f>
        <v>Birthday Card</v>
      </c>
      <c r="N131" s="63">
        <f>INDEX('Master List Import'!$A$2:$P$700, MATCH('Auto Menu'!$L131, 'Master List Import'!$M$2:$M$700), 16)</f>
        <v>1.05</v>
      </c>
    </row>
    <row r="132" spans="1:14" ht="11.25" customHeight="1" x14ac:dyDescent="0.25">
      <c r="A132" s="70" t="s">
        <v>238</v>
      </c>
      <c r="B132" s="70"/>
      <c r="C132" s="70"/>
      <c r="D132" s="70"/>
      <c r="E132" s="11"/>
      <c r="F132" s="6"/>
      <c r="G132" s="12">
        <v>3932</v>
      </c>
      <c r="H132" s="8" t="str">
        <f>INDEX('Master List Import'!$A$2:$P$700, MATCH('Auto Menu'!$G132, 'Master List Import'!$M$2:$M$700), 14)</f>
        <v>E-Cig, Menthol</v>
      </c>
      <c r="I132" s="63">
        <f>INDEX('Master List Import'!$A$2:$P$700, MATCH('Auto Menu'!$G132, 'Master List Import'!$M$2:$M$700), 16)</f>
        <v>13</v>
      </c>
      <c r="J132" s="11"/>
      <c r="K132" s="30"/>
      <c r="L132" s="23">
        <v>3103</v>
      </c>
      <c r="M132" s="8" t="str">
        <f>INDEX('Master List Import'!$A$2:$P$700, MATCH('Auto Menu'!$L132, 'Master List Import'!$M$2:$M$700), 14)</f>
        <v>Holiday Card</v>
      </c>
      <c r="N132" s="63">
        <f>INDEX('Master List Import'!$A$2:$P$700, MATCH('Auto Menu'!$L132, 'Master List Import'!$M$2:$M$700), 16)</f>
        <v>1.05</v>
      </c>
    </row>
    <row r="133" spans="1:14" ht="11.25" customHeight="1" x14ac:dyDescent="0.25">
      <c r="A133" s="6"/>
      <c r="B133" s="22">
        <v>2600</v>
      </c>
      <c r="C133" s="8" t="str">
        <f>INDEX('Master List Import'!$A$2:$P$700, MATCH('Auto Menu'!$B133, 'Master List Import'!$M$2:$M$700), 14)</f>
        <v>Playing Cards</v>
      </c>
      <c r="D133" s="63">
        <f>INDEX('Master List Import'!$A$2:$P$700, MATCH('Auto Menu'!$B133, 'Master List Import'!$M$2:$M$700), 16)</f>
        <v>1.85</v>
      </c>
      <c r="E133" s="11"/>
      <c r="F133" s="6"/>
      <c r="G133" s="12">
        <v>3933</v>
      </c>
      <c r="H133" s="8" t="str">
        <f>INDEX('Master List Import'!$A$2:$P$700, MATCH('Auto Menu'!$G133, 'Master List Import'!$M$2:$M$700), 14)</f>
        <v>E-Cig, Menthol</v>
      </c>
      <c r="I133" s="63">
        <f>INDEX('Master List Import'!$A$2:$P$700, MATCH('Auto Menu'!$G133, 'Master List Import'!$M$2:$M$700), 16)</f>
        <v>13</v>
      </c>
      <c r="J133" s="11"/>
      <c r="K133" s="30"/>
      <c r="L133" s="23">
        <v>3104</v>
      </c>
      <c r="M133" s="8" t="str">
        <f>INDEX('Master List Import'!$A$2:$P$700, MATCH('Auto Menu'!$L133, 'Master List Import'!$M$2:$M$700), 14)</f>
        <v>Christmas Card</v>
      </c>
      <c r="N133" s="63">
        <f>INDEX('Master List Import'!$A$2:$P$700, MATCH('Auto Menu'!$L133, 'Master List Import'!$M$2:$M$700), 16)</f>
        <v>1.05</v>
      </c>
    </row>
    <row r="134" spans="1:14" ht="11.25" customHeight="1" x14ac:dyDescent="0.25">
      <c r="A134" s="27"/>
      <c r="B134" s="23">
        <v>2601</v>
      </c>
      <c r="C134" s="8" t="str">
        <f>INDEX('Master List Import'!$A$2:$P$700, MATCH('Auto Menu'!$B134, 'Master List Import'!$M$2:$M$700), 14)</f>
        <v>Double-Six Dominoes</v>
      </c>
      <c r="D134" s="63">
        <f>INDEX('Master List Import'!$A$2:$P$700, MATCH('Auto Menu'!$B134, 'Master List Import'!$M$2:$M$700), 16)</f>
        <v>5.25</v>
      </c>
      <c r="E134" s="11"/>
      <c r="F134" s="6"/>
      <c r="G134" s="12">
        <v>3934</v>
      </c>
      <c r="H134" s="8" t="str">
        <f>INDEX('Master List Import'!$A$2:$P$700, MATCH('Auto Menu'!$G134, 'Master List Import'!$M$2:$M$700), 14)</f>
        <v>E-Cig, Menthol</v>
      </c>
      <c r="I134" s="63">
        <f>INDEX('Master List Import'!$A$2:$P$700, MATCH('Auto Menu'!$G134, 'Master List Import'!$M$2:$M$700), 16)</f>
        <v>13</v>
      </c>
      <c r="J134" s="11"/>
      <c r="K134" s="30"/>
      <c r="L134" s="23">
        <v>3105</v>
      </c>
      <c r="M134" s="8" t="str">
        <f>INDEX('Master List Import'!$A$2:$P$700, MATCH('Auto Menu'!$L134, 'Master List Import'!$M$2:$M$700), 14)</f>
        <v>Blank Card</v>
      </c>
      <c r="N134" s="63">
        <f>INDEX('Master List Import'!$A$2:$P$700, MATCH('Auto Menu'!$L134, 'Master List Import'!$M$2:$M$700), 16)</f>
        <v>1.05</v>
      </c>
    </row>
    <row r="135" spans="1:14" ht="11.25" customHeight="1" x14ac:dyDescent="0.25">
      <c r="A135" s="27"/>
      <c r="B135" s="23">
        <v>2610</v>
      </c>
      <c r="C135" s="8" t="str">
        <f>INDEX('Master List Import'!$A$2:$P$700, MATCH('Auto Menu'!$B135, 'Master List Import'!$M$2:$M$700), 14)</f>
        <v>Checkers Set</v>
      </c>
      <c r="D135" s="63">
        <f>INDEX('Master List Import'!$A$2:$P$700, MATCH('Auto Menu'!$B135, 'Master List Import'!$M$2:$M$700), 16)</f>
        <v>8.75</v>
      </c>
      <c r="E135" s="11"/>
      <c r="F135" s="6"/>
      <c r="G135" s="7">
        <v>3935</v>
      </c>
      <c r="H135" s="8" t="str">
        <f>INDEX('Master List Import'!$A$2:$P$700, MATCH('Auto Menu'!$G135, 'Master List Import'!$M$2:$M$700), 14)</f>
        <v>E-Cig, Menthol</v>
      </c>
      <c r="I135" s="63">
        <f>INDEX('Master List Import'!$A$2:$P$700, MATCH('Auto Menu'!$G135, 'Master List Import'!$M$2:$M$700), 16)</f>
        <v>13</v>
      </c>
      <c r="J135" s="11"/>
      <c r="K135" s="30"/>
      <c r="L135" s="23">
        <v>3106</v>
      </c>
      <c r="M135" s="8" t="str">
        <f>INDEX('Master List Import'!$A$2:$P$700, MATCH('Auto Menu'!$L135, 'Master List Import'!$M$2:$M$700), 14)</f>
        <v>Thanksgiving Card</v>
      </c>
      <c r="N135" s="63">
        <f>INDEX('Master List Import'!$A$2:$P$700, MATCH('Auto Menu'!$L135, 'Master List Import'!$M$2:$M$700), 16)</f>
        <v>1.05</v>
      </c>
    </row>
    <row r="136" spans="1:14" ht="11.25" customHeight="1" x14ac:dyDescent="0.25">
      <c r="A136" s="27"/>
      <c r="B136" s="23">
        <v>2611</v>
      </c>
      <c r="C136" s="8" t="str">
        <f>INDEX('Master List Import'!$A$2:$P$700, MATCH('Auto Menu'!$B136, 'Master List Import'!$M$2:$M$700), 14)</f>
        <v>Chess Set</v>
      </c>
      <c r="D136" s="63">
        <f>INDEX('Master List Import'!$A$2:$P$700, MATCH('Auto Menu'!$B136, 'Master List Import'!$M$2:$M$700), 16)</f>
        <v>10.5</v>
      </c>
      <c r="E136" s="11"/>
      <c r="F136" s="6"/>
      <c r="G136" s="7">
        <v>3936</v>
      </c>
      <c r="H136" s="8" t="str">
        <f>INDEX('Master List Import'!$A$2:$P$700, MATCH('Auto Menu'!$G136, 'Master List Import'!$M$2:$M$700), 14)</f>
        <v>E-Cig, Menthol</v>
      </c>
      <c r="I136" s="63">
        <f>INDEX('Master List Import'!$A$2:$P$700, MATCH('Auto Menu'!$G136, 'Master List Import'!$M$2:$M$700), 16)</f>
        <v>13</v>
      </c>
      <c r="J136" s="11"/>
      <c r="K136" s="30"/>
      <c r="L136" s="12">
        <v>3107</v>
      </c>
      <c r="M136" s="8" t="str">
        <f>INDEX('Master List Import'!$A$2:$P$700, MATCH('Auto Menu'!$L136, 'Master List Import'!$M$2:$M$700), 14)</f>
        <v>Mother's Day Card</v>
      </c>
      <c r="N136" s="63">
        <f>INDEX('Master List Import'!$A$2:$P$700, MATCH('Auto Menu'!$L136, 'Master List Import'!$M$2:$M$700), 16)</f>
        <v>1.05</v>
      </c>
    </row>
    <row r="137" spans="1:14" ht="11.25" customHeight="1" x14ac:dyDescent="0.25">
      <c r="A137" s="27"/>
      <c r="B137" s="23">
        <v>2620</v>
      </c>
      <c r="C137" s="8" t="str">
        <f>INDEX('Master List Import'!$A$2:$P$700, MATCH('Auto Menu'!$B137, 'Master List Import'!$M$2:$M$700), 14)</f>
        <v>Variety Puzzle Book</v>
      </c>
      <c r="D137" s="63">
        <f>INDEX('Master List Import'!$A$2:$P$700, MATCH('Auto Menu'!$B137, 'Master List Import'!$M$2:$M$700), 16)</f>
        <v>2.85</v>
      </c>
      <c r="E137" s="11"/>
      <c r="F137" s="6"/>
      <c r="G137" s="12">
        <v>3940</v>
      </c>
      <c r="H137" s="8" t="str">
        <f>INDEX('Master List Import'!$A$2:$P$700, MATCH('Auto Menu'!$G137, 'Master List Import'!$M$2:$M$700), 14)</f>
        <v>2ONE Wintergreen - 8mg</v>
      </c>
      <c r="I137" s="63">
        <f>INDEX('Master List Import'!$A$2:$P$700, MATCH('Auto Menu'!$G137, 'Master List Import'!$M$2:$M$700), 16)</f>
        <v>13</v>
      </c>
      <c r="J137" s="11"/>
      <c r="K137" s="30"/>
      <c r="L137" s="12">
        <v>3108</v>
      </c>
      <c r="M137" s="8" t="str">
        <f>INDEX('Master List Import'!$A$2:$P$700, MATCH('Auto Menu'!$L137, 'Master List Import'!$M$2:$M$700), 14)</f>
        <v>Easter Card</v>
      </c>
      <c r="N137" s="63">
        <f>INDEX('Master List Import'!$A$2:$P$700, MATCH('Auto Menu'!$L137, 'Master List Import'!$M$2:$M$700), 16)</f>
        <v>1.05</v>
      </c>
    </row>
    <row r="138" spans="1:14" ht="11.25" customHeight="1" x14ac:dyDescent="0.25">
      <c r="A138" s="27"/>
      <c r="B138" s="23">
        <v>2621</v>
      </c>
      <c r="C138" s="8" t="str">
        <f>INDEX('Master List Import'!$A$2:$P$700, MATCH('Auto Menu'!$B138, 'Master List Import'!$M$2:$M$700), 14)</f>
        <v>Bible Word Find Book</v>
      </c>
      <c r="D138" s="63">
        <f>INDEX('Master List Import'!$A$2:$P$700, MATCH('Auto Menu'!$B138, 'Master List Import'!$M$2:$M$700), 16)</f>
        <v>2.85</v>
      </c>
      <c r="E138" s="11"/>
      <c r="F138" s="6"/>
      <c r="G138" s="12">
        <v>3941</v>
      </c>
      <c r="H138" s="8" t="str">
        <f>INDEX('Master List Import'!$A$2:$P$700, MATCH('Auto Menu'!$G138, 'Master List Import'!$M$2:$M$700), 14)</f>
        <v>2ONE Glacier Mint - 8mg</v>
      </c>
      <c r="I138" s="63">
        <f>INDEX('Master List Import'!$A$2:$P$700, MATCH('Auto Menu'!$G138, 'Master List Import'!$M$2:$M$700), 16)</f>
        <v>13</v>
      </c>
      <c r="J138" s="11"/>
      <c r="K138" s="30"/>
      <c r="L138" s="12">
        <v>3110</v>
      </c>
      <c r="M138" s="8" t="str">
        <f>INDEX('Master List Import'!$A$2:$P$700, MATCH('Auto Menu'!$L138, 'Master List Import'!$M$2:$M$700), 14)</f>
        <v>Father's Day Card</v>
      </c>
      <c r="N138" s="63">
        <f>INDEX('Master List Import'!$A$2:$P$700, MATCH('Auto Menu'!$L138, 'Master List Import'!$M$2:$M$700), 16)</f>
        <v>1.05</v>
      </c>
    </row>
    <row r="139" spans="1:14" ht="11.25" customHeight="1" x14ac:dyDescent="0.25">
      <c r="A139" s="27"/>
      <c r="B139" s="23">
        <v>2602</v>
      </c>
      <c r="C139" s="8" t="str">
        <f>INDEX('Master List Import'!$A$2:$P$700, MATCH('Auto Menu'!$B139, 'Master List Import'!$M$2:$M$700), 14)</f>
        <v>SKIP BO</v>
      </c>
      <c r="D139" s="63">
        <f>INDEX('Master List Import'!$A$2:$P$700, MATCH('Auto Menu'!$B139, 'Master List Import'!$M$2:$M$700), 16)</f>
        <v>22</v>
      </c>
      <c r="E139" s="11"/>
      <c r="F139" s="6"/>
      <c r="G139" s="7">
        <v>3942</v>
      </c>
      <c r="H139" s="8" t="str">
        <f>INDEX('Master List Import'!$A$2:$P$700, MATCH('Auto Menu'!$G139, 'Master List Import'!$M$2:$M$700), 14)</f>
        <v>2ONE Very Berry - 8mg</v>
      </c>
      <c r="I139" s="63">
        <f>INDEX('Master List Import'!$A$2:$P$700, MATCH('Auto Menu'!$G139, 'Master List Import'!$M$2:$M$700), 16)</f>
        <v>13</v>
      </c>
      <c r="J139" s="11"/>
      <c r="K139" s="30"/>
      <c r="L139" s="12">
        <v>3111</v>
      </c>
      <c r="M139" s="8" t="str">
        <f>INDEX('Master List Import'!$A$2:$P$700, MATCH('Auto Menu'!$L139, 'Master List Import'!$M$2:$M$700), 14)</f>
        <v>Get Well Card</v>
      </c>
      <c r="N139" s="63">
        <f>INDEX('Master List Import'!$A$2:$P$700, MATCH('Auto Menu'!$L139, 'Master List Import'!$M$2:$M$700), 16)</f>
        <v>1.05</v>
      </c>
    </row>
    <row r="140" spans="1:14" ht="11.25" customHeight="1" x14ac:dyDescent="0.25">
      <c r="A140" s="27"/>
      <c r="B140" s="23">
        <v>2603</v>
      </c>
      <c r="C140" s="8" t="str">
        <f>INDEX('Master List Import'!$A$2:$P$700, MATCH('Auto Menu'!$B140, 'Master List Import'!$M$2:$M$700), 14)</f>
        <v>Rook</v>
      </c>
      <c r="D140" s="63">
        <f>INDEX('Master List Import'!$A$2:$P$700, MATCH('Auto Menu'!$B140, 'Master List Import'!$M$2:$M$700), 16)</f>
        <v>13</v>
      </c>
      <c r="E140" s="11"/>
      <c r="F140" s="6"/>
      <c r="G140" s="12">
        <v>3943</v>
      </c>
      <c r="H140" s="8" t="str">
        <f>INDEX('Master List Import'!$A$2:$P$700, MATCH('Auto Menu'!$G140, 'Master List Import'!$M$2:$M$700), 14)</f>
        <v>2ONE Mocha Java - 8mg</v>
      </c>
      <c r="I140" s="63">
        <f>INDEX('Master List Import'!$A$2:$P$700, MATCH('Auto Menu'!$G140, 'Master List Import'!$M$2:$M$700), 16)</f>
        <v>13</v>
      </c>
      <c r="J140" s="11"/>
      <c r="K140" s="30"/>
      <c r="L140" s="12">
        <v>3112</v>
      </c>
      <c r="M140" s="8" t="str">
        <f>INDEX('Master List Import'!$A$2:$P$700, MATCH('Auto Menu'!$L140, 'Master List Import'!$M$2:$M$700), 14)</f>
        <v>Halloween Card</v>
      </c>
      <c r="N140" s="63">
        <f>INDEX('Master List Import'!$A$2:$P$700, MATCH('Auto Menu'!$L140, 'Master List Import'!$M$2:$M$700), 16)</f>
        <v>1.05</v>
      </c>
    </row>
    <row r="141" spans="1:14" ht="11.25" customHeight="1" x14ac:dyDescent="0.25">
      <c r="A141" s="27"/>
      <c r="B141" s="23">
        <v>2604</v>
      </c>
      <c r="C141" s="8" t="str">
        <f>INDEX('Master List Import'!$A$2:$P$700, MATCH('Auto Menu'!$B141, 'Master List Import'!$M$2:$M$700), 14)</f>
        <v>Farkle Flip</v>
      </c>
      <c r="D141" s="63">
        <f>INDEX('Master List Import'!$A$2:$P$700, MATCH('Auto Menu'!$B141, 'Master List Import'!$M$2:$M$700), 16)</f>
        <v>15</v>
      </c>
      <c r="E141" s="11"/>
      <c r="F141" s="35"/>
      <c r="G141" s="36"/>
      <c r="H141" s="37"/>
      <c r="I141" s="29"/>
      <c r="J141" s="11"/>
      <c r="K141" s="30"/>
      <c r="L141" s="12">
        <v>3113</v>
      </c>
      <c r="M141" s="8" t="str">
        <f>INDEX('Master List Import'!$A$2:$P$700, MATCH('Auto Menu'!$L141, 'Master List Import'!$M$2:$M$700), 14)</f>
        <v>Valentine's Day Card</v>
      </c>
      <c r="N141" s="63">
        <f>INDEX('Master List Import'!$A$2:$P$700, MATCH('Auto Menu'!$L141, 'Master List Import'!$M$2:$M$700), 16)</f>
        <v>1.05</v>
      </c>
    </row>
    <row r="142" spans="1:14" ht="11.25" customHeight="1" x14ac:dyDescent="0.25">
      <c r="A142" s="27"/>
      <c r="B142" s="23">
        <v>2605</v>
      </c>
      <c r="C142" s="8" t="str">
        <f>INDEX('Master List Import'!$A$2:$P$700, MATCH('Auto Menu'!$B142, 'Master List Import'!$M$2:$M$700), 14)</f>
        <v>Phase 10</v>
      </c>
      <c r="D142" s="63">
        <f>INDEX('Master List Import'!$A$2:$P$700, MATCH('Auto Menu'!$B142, 'Master List Import'!$M$2:$M$700), 16)</f>
        <v>21</v>
      </c>
      <c r="E142" s="11"/>
      <c r="F142" s="70" t="s">
        <v>255</v>
      </c>
      <c r="G142" s="70"/>
      <c r="H142" s="70"/>
      <c r="I142" s="70"/>
      <c r="J142" s="11"/>
      <c r="K142" s="26"/>
      <c r="L142" s="22">
        <v>3200</v>
      </c>
      <c r="M142" s="8" t="str">
        <f>INDEX('Master List Import'!$A$2:$P$700, MATCH('Auto Menu'!$L142, 'Master List Import'!$M$2:$M$700), 14)</f>
        <v>#10 Envelopes (50ct)</v>
      </c>
      <c r="N142" s="63">
        <f>INDEX('Master List Import'!$A$2:$P$700, MATCH('Auto Menu'!$L142, 'Master List Import'!$M$2:$M$700), 16)</f>
        <v>3.1</v>
      </c>
    </row>
    <row r="143" spans="1:14" ht="11.25" customHeight="1" x14ac:dyDescent="0.25">
      <c r="A143" s="27"/>
      <c r="B143" s="23">
        <v>2606</v>
      </c>
      <c r="C143" s="8" t="str">
        <f>INDEX('Master List Import'!$A$2:$P$700, MATCH('Auto Menu'!$B143, 'Master List Import'!$M$2:$M$700), 14)</f>
        <v>UNO</v>
      </c>
      <c r="D143" s="63">
        <f>INDEX('Master List Import'!$A$2:$P$700, MATCH('Auto Menu'!$B143, 'Master List Import'!$M$2:$M$700), 16)</f>
        <v>20</v>
      </c>
      <c r="E143" s="11"/>
      <c r="F143" s="6"/>
      <c r="G143" s="7" t="s">
        <v>258</v>
      </c>
      <c r="H143" s="17" t="s">
        <v>259</v>
      </c>
      <c r="I143" s="38" t="s">
        <v>260</v>
      </c>
      <c r="J143" s="11"/>
      <c r="K143" s="30"/>
      <c r="L143" s="23">
        <v>3201</v>
      </c>
      <c r="M143" s="8" t="str">
        <f>INDEX('Master List Import'!$A$2:$P$700, MATCH('Auto Menu'!$L143, 'Master List Import'!$M$2:$M$700), 14)</f>
        <v>Single #10 Envelope</v>
      </c>
      <c r="N143" s="63">
        <f>INDEX('Master List Import'!$A$2:$P$700, MATCH('Auto Menu'!$L143, 'Master List Import'!$M$2:$M$700), 16)</f>
        <v>0.1</v>
      </c>
    </row>
    <row r="144" spans="1:14" ht="11.25" customHeight="1" x14ac:dyDescent="0.25">
      <c r="A144" s="27"/>
      <c r="B144" s="23">
        <v>2622</v>
      </c>
      <c r="C144" s="8" t="str">
        <f>INDEX('Master List Import'!$A$2:$P$700, MATCH('Auto Menu'!$B144, 'Master List Import'!$M$2:$M$700), 14)</f>
        <v>Adult Coloring Book</v>
      </c>
      <c r="D144" s="63">
        <f>INDEX('Master List Import'!$A$2:$P$700, MATCH('Auto Menu'!$B144, 'Master List Import'!$M$2:$M$700), 16)</f>
        <v>3.5</v>
      </c>
      <c r="E144" s="10"/>
      <c r="F144" s="6"/>
      <c r="G144" s="7" t="s">
        <v>263</v>
      </c>
      <c r="H144" s="17" t="s">
        <v>264</v>
      </c>
      <c r="I144" s="38" t="s">
        <v>260</v>
      </c>
      <c r="J144" s="11"/>
      <c r="K144" s="30"/>
      <c r="L144" s="23">
        <v>3210</v>
      </c>
      <c r="M144" s="8" t="str">
        <f>INDEX('Master List Import'!$A$2:$P$700, MATCH('Auto Menu'!$L144, 'Master List Import'!$M$2:$M$700), 14)</f>
        <v>Large Brown Envelope (9x12)</v>
      </c>
      <c r="N144" s="63">
        <f>INDEX('Master List Import'!$A$2:$P$700, MATCH('Auto Menu'!$L144, 'Master List Import'!$M$2:$M$700), 16)</f>
        <v>0.55000000000000004</v>
      </c>
    </row>
    <row r="145" spans="1:14" ht="11.25" customHeight="1" x14ac:dyDescent="0.25">
      <c r="A145" s="11"/>
      <c r="B145" s="11"/>
      <c r="C145" s="11"/>
      <c r="D145" s="31"/>
      <c r="E145" s="10"/>
      <c r="F145" s="6"/>
      <c r="G145" s="7" t="s">
        <v>266</v>
      </c>
      <c r="H145" s="17" t="s">
        <v>267</v>
      </c>
      <c r="I145" s="38" t="s">
        <v>260</v>
      </c>
      <c r="J145" s="11"/>
      <c r="K145" s="30"/>
      <c r="L145" s="23">
        <v>3300</v>
      </c>
      <c r="M145" s="64" t="s">
        <v>1719</v>
      </c>
      <c r="N145" s="63">
        <f>INDEX('Master List Import'!$A$2:$P$700, MATCH('Auto Menu'!$L145, 'Master List Import'!$M$2:$M$700), 16)</f>
        <v>0.85</v>
      </c>
    </row>
    <row r="146" spans="1:14" ht="11.25" customHeight="1" x14ac:dyDescent="0.25">
      <c r="A146" s="70" t="s">
        <v>268</v>
      </c>
      <c r="B146" s="70"/>
      <c r="C146" s="70"/>
      <c r="D146" s="70"/>
      <c r="E146" s="10"/>
      <c r="F146" s="6"/>
      <c r="G146" s="7">
        <v>3990</v>
      </c>
      <c r="H146" s="17" t="s">
        <v>269</v>
      </c>
      <c r="I146" s="63">
        <f>INDEX('Master List Import'!$A$2:$P$700, MATCH('Auto Menu'!$G146, 'Master List Import'!$M$2:$M$700), 16)</f>
        <v>1</v>
      </c>
      <c r="J146" s="11"/>
      <c r="K146" s="30"/>
      <c r="L146" s="23">
        <v>3310</v>
      </c>
      <c r="M146" s="65" t="s">
        <v>1720</v>
      </c>
      <c r="N146" s="63">
        <f>INDEX('Master List Import'!$A$2:$P$700, MATCH('Auto Menu'!$L146, 'Master List Import'!$M$2:$M$700), 16)</f>
        <v>0.6</v>
      </c>
    </row>
    <row r="147" spans="1:14" ht="11.25" customHeight="1" x14ac:dyDescent="0.25">
      <c r="A147" s="27"/>
      <c r="B147" s="7">
        <v>2100</v>
      </c>
      <c r="C147" s="8" t="str">
        <f>INDEX('Master List Import'!$A$2:$P$700, MATCH('Auto Menu'!$B147, 'Master List Import'!$M$2:$M$700), 14)</f>
        <v>Master Lock w/Key</v>
      </c>
      <c r="D147" s="63">
        <f>INDEX('Master List Import'!$A$2:$P$700, MATCH('Auto Menu'!$B147, 'Master List Import'!$M$2:$M$700), 16)</f>
        <v>20</v>
      </c>
      <c r="E147" s="10"/>
      <c r="F147" s="11"/>
      <c r="G147" s="11"/>
      <c r="H147" s="11"/>
      <c r="I147" s="11"/>
      <c r="J147" s="11"/>
      <c r="K147" s="30"/>
      <c r="L147" s="23">
        <v>3400</v>
      </c>
      <c r="M147" s="64" t="s">
        <v>1721</v>
      </c>
      <c r="N147" s="63">
        <f>INDEX('Master List Import'!$A$2:$P$700, MATCH('Auto Menu'!$L147, 'Master List Import'!$M$2:$M$700), 16)</f>
        <v>5.5</v>
      </c>
    </row>
    <row r="148" spans="1:14" ht="11.25" customHeight="1" x14ac:dyDescent="0.25">
      <c r="A148" s="27"/>
      <c r="B148" s="7">
        <v>2101</v>
      </c>
      <c r="C148" s="8" t="str">
        <f>INDEX('Master List Import'!$A$2:$P$700, MATCH('Auto Menu'!$B148, 'Master List Import'!$M$2:$M$700), 14)</f>
        <v>Combination Padlock</v>
      </c>
      <c r="D148" s="63">
        <f>INDEX('Master List Import'!$A$2:$P$700, MATCH('Auto Menu'!$B148, 'Master List Import'!$M$2:$M$700), 16)</f>
        <v>7</v>
      </c>
      <c r="F148" s="70" t="s">
        <v>271</v>
      </c>
      <c r="G148" s="70"/>
      <c r="H148" s="70"/>
      <c r="I148" s="70"/>
      <c r="J148" s="11"/>
      <c r="K148" s="11"/>
      <c r="L148" s="34" t="s">
        <v>221</v>
      </c>
      <c r="M148" s="11"/>
      <c r="N148" s="9"/>
    </row>
    <row r="149" spans="1:14" ht="11.25" customHeight="1" x14ac:dyDescent="0.25">
      <c r="A149" s="27"/>
      <c r="B149" s="12">
        <v>2240</v>
      </c>
      <c r="C149" s="64" t="s">
        <v>1722</v>
      </c>
      <c r="D149" s="63">
        <f>INDEX('Master List Import'!$A$2:$P$700, MATCH('Auto Menu'!$B149, 'Master List Import'!$M$2:$M$700), 16)</f>
        <v>20</v>
      </c>
      <c r="E149" s="10"/>
      <c r="F149" s="6"/>
      <c r="G149" s="7">
        <v>3970</v>
      </c>
      <c r="H149" s="17" t="s">
        <v>273</v>
      </c>
      <c r="I149" s="38" t="s">
        <v>260</v>
      </c>
      <c r="J149" s="11"/>
      <c r="K149" s="31"/>
      <c r="L149" s="11"/>
      <c r="M149" s="11"/>
      <c r="N149" s="9"/>
    </row>
    <row r="150" spans="1:14" ht="11.25" customHeight="1" x14ac:dyDescent="0.25">
      <c r="A150" s="27"/>
      <c r="B150" s="12">
        <v>3800</v>
      </c>
      <c r="C150" s="8" t="str">
        <f>INDEX('Master List Import'!$A$2:$P$700, MATCH('Auto Menu'!$B150, 'Master List Import'!$M$2:$M$700), 14)</f>
        <v>Reusable Face Mask</v>
      </c>
      <c r="D150" s="63">
        <f>INDEX('Master List Import'!$A$2:$P$700, MATCH('Auto Menu'!$B150, 'Master List Import'!$M$2:$M$700), 16)</f>
        <v>11</v>
      </c>
      <c r="E150" s="10"/>
      <c r="F150" s="6"/>
      <c r="G150" s="7">
        <v>3971</v>
      </c>
      <c r="H150" s="17" t="s">
        <v>275</v>
      </c>
      <c r="I150" s="38" t="s">
        <v>260</v>
      </c>
      <c r="J150" s="11"/>
      <c r="K150" s="31"/>
      <c r="L150" s="11"/>
      <c r="M150" s="11"/>
      <c r="N150" s="9"/>
    </row>
    <row r="151" spans="1:14" ht="11.25" customHeight="1" x14ac:dyDescent="0.25">
      <c r="A151" s="27"/>
      <c r="B151" s="12">
        <v>4863</v>
      </c>
      <c r="C151" s="8" t="str">
        <f>INDEX('Master List Import'!$A$2:$P$700, MATCH('Auto Menu'!$B151, 'Master List Import'!$M$2:$M$700), 14)</f>
        <v>Single Blade Razor</v>
      </c>
      <c r="D151" s="63">
        <f>INDEX('Master List Import'!$A$2:$P$700, MATCH('Auto Menu'!$B151, 'Master List Import'!$M$2:$M$700), 16)</f>
        <v>1.05</v>
      </c>
      <c r="E151" s="10"/>
      <c r="F151" s="31"/>
      <c r="G151" s="34" t="s">
        <v>276</v>
      </c>
      <c r="H151" s="11"/>
      <c r="I151" s="9"/>
      <c r="J151" s="11"/>
      <c r="K151" s="31"/>
      <c r="L151" s="11"/>
      <c r="M151" s="11"/>
      <c r="N151" s="9"/>
    </row>
    <row r="152" spans="1:14" ht="11.25" customHeight="1" x14ac:dyDescent="0.25">
      <c r="A152" s="27"/>
      <c r="B152" s="12">
        <v>5300</v>
      </c>
      <c r="C152" s="8" t="str">
        <f>INDEX('Master List Import'!$A$2:$P$700, MATCH('Auto Menu'!$B152, 'Master List Import'!$M$2:$M$700), 14)</f>
        <v>Hair Clippers</v>
      </c>
      <c r="D152" s="63">
        <f>INDEX('Master List Import'!$A$2:$P$700, MATCH('Auto Menu'!$B152, 'Master List Import'!$M$2:$M$700), 16)</f>
        <v>38</v>
      </c>
      <c r="E152" s="10"/>
      <c r="F152" s="31"/>
      <c r="G152" s="34" t="s">
        <v>277</v>
      </c>
      <c r="H152" s="11"/>
      <c r="I152" s="9"/>
      <c r="J152" s="11"/>
      <c r="K152" s="31"/>
      <c r="L152" s="11"/>
      <c r="M152" s="11"/>
      <c r="N152" s="9"/>
    </row>
    <row r="153" spans="1:14" ht="11.25" customHeight="1" x14ac:dyDescent="0.25">
      <c r="A153" s="11"/>
      <c r="B153" s="34" t="s">
        <v>221</v>
      </c>
      <c r="C153" s="11"/>
      <c r="D153" s="9"/>
      <c r="E153" s="10"/>
    </row>
    <row r="161" spans="1:14" ht="11.25" customHeight="1" x14ac:dyDescent="0.25">
      <c r="A161" s="69" t="s">
        <v>278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</row>
    <row r="162" spans="1:14" ht="11.25" customHeight="1" x14ac:dyDescent="0.25">
      <c r="A162" s="70" t="s">
        <v>279</v>
      </c>
      <c r="B162" s="70"/>
      <c r="C162" s="70"/>
      <c r="D162" s="70"/>
      <c r="E162" s="39"/>
      <c r="F162" s="70" t="s">
        <v>280</v>
      </c>
      <c r="G162" s="70"/>
      <c r="H162" s="70"/>
      <c r="I162" s="70"/>
      <c r="J162" s="39"/>
      <c r="K162" s="70" t="s">
        <v>281</v>
      </c>
      <c r="L162" s="70"/>
      <c r="M162" s="70"/>
      <c r="N162" s="70"/>
    </row>
    <row r="163" spans="1:14" ht="11.25" customHeight="1" x14ac:dyDescent="0.25">
      <c r="A163" s="6"/>
      <c r="B163" s="7">
        <v>6000</v>
      </c>
      <c r="C163" s="8" t="str">
        <f>INDEX('Master List Import'!$A$2:$P$700, MATCH('Auto Menu'!$B163, 'Master List Import'!$M$2:$M$700), 14)</f>
        <v>Bottled Water</v>
      </c>
      <c r="D163" s="63">
        <f>INDEX('Master List Import'!$A$2:$P$700, MATCH('Auto Menu'!$B163, 'Master List Import'!$M$2:$M$700), 16)</f>
        <v>1.1000000000000001</v>
      </c>
      <c r="E163" s="40"/>
      <c r="F163" s="6"/>
      <c r="G163" s="7">
        <v>6301</v>
      </c>
      <c r="H163" s="8" t="str">
        <f>INDEX('Master List Import'!$A$2:$P$700, MATCH('Auto Menu'!$G163, 'Master List Import'!$M$2:$M$700), 14)</f>
        <v>Wyler's Purple Berry (10pk)</v>
      </c>
      <c r="I163" s="63">
        <f>INDEX('Master List Import'!$A$2:$P$700, MATCH('Auto Menu'!$G163, 'Master List Import'!$M$2:$M$700), 16)</f>
        <v>3.5</v>
      </c>
      <c r="J163" s="40"/>
      <c r="K163" s="6"/>
      <c r="L163" s="7">
        <v>6400</v>
      </c>
      <c r="M163" s="8" t="str">
        <f>INDEX('Master List Import'!$A$2:$P$700, MATCH('Auto Menu'!$L163, 'Master List Import'!$M$2:$M$700), 14)</f>
        <v>Folgers Jar - Instant Coffee (8oz)</v>
      </c>
      <c r="N163" s="63">
        <f>INDEX('Master List Import'!$A$2:$P$700, MATCH('Auto Menu'!$L163, 'Master List Import'!$M$2:$M$700), 16)</f>
        <v>16.25</v>
      </c>
    </row>
    <row r="164" spans="1:14" ht="11.25" customHeight="1" x14ac:dyDescent="0.25">
      <c r="A164" s="27"/>
      <c r="B164" s="12">
        <v>6100</v>
      </c>
      <c r="C164" s="8" t="str">
        <f>INDEX('Master List Import'!$A$2:$P$700, MATCH('Auto Menu'!$B164, 'Master List Import'!$M$2:$M$700), 14)</f>
        <v>Coca Cola</v>
      </c>
      <c r="D164" s="63">
        <f>INDEX('Master List Import'!$A$2:$P$700, MATCH('Auto Menu'!$B164, 'Master List Import'!$M$2:$M$700), 16)</f>
        <v>3.25</v>
      </c>
      <c r="E164" s="40"/>
      <c r="F164" s="27"/>
      <c r="G164" s="12">
        <v>6302</v>
      </c>
      <c r="H164" s="8" t="str">
        <f>INDEX('Master List Import'!$A$2:$P$700, MATCH('Auto Menu'!$G164, 'Master List Import'!$M$2:$M$700), 14)</f>
        <v>Wyler's Fruity Red Punch (10pk)</v>
      </c>
      <c r="I164" s="63">
        <f>INDEX('Master List Import'!$A$2:$P$700, MATCH('Auto Menu'!$G164, 'Master List Import'!$M$2:$M$700), 16)</f>
        <v>3.5</v>
      </c>
      <c r="J164" s="40"/>
      <c r="K164" s="27"/>
      <c r="L164" s="12">
        <v>6401</v>
      </c>
      <c r="M164" s="8" t="str">
        <f>INDEX('Master List Import'!$A$2:$P$700, MATCH('Auto Menu'!$L164, 'Master List Import'!$M$2:$M$700), 14)</f>
        <v>Folgers Pouch - Instant Coffee (4oz)</v>
      </c>
      <c r="N164" s="63">
        <f>INDEX('Master List Import'!$A$2:$P$700, MATCH('Auto Menu'!$L164, 'Master List Import'!$M$2:$M$700), 16)</f>
        <v>9.5</v>
      </c>
    </row>
    <row r="165" spans="1:14" ht="11.25" customHeight="1" x14ac:dyDescent="0.25">
      <c r="A165" s="27"/>
      <c r="B165" s="12">
        <v>6101</v>
      </c>
      <c r="C165" s="8" t="str">
        <f>INDEX('Master List Import'!$A$2:$P$700, MATCH('Auto Menu'!$B165, 'Master List Import'!$M$2:$M$700), 14)</f>
        <v>Diet Coke</v>
      </c>
      <c r="D165" s="63">
        <f>INDEX('Master List Import'!$A$2:$P$700, MATCH('Auto Menu'!$B165, 'Master List Import'!$M$2:$M$700), 16)</f>
        <v>3.25</v>
      </c>
      <c r="E165" s="40"/>
      <c r="F165" s="6"/>
      <c r="G165" s="7">
        <v>6303</v>
      </c>
      <c r="H165" s="8" t="str">
        <f>INDEX('Master List Import'!$A$2:$P$700, MATCH('Auto Menu'!$G165, 'Master List Import'!$M$2:$M$700), 14)</f>
        <v>Wyler's Green Tropical Dream (10ct)</v>
      </c>
      <c r="I165" s="63">
        <f>INDEX('Master List Import'!$A$2:$P$700, MATCH('Auto Menu'!$G165, 'Master List Import'!$M$2:$M$700), 16)</f>
        <v>3.5</v>
      </c>
      <c r="J165" s="40"/>
      <c r="K165" s="27"/>
      <c r="L165" s="12">
        <v>6410</v>
      </c>
      <c r="M165" s="8" t="str">
        <f>INDEX('Master List Import'!$A$2:$P$700, MATCH('Auto Menu'!$L165, 'Master List Import'!$M$2:$M$700), 14)</f>
        <v>Cafe Bustelo Instant Coffee (3.5oz)</v>
      </c>
      <c r="N165" s="63">
        <f>INDEX('Master List Import'!$A$2:$P$700, MATCH('Auto Menu'!$L165, 'Master List Import'!$M$2:$M$700), 16)</f>
        <v>8.5500000000000007</v>
      </c>
    </row>
    <row r="166" spans="1:14" ht="11.25" customHeight="1" x14ac:dyDescent="0.25">
      <c r="A166" s="27"/>
      <c r="B166" s="12">
        <v>6102</v>
      </c>
      <c r="C166" s="8" t="str">
        <f>INDEX('Master List Import'!$A$2:$P$700, MATCH('Auto Menu'!$B166, 'Master List Import'!$M$2:$M$700), 14)</f>
        <v>Dr. Pepper</v>
      </c>
      <c r="D166" s="63">
        <f>INDEX('Master List Import'!$A$2:$P$700, MATCH('Auto Menu'!$B166, 'Master List Import'!$M$2:$M$700), 16)</f>
        <v>3.25</v>
      </c>
      <c r="E166" s="40"/>
      <c r="F166" s="6"/>
      <c r="G166" s="7">
        <v>6311</v>
      </c>
      <c r="H166" s="8" t="str">
        <f>INDEX('Master List Import'!$A$2:$P$700, MATCH('Auto Menu'!$G166, 'Master List Import'!$M$2:$M$700), 14)</f>
        <v>Wyler's Blue Ocean Breeze (10ct)</v>
      </c>
      <c r="I166" s="63">
        <f>INDEX('Master List Import'!$A$2:$P$700, MATCH('Auto Menu'!$G166, 'Master List Import'!$M$2:$M$700), 16)</f>
        <v>3.5</v>
      </c>
      <c r="J166" s="40"/>
      <c r="K166" s="27"/>
      <c r="L166" s="12">
        <v>6411</v>
      </c>
      <c r="M166" s="8" t="str">
        <f>INDEX('Master List Import'!$A$2:$P$700, MATCH('Auto Menu'!$L166, 'Master List Import'!$M$2:$M$700), 14)</f>
        <v>Café Genial Instant Coffee w/Cinnamon</v>
      </c>
      <c r="N166" s="63">
        <f>INDEX('Master List Import'!$A$2:$P$700, MATCH('Auto Menu'!$L166, 'Master List Import'!$M$2:$M$700), 16)</f>
        <v>5.25</v>
      </c>
    </row>
    <row r="167" spans="1:14" ht="11.25" customHeight="1" x14ac:dyDescent="0.25">
      <c r="A167" s="27"/>
      <c r="B167" s="12">
        <v>6103</v>
      </c>
      <c r="C167" s="8" t="str">
        <f>INDEX('Master List Import'!$A$2:$P$700, MATCH('Auto Menu'!$B167, 'Master List Import'!$M$2:$M$700), 14)</f>
        <v>Diet Dr. Pepper</v>
      </c>
      <c r="D167" s="63">
        <f>INDEX('Master List Import'!$A$2:$P$700, MATCH('Auto Menu'!$B167, 'Master List Import'!$M$2:$M$700), 16)</f>
        <v>3.25</v>
      </c>
      <c r="E167" s="40"/>
      <c r="F167" s="27"/>
      <c r="G167" s="12">
        <v>6312</v>
      </c>
      <c r="H167" s="8" t="str">
        <f>INDEX('Master List Import'!$A$2:$P$700, MATCH('Auto Menu'!$G167, 'Master List Import'!$M$2:$M$700), 14)</f>
        <v>Wyler's Radical Lemon Berry (10ct)</v>
      </c>
      <c r="I167" s="63">
        <f>INDEX('Master List Import'!$A$2:$P$700, MATCH('Auto Menu'!$G167, 'Master List Import'!$M$2:$M$700), 16)</f>
        <v>3.5</v>
      </c>
      <c r="J167" s="40"/>
      <c r="K167" s="27"/>
      <c r="L167" s="12">
        <v>6420</v>
      </c>
      <c r="M167" s="8" t="str">
        <f>INDEX('Master List Import'!$A$2:$P$700, MATCH('Auto Menu'!$L167, 'Master List Import'!$M$2:$M$700), 14)</f>
        <v>Boston's Best Instant Coffee (4oz)</v>
      </c>
      <c r="N167" s="63">
        <f>INDEX('Master List Import'!$A$2:$P$700, MATCH('Auto Menu'!$L167, 'Master List Import'!$M$2:$M$700), 16)</f>
        <v>3.6</v>
      </c>
    </row>
    <row r="168" spans="1:14" ht="11.25" customHeight="1" x14ac:dyDescent="0.25">
      <c r="A168" s="27"/>
      <c r="B168" s="12">
        <v>6104</v>
      </c>
      <c r="C168" s="8" t="str">
        <f>INDEX('Master List Import'!$A$2:$P$700, MATCH('Auto Menu'!$B168, 'Master List Import'!$M$2:$M$700), 14)</f>
        <v>A&amp;W Root Beer</v>
      </c>
      <c r="D168" s="63">
        <f>INDEX('Master List Import'!$A$2:$P$700, MATCH('Auto Menu'!$B168, 'Master List Import'!$M$2:$M$700), 16)</f>
        <v>3</v>
      </c>
      <c r="E168" s="10"/>
      <c r="F168" s="27"/>
      <c r="G168" s="12">
        <v>6320</v>
      </c>
      <c r="H168" s="8" t="str">
        <f>INDEX('Master List Import'!$A$2:$P$700, MATCH('Auto Menu'!$G168, 'Master List Import'!$M$2:$M$700), 14)</f>
        <v>Kool-Aid Singles, Tropical Punch</v>
      </c>
      <c r="I168" s="63">
        <f>INDEX('Master List Import'!$A$2:$P$700, MATCH('Auto Menu'!$G168, 'Master List Import'!$M$2:$M$700), 16)</f>
        <v>1</v>
      </c>
      <c r="J168" s="10"/>
      <c r="K168" s="27"/>
      <c r="L168" s="12">
        <v>6421</v>
      </c>
      <c r="M168" s="8" t="str">
        <f>INDEX('Master List Import'!$A$2:$P$700, MATCH('Auto Menu'!$L168, 'Master List Import'!$M$2:$M$700), 14)</f>
        <v>Flavor Fix Freeze Dried Coffee (3oz)</v>
      </c>
      <c r="N168" s="63">
        <f>INDEX('Master List Import'!$A$2:$P$700, MATCH('Auto Menu'!$L168, 'Master List Import'!$M$2:$M$700), 16)</f>
        <v>6.05</v>
      </c>
    </row>
    <row r="169" spans="1:14" ht="11.25" customHeight="1" x14ac:dyDescent="0.25">
      <c r="A169" s="27"/>
      <c r="B169" s="12">
        <v>6106</v>
      </c>
      <c r="C169" s="8" t="str">
        <f>INDEX('Master List Import'!$A$2:$P$700, MATCH('Auto Menu'!$B169, 'Master List Import'!$M$2:$M$700), 14)</f>
        <v>Pineapple Soda</v>
      </c>
      <c r="D169" s="63">
        <f>INDEX('Master List Import'!$A$2:$P$700, MATCH('Auto Menu'!$B169, 'Master List Import'!$M$2:$M$700), 16)</f>
        <v>1.8</v>
      </c>
      <c r="E169" s="10"/>
      <c r="F169" s="27"/>
      <c r="G169" s="12">
        <v>6321</v>
      </c>
      <c r="H169" s="8" t="str">
        <f>INDEX('Master List Import'!$A$2:$P$700, MATCH('Auto Menu'!$G169, 'Master List Import'!$M$2:$M$700), 14)</f>
        <v>Kool-Aid Singles, Sour Blue Raspberry</v>
      </c>
      <c r="I169" s="63">
        <f>INDEX('Master List Import'!$A$2:$P$700, MATCH('Auto Menu'!$G169, 'Master List Import'!$M$2:$M$700), 16)</f>
        <v>1</v>
      </c>
      <c r="J169" s="10"/>
      <c r="K169" s="27"/>
      <c r="L169" s="12">
        <v>6460</v>
      </c>
      <c r="M169" s="8" t="str">
        <f>INDEX('Master List Import'!$A$2:$P$700, MATCH('Auto Menu'!$L169, 'Master List Import'!$M$2:$M$700), 14)</f>
        <v>Folgers Single Serve Packets (7ct)</v>
      </c>
      <c r="N169" s="63">
        <f>INDEX('Master List Import'!$A$2:$P$700, MATCH('Auto Menu'!$L169, 'Master List Import'!$M$2:$M$700), 16)</f>
        <v>3.5</v>
      </c>
    </row>
    <row r="170" spans="1:14" ht="11.25" customHeight="1" x14ac:dyDescent="0.25">
      <c r="A170" s="27"/>
      <c r="B170" s="12">
        <v>6107</v>
      </c>
      <c r="C170" s="8" t="str">
        <f>INDEX('Master List Import'!$A$2:$P$700, MATCH('Auto Menu'!$B170, 'Master List Import'!$M$2:$M$700), 14)</f>
        <v>Orange Soda</v>
      </c>
      <c r="D170" s="63">
        <f>INDEX('Master List Import'!$A$2:$P$700, MATCH('Auto Menu'!$B170, 'Master List Import'!$M$2:$M$700), 16)</f>
        <v>1.8</v>
      </c>
      <c r="E170" s="10"/>
      <c r="F170" s="27"/>
      <c r="G170" s="12">
        <v>6322</v>
      </c>
      <c r="H170" s="8" t="str">
        <f>INDEX('Master List Import'!$A$2:$P$700, MATCH('Auto Menu'!$G170, 'Master List Import'!$M$2:$M$700), 14)</f>
        <v>Kool-Aid Singles, Sour Green Apple</v>
      </c>
      <c r="I170" s="63">
        <f>INDEX('Master List Import'!$A$2:$P$700, MATCH('Auto Menu'!$G170, 'Master List Import'!$M$2:$M$700), 16)</f>
        <v>1</v>
      </c>
      <c r="J170" s="10"/>
      <c r="K170" s="27"/>
      <c r="L170" s="12">
        <v>6461</v>
      </c>
      <c r="M170" s="8" t="str">
        <f>INDEX('Master List Import'!$A$2:$P$700, MATCH('Auto Menu'!$L170, 'Master List Import'!$M$2:$M$700), 14)</f>
        <v>Single Stick Folgers (1ct)</v>
      </c>
      <c r="N170" s="63">
        <f>INDEX('Master List Import'!$A$2:$P$700, MATCH('Auto Menu'!$L170, 'Master List Import'!$M$2:$M$700), 16)</f>
        <v>1</v>
      </c>
    </row>
    <row r="171" spans="1:14" ht="11.25" customHeight="1" x14ac:dyDescent="0.25">
      <c r="A171" s="27"/>
      <c r="B171" s="12">
        <v>6108</v>
      </c>
      <c r="C171" s="8" t="str">
        <f>INDEX('Master List Import'!$A$2:$P$700, MATCH('Auto Menu'!$B171, 'Master List Import'!$M$2:$M$700), 14)</f>
        <v>Peach Soda</v>
      </c>
      <c r="D171" s="63">
        <f>INDEX('Master List Import'!$A$2:$P$700, MATCH('Auto Menu'!$B171, 'Master List Import'!$M$2:$M$700), 16)</f>
        <v>1.8</v>
      </c>
      <c r="E171" s="10"/>
      <c r="F171" s="27"/>
      <c r="G171" s="12">
        <v>6343</v>
      </c>
      <c r="H171" s="8" t="str">
        <f>INDEX('Master List Import'!$A$2:$P$700, MATCH('Auto Menu'!$G171, 'Master List Import'!$M$2:$M$700), 14)</f>
        <v>Crush Strawberry Drink Mix (6ct)</v>
      </c>
      <c r="I171" s="63">
        <f>INDEX('Master List Import'!$A$2:$P$700, MATCH('Auto Menu'!$G171, 'Master List Import'!$M$2:$M$700), 16)</f>
        <v>3.5</v>
      </c>
      <c r="J171" s="10"/>
      <c r="K171" s="35"/>
      <c r="L171" s="36"/>
      <c r="M171" s="37"/>
      <c r="N171" s="29"/>
    </row>
    <row r="172" spans="1:14" ht="11.25" customHeight="1" x14ac:dyDescent="0.25">
      <c r="A172" s="27"/>
      <c r="B172" s="12">
        <v>6109</v>
      </c>
      <c r="C172" s="8" t="str">
        <f>INDEX('Master List Import'!$A$2:$P$700, MATCH('Auto Menu'!$B172, 'Master List Import'!$M$2:$M$700), 14)</f>
        <v>Arctic Rain Soda</v>
      </c>
      <c r="D172" s="63">
        <f>INDEX('Master List Import'!$A$2:$P$700, MATCH('Auto Menu'!$B172, 'Master List Import'!$M$2:$M$700), 16)</f>
        <v>1.8</v>
      </c>
      <c r="E172" s="10"/>
      <c r="F172" s="27"/>
      <c r="G172" s="12">
        <v>6350</v>
      </c>
      <c r="H172" s="8" t="str">
        <f>INDEX('Master List Import'!$A$2:$P$700, MATCH('Auto Menu'!$G172, 'Master List Import'!$M$2:$M$700), 14)</f>
        <v>Instant Tea w/Lemon (24oz)</v>
      </c>
      <c r="I172" s="63">
        <f>INDEX('Master List Import'!$A$2:$P$700, MATCH('Auto Menu'!$G172, 'Master List Import'!$M$2:$M$700), 16)</f>
        <v>8</v>
      </c>
      <c r="J172" s="10"/>
      <c r="K172" s="70" t="s">
        <v>303</v>
      </c>
      <c r="L172" s="70"/>
      <c r="M172" s="70"/>
      <c r="N172" s="70"/>
    </row>
    <row r="173" spans="1:14" ht="11.25" customHeight="1" x14ac:dyDescent="0.25">
      <c r="A173" s="27"/>
      <c r="B173" s="12">
        <v>6110</v>
      </c>
      <c r="C173" s="8" t="str">
        <f>INDEX('Master List Import'!$A$2:$P$700, MATCH('Auto Menu'!$B173, 'Master List Import'!$M$2:$M$700), 14)</f>
        <v>Black Cola Soda</v>
      </c>
      <c r="D173" s="63">
        <f>INDEX('Master List Import'!$A$2:$P$700, MATCH('Auto Menu'!$B173, 'Master List Import'!$M$2:$M$700), 16)</f>
        <v>1.8</v>
      </c>
      <c r="E173" s="10"/>
      <c r="F173" s="27"/>
      <c r="G173" s="12">
        <v>6440</v>
      </c>
      <c r="H173" s="8" t="str">
        <f>INDEX('Master List Import'!$A$2:$P$700, MATCH('Auto Menu'!$G173, 'Master List Import'!$M$2:$M$700), 14)</f>
        <v>Swiss Miss Hot Cocoa Mix</v>
      </c>
      <c r="I173" s="63">
        <f>INDEX('Master List Import'!$A$2:$P$700, MATCH('Auto Menu'!$G173, 'Master List Import'!$M$2:$M$700), 16)</f>
        <v>0.55000000000000004</v>
      </c>
      <c r="J173" s="10"/>
      <c r="K173" s="6"/>
      <c r="L173" s="7">
        <v>6500</v>
      </c>
      <c r="M173" s="8" t="str">
        <f>INDEX('Master List Import'!$A$2:$P$700, MATCH('Auto Menu'!$L173, 'Master List Import'!$M$2:$M$700), 14)</f>
        <v>Sugar Canister (22oz)</v>
      </c>
      <c r="N173" s="63">
        <f>INDEX('Master List Import'!$A$2:$P$700, MATCH('Auto Menu'!$L173, 'Master List Import'!$M$2:$M$700), 16)</f>
        <v>5</v>
      </c>
    </row>
    <row r="174" spans="1:14" ht="11.25" customHeight="1" x14ac:dyDescent="0.25">
      <c r="A174" s="27"/>
      <c r="B174" s="12">
        <v>6200</v>
      </c>
      <c r="C174" s="8" t="str">
        <f>INDEX('Master List Import'!$A$2:$P$700, MATCH('Auto Menu'!$B174, 'Master List Import'!$M$2:$M$700), 14)</f>
        <v>Gatorade Cool Blue</v>
      </c>
      <c r="D174" s="63">
        <f>INDEX('Master List Import'!$A$2:$P$700, MATCH('Auto Menu'!$B174, 'Master List Import'!$M$2:$M$700), 16)</f>
        <v>3</v>
      </c>
      <c r="E174" s="10"/>
      <c r="F174" s="27"/>
      <c r="G174" s="12">
        <v>6441</v>
      </c>
      <c r="H174" s="8" t="str">
        <f>INDEX('Master List Import'!$A$2:$P$700, MATCH('Auto Menu'!$G174, 'Master List Import'!$M$2:$M$700), 14)</f>
        <v>Cafe Style Mocha Cappuccino Mix</v>
      </c>
      <c r="I174" s="63">
        <f>INDEX('Master List Import'!$A$2:$P$700, MATCH('Auto Menu'!$G174, 'Master List Import'!$M$2:$M$700), 16)</f>
        <v>0.75</v>
      </c>
      <c r="J174" s="10"/>
      <c r="K174" s="27"/>
      <c r="L174" s="12">
        <v>6510</v>
      </c>
      <c r="M174" s="8" t="str">
        <f>INDEX('Master List Import'!$A$2:$P$700, MATCH('Auto Menu'!$L174, 'Master List Import'!$M$2:$M$700), 14)</f>
        <v>Sugar Packet (1ct)</v>
      </c>
      <c r="N174" s="63">
        <f>INDEX('Master List Import'!$A$2:$P$700, MATCH('Auto Menu'!$L174, 'Master List Import'!$M$2:$M$700), 16)</f>
        <v>0.1</v>
      </c>
    </row>
    <row r="175" spans="1:14" ht="11.25" customHeight="1" x14ac:dyDescent="0.25">
      <c r="A175" s="27"/>
      <c r="B175" s="12">
        <v>6201</v>
      </c>
      <c r="C175" s="8" t="str">
        <f>INDEX('Master List Import'!$A$2:$P$700, MATCH('Auto Menu'!$B175, 'Master List Import'!$M$2:$M$700), 14)</f>
        <v>Gatorade Grape</v>
      </c>
      <c r="D175" s="63">
        <f>INDEX('Master List Import'!$A$2:$P$700, MATCH('Auto Menu'!$B175, 'Master List Import'!$M$2:$M$700), 16)</f>
        <v>3</v>
      </c>
      <c r="E175" s="10"/>
      <c r="F175" s="27"/>
      <c r="G175" s="12">
        <v>6442</v>
      </c>
      <c r="H175" s="8" t="str">
        <f>INDEX('Master List Import'!$A$2:$P$700, MATCH('Auto Menu'!$G175, 'Master List Import'!$M$2:$M$700), 14)</f>
        <v>French Vanilla Cappuccino Mix</v>
      </c>
      <c r="I175" s="63">
        <f>INDEX('Master List Import'!$A$2:$P$700, MATCH('Auto Menu'!$G175, 'Master List Import'!$M$2:$M$700), 16)</f>
        <v>1.85</v>
      </c>
      <c r="J175" s="10"/>
      <c r="K175" s="27"/>
      <c r="L175" s="12">
        <v>6520</v>
      </c>
      <c r="M175" s="8" t="str">
        <f>INDEX('Master List Import'!$A$2:$P$700, MATCH('Auto Menu'!$L175, 'Master List Import'!$M$2:$M$700), 14)</f>
        <v>Sugar Twin Sweetener Box (100pk)</v>
      </c>
      <c r="N175" s="63">
        <f>INDEX('Master List Import'!$A$2:$P$700, MATCH('Auto Menu'!$L175, 'Master List Import'!$M$2:$M$700), 16)</f>
        <v>4.4000000000000004</v>
      </c>
    </row>
    <row r="176" spans="1:14" ht="11.25" customHeight="1" x14ac:dyDescent="0.25">
      <c r="A176" s="27"/>
      <c r="B176" s="12">
        <v>6202</v>
      </c>
      <c r="C176" s="8" t="str">
        <f>INDEX('Master List Import'!$A$2:$P$700, MATCH('Auto Menu'!$B176, 'Master List Import'!$M$2:$M$700), 14)</f>
        <v>Gatorade Fruit Punch</v>
      </c>
      <c r="D176" s="63">
        <f>INDEX('Master List Import'!$A$2:$P$700, MATCH('Auto Menu'!$B176, 'Master List Import'!$M$2:$M$700), 16)</f>
        <v>3</v>
      </c>
      <c r="E176" s="10"/>
      <c r="F176" s="27"/>
      <c r="G176" s="12">
        <v>6443</v>
      </c>
      <c r="H176" s="8" t="str">
        <f>INDEX('Master List Import'!$A$2:$P$700, MATCH('Auto Menu'!$G176, 'Master List Import'!$M$2:$M$700), 14)</f>
        <v>Salted Caramel Cappuccino Mix</v>
      </c>
      <c r="I176" s="63">
        <f>INDEX('Master List Import'!$A$2:$P$700, MATCH('Auto Menu'!$G176, 'Master List Import'!$M$2:$M$700), 16)</f>
        <v>1.85</v>
      </c>
      <c r="J176" s="10"/>
      <c r="K176" s="27"/>
      <c r="L176" s="12">
        <v>6521</v>
      </c>
      <c r="M176" s="8" t="str">
        <f>INDEX('Master List Import'!$A$2:$P$700, MATCH('Auto Menu'!$L176, 'Master List Import'!$M$2:$M$700), 14)</f>
        <v>Sugar Twin Sweetener Packets (10ct)</v>
      </c>
      <c r="N176" s="63">
        <f>INDEX('Master List Import'!$A$2:$P$700, MATCH('Auto Menu'!$L176, 'Master List Import'!$M$2:$M$700), 16)</f>
        <v>0.45</v>
      </c>
    </row>
    <row r="177" spans="1:14" ht="11.25" customHeight="1" x14ac:dyDescent="0.25">
      <c r="A177" s="27"/>
      <c r="B177" s="12">
        <v>6203</v>
      </c>
      <c r="C177" s="8" t="str">
        <f>INDEX('Master List Import'!$A$2:$P$700, MATCH('Auto Menu'!$B177, 'Master List Import'!$M$2:$M$700), 14)</f>
        <v>Gatorade Riptide Rush</v>
      </c>
      <c r="D177" s="63">
        <f>INDEX('Master List Import'!$A$2:$P$700, MATCH('Auto Menu'!$B177, 'Master List Import'!$M$2:$M$700), 16)</f>
        <v>3</v>
      </c>
      <c r="E177" s="10"/>
      <c r="F177" s="27"/>
      <c r="G177" s="12">
        <v>6450</v>
      </c>
      <c r="H177" s="8" t="str">
        <f>INDEX('Master List Import'!$A$2:$P$700, MATCH('Auto Menu'!$G177, 'Master List Import'!$M$2:$M$700), 14)</f>
        <v>Instant Milk Mix (1qt)</v>
      </c>
      <c r="I177" s="63">
        <f>INDEX('Master List Import'!$A$2:$P$700, MATCH('Auto Menu'!$G177, 'Master List Import'!$M$2:$M$700), 16)</f>
        <v>3.4</v>
      </c>
      <c r="J177" s="10"/>
      <c r="K177" s="27"/>
      <c r="L177" s="12">
        <v>6530</v>
      </c>
      <c r="M177" s="8" t="str">
        <f>INDEX('Master List Import'!$A$2:$P$700, MATCH('Auto Menu'!$L177, 'Master List Import'!$M$2:$M$700), 14)</f>
        <v>Creamer Packet</v>
      </c>
      <c r="N177" s="63">
        <f>INDEX('Master List Import'!$A$2:$P$700, MATCH('Auto Menu'!$L177, 'Master List Import'!$M$2:$M$700), 16)</f>
        <v>0.1</v>
      </c>
    </row>
    <row r="178" spans="1:14" ht="11.25" customHeight="1" x14ac:dyDescent="0.25">
      <c r="A178" s="11"/>
      <c r="B178" s="41"/>
      <c r="C178" s="11"/>
      <c r="D178" s="9"/>
      <c r="E178" s="10"/>
      <c r="F178" s="11"/>
      <c r="G178" s="41"/>
      <c r="H178" s="11"/>
      <c r="I178" s="9"/>
      <c r="J178" s="10"/>
      <c r="K178" s="27"/>
      <c r="L178" s="12">
        <v>6531</v>
      </c>
      <c r="M178" s="8" t="str">
        <f>INDEX('Master List Import'!$A$2:$P$700, MATCH('Auto Menu'!$L178, 'Master List Import'!$M$2:$M$700), 14)</f>
        <v>Creamer Canister (16oz)</v>
      </c>
      <c r="N178" s="63">
        <f>INDEX('Master List Import'!$A$2:$P$700, MATCH('Auto Menu'!$L178, 'Master List Import'!$M$2:$M$700), 16)</f>
        <v>5</v>
      </c>
    </row>
    <row r="179" spans="1:14" ht="11.25" customHeight="1" x14ac:dyDescent="0.25">
      <c r="A179" s="11"/>
      <c r="B179" s="41"/>
      <c r="C179" s="11"/>
      <c r="D179" s="9"/>
      <c r="E179" s="10"/>
      <c r="F179" s="11"/>
      <c r="G179" s="41"/>
      <c r="H179" s="11"/>
      <c r="I179" s="9"/>
      <c r="J179" s="10"/>
      <c r="K179" s="11"/>
      <c r="L179" s="41"/>
      <c r="M179" s="11"/>
      <c r="N179" s="9"/>
    </row>
    <row r="180" spans="1:14" ht="11.25" customHeight="1" x14ac:dyDescent="0.25">
      <c r="A180" s="69" t="s">
        <v>319</v>
      </c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</row>
    <row r="181" spans="1:14" ht="11.25" customHeight="1" x14ac:dyDescent="0.25">
      <c r="A181" s="70" t="s">
        <v>320</v>
      </c>
      <c r="B181" s="70"/>
      <c r="C181" s="70"/>
      <c r="D181" s="70"/>
      <c r="E181" s="39"/>
      <c r="F181" s="70" t="s">
        <v>321</v>
      </c>
      <c r="G181" s="70"/>
      <c r="H181" s="70"/>
      <c r="I181" s="70"/>
      <c r="J181" s="39"/>
      <c r="K181" s="72" t="s">
        <v>322</v>
      </c>
      <c r="L181" s="72"/>
      <c r="M181" s="72"/>
      <c r="N181" s="72"/>
    </row>
    <row r="182" spans="1:14" ht="11.25" customHeight="1" x14ac:dyDescent="0.25">
      <c r="A182" s="6"/>
      <c r="B182" s="7">
        <v>6600</v>
      </c>
      <c r="C182" s="8" t="str">
        <f>INDEX('Master List Import'!$A$2:$P$700, MATCH('Auto Menu'!$B182, 'Master List Import'!$M$2:$M$700), 14)</f>
        <v>Ketchup Packet</v>
      </c>
      <c r="D182" s="63">
        <f>INDEX('Master List Import'!$A$2:$P$700, MATCH('Auto Menu'!$B182, 'Master List Import'!$M$2:$M$700), 16)</f>
        <v>0.1</v>
      </c>
      <c r="E182" s="10"/>
      <c r="F182" s="6"/>
      <c r="G182" s="7">
        <v>7000</v>
      </c>
      <c r="H182" s="8" t="str">
        <f>INDEX('Master List Import'!$A$2:$P$700, MATCH('Auto Menu'!$G182, 'Master List Import'!$M$2:$M$700), 14)</f>
        <v>Hot Chili w/Beans</v>
      </c>
      <c r="I182" s="63">
        <f>INDEX('Master List Import'!$A$2:$P$700, MATCH('Auto Menu'!$G182, 'Master List Import'!$M$2:$M$700), 16)</f>
        <v>4.2</v>
      </c>
      <c r="J182" s="10"/>
      <c r="K182" s="6"/>
      <c r="L182" s="7">
        <v>7740</v>
      </c>
      <c r="M182" s="8" t="str">
        <f>INDEX('Master List Import'!$A$2:$P$700, MATCH('Auto Menu'!$L182, 'Master List Import'!$M$2:$M$700), 14)</f>
        <v>Salted Peanuts</v>
      </c>
      <c r="N182" s="63">
        <f>INDEX('Master List Import'!$A$2:$P$700, MATCH('Auto Menu'!$L182, 'Master List Import'!$M$2:$M$700), 16)</f>
        <v>0.65</v>
      </c>
    </row>
    <row r="183" spans="1:14" ht="11.25" customHeight="1" x14ac:dyDescent="0.25">
      <c r="A183" s="27"/>
      <c r="B183" s="12">
        <v>6601</v>
      </c>
      <c r="C183" s="8" t="str">
        <f>INDEX('Master List Import'!$A$2:$P$700, MATCH('Auto Menu'!$B183, 'Master List Import'!$M$2:$M$700), 14)</f>
        <v>BBQ Sauce Packet</v>
      </c>
      <c r="D183" s="63">
        <f>INDEX('Master List Import'!$A$2:$P$700, MATCH('Auto Menu'!$B183, 'Master List Import'!$M$2:$M$700), 16)</f>
        <v>0.15</v>
      </c>
      <c r="E183" s="10"/>
      <c r="F183" s="27"/>
      <c r="G183" s="12">
        <v>7002</v>
      </c>
      <c r="H183" s="8" t="str">
        <f>INDEX('Master List Import'!$A$2:$P$700, MATCH('Auto Menu'!$G183, 'Master List Import'!$M$2:$M$700), 14)</f>
        <v>Chili, No Beans</v>
      </c>
      <c r="I183" s="63">
        <f>INDEX('Master List Import'!$A$2:$P$700, MATCH('Auto Menu'!$G183, 'Master List Import'!$M$2:$M$700), 16)</f>
        <v>4.2</v>
      </c>
      <c r="J183" s="10"/>
      <c r="K183" s="27"/>
      <c r="L183" s="12">
        <v>7741</v>
      </c>
      <c r="M183" s="8" t="str">
        <f>INDEX('Master List Import'!$A$2:$P$700, MATCH('Auto Menu'!$L183, 'Master List Import'!$M$2:$M$700), 14)</f>
        <v>Sunflower Kernels</v>
      </c>
      <c r="N183" s="63">
        <f>INDEX('Master List Import'!$A$2:$P$700, MATCH('Auto Menu'!$L183, 'Master List Import'!$M$2:$M$700), 16)</f>
        <v>1.1499999999999999</v>
      </c>
    </row>
    <row r="184" spans="1:14" ht="11.25" customHeight="1" x14ac:dyDescent="0.25">
      <c r="A184" s="27"/>
      <c r="B184" s="12">
        <v>6602</v>
      </c>
      <c r="C184" s="8" t="str">
        <f>INDEX('Master List Import'!$A$2:$P$700, MATCH('Auto Menu'!$B184, 'Master List Import'!$M$2:$M$700), 14)</f>
        <v>Mayonnaise Packet</v>
      </c>
      <c r="D184" s="63">
        <f>INDEX('Master List Import'!$A$2:$P$700, MATCH('Auto Menu'!$B184, 'Master List Import'!$M$2:$M$700), 16)</f>
        <v>0.2</v>
      </c>
      <c r="E184" s="10"/>
      <c r="F184" s="27"/>
      <c r="G184" s="12">
        <v>7003</v>
      </c>
      <c r="H184" s="8" t="str">
        <f>INDEX('Master List Import'!$A$2:$P$700, MATCH('Auto Menu'!$G184, 'Master List Import'!$M$2:$M$700), 14)</f>
        <v>Beef Stew</v>
      </c>
      <c r="I184" s="63">
        <f>INDEX('Master List Import'!$A$2:$P$700, MATCH('Auto Menu'!$G184, 'Master List Import'!$M$2:$M$700), 16)</f>
        <v>4.2</v>
      </c>
      <c r="J184" s="10"/>
      <c r="K184" s="27"/>
      <c r="L184" s="12">
        <v>7742</v>
      </c>
      <c r="M184" s="8" t="str">
        <f>INDEX('Master List Import'!$A$2:$P$700, MATCH('Auto Menu'!$L184, 'Master List Import'!$M$2:$M$700), 14)</f>
        <v>Double Dipped Peanuts</v>
      </c>
      <c r="N184" s="63">
        <f>INDEX('Master List Import'!$A$2:$P$700, MATCH('Auto Menu'!$L184, 'Master List Import'!$M$2:$M$700), 16)</f>
        <v>4.2</v>
      </c>
    </row>
    <row r="185" spans="1:14" ht="11.25" customHeight="1" x14ac:dyDescent="0.25">
      <c r="A185" s="27"/>
      <c r="B185" s="12">
        <v>6603</v>
      </c>
      <c r="C185" s="8" t="str">
        <f>INDEX('Master List Import'!$A$2:$P$700, MATCH('Auto Menu'!$B185, 'Master List Import'!$M$2:$M$700), 14)</f>
        <v>Mustard Packet</v>
      </c>
      <c r="D185" s="63">
        <f>INDEX('Master List Import'!$A$2:$P$700, MATCH('Auto Menu'!$B185, 'Master List Import'!$M$2:$M$700), 16)</f>
        <v>0.1</v>
      </c>
      <c r="E185" s="10"/>
      <c r="F185" s="27"/>
      <c r="G185" s="12">
        <v>7004</v>
      </c>
      <c r="H185" s="8" t="str">
        <f>INDEX('Master List Import'!$A$2:$P$700, MATCH('Auto Menu'!$G185, 'Master List Import'!$M$2:$M$700), 14)</f>
        <v>Tuna in Water</v>
      </c>
      <c r="I185" s="63">
        <f>INDEX('Master List Import'!$A$2:$P$700, MATCH('Auto Menu'!$G185, 'Master List Import'!$M$2:$M$700), 16)</f>
        <v>4.2</v>
      </c>
      <c r="J185" s="10"/>
      <c r="K185" s="27"/>
      <c r="L185" s="12">
        <v>7760</v>
      </c>
      <c r="M185" s="8" t="str">
        <f>INDEX('Master List Import'!$A$2:$P$700, MATCH('Auto Menu'!$L185, 'Master List Import'!$M$2:$M$700), 14)</f>
        <v>All Energy Trail Mix</v>
      </c>
      <c r="N185" s="63">
        <f>INDEX('Master List Import'!$A$2:$P$700, MATCH('Auto Menu'!$L185, 'Master List Import'!$M$2:$M$700), 16)</f>
        <v>1.25</v>
      </c>
    </row>
    <row r="186" spans="1:14" ht="11.25" customHeight="1" x14ac:dyDescent="0.25">
      <c r="A186" s="27"/>
      <c r="B186" s="12">
        <v>6610</v>
      </c>
      <c r="C186" s="8" t="str">
        <f>INDEX('Master List Import'!$A$2:$P$700, MATCH('Auto Menu'!$B186, 'Master List Import'!$M$2:$M$700), 14)</f>
        <v>Taco Sauce Packet</v>
      </c>
      <c r="D186" s="63">
        <f>INDEX('Master List Import'!$A$2:$P$700, MATCH('Auto Menu'!$B186, 'Master List Import'!$M$2:$M$700), 16)</f>
        <v>0.2</v>
      </c>
      <c r="E186" s="10"/>
      <c r="F186" s="27"/>
      <c r="G186" s="12">
        <v>7005</v>
      </c>
      <c r="H186" s="8" t="str">
        <f>INDEX('Master List Import'!$A$2:$P$700, MATCH('Auto Menu'!$G186, 'Master List Import'!$M$2:$M$700), 14)</f>
        <v>Sardines in Oil</v>
      </c>
      <c r="I186" s="63">
        <f>INDEX('Master List Import'!$A$2:$P$700, MATCH('Auto Menu'!$G186, 'Master List Import'!$M$2:$M$700), 16)</f>
        <v>2.2000000000000002</v>
      </c>
      <c r="J186" s="10"/>
      <c r="K186" s="27"/>
      <c r="L186" s="12">
        <v>7761</v>
      </c>
      <c r="M186" s="8" t="str">
        <f>INDEX('Master List Import'!$A$2:$P$700, MATCH('Auto Menu'!$L186, 'Master List Import'!$M$2:$M$700), 14)</f>
        <v>Sweet 'N Spicy Snack Mix</v>
      </c>
      <c r="N186" s="63">
        <f>INDEX('Master List Import'!$A$2:$P$700, MATCH('Auto Menu'!$L186, 'Master List Import'!$M$2:$M$700), 16)</f>
        <v>1.2</v>
      </c>
    </row>
    <row r="187" spans="1:14" ht="11.25" customHeight="1" x14ac:dyDescent="0.25">
      <c r="A187" s="27"/>
      <c r="B187" s="12">
        <v>6611</v>
      </c>
      <c r="C187" s="8" t="str">
        <f>INDEX('Master List Import'!$A$2:$P$700, MATCH('Auto Menu'!$B187, 'Master List Import'!$M$2:$M$700), 14)</f>
        <v>Squeeze Hot Sauce Packet</v>
      </c>
      <c r="D187" s="63">
        <f>INDEX('Master List Import'!$A$2:$P$700, MATCH('Auto Menu'!$B187, 'Master List Import'!$M$2:$M$700), 16)</f>
        <v>0.3</v>
      </c>
      <c r="E187" s="10"/>
      <c r="F187" s="27"/>
      <c r="G187" s="12">
        <v>7006</v>
      </c>
      <c r="H187" s="8" t="str">
        <f>INDEX('Master List Import'!$A$2:$P$700, MATCH('Auto Menu'!$G187, 'Master List Import'!$M$2:$M$700), 14)</f>
        <v>Sardines in Hot Sauce</v>
      </c>
      <c r="I187" s="63">
        <f>INDEX('Master List Import'!$A$2:$P$700, MATCH('Auto Menu'!$G187, 'Master List Import'!$M$2:$M$700), 16)</f>
        <v>2.2000000000000002</v>
      </c>
      <c r="J187" s="10"/>
      <c r="K187" s="40"/>
      <c r="L187" s="40"/>
      <c r="M187" s="40"/>
      <c r="N187" s="40"/>
    </row>
    <row r="188" spans="1:14" ht="11.25" customHeight="1" x14ac:dyDescent="0.25">
      <c r="A188" s="27"/>
      <c r="B188" s="12">
        <v>6612</v>
      </c>
      <c r="C188" s="8" t="str">
        <f>INDEX('Master List Import'!$A$2:$P$700, MATCH('Auto Menu'!$B188, 'Master List Import'!$M$2:$M$700), 14)</f>
        <v>Squeeze Jalapeno Cheese Packet</v>
      </c>
      <c r="D188" s="63">
        <f>INDEX('Master List Import'!$A$2:$P$700, MATCH('Auto Menu'!$B188, 'Master List Import'!$M$2:$M$700), 16)</f>
        <v>1.05</v>
      </c>
      <c r="E188" s="10"/>
      <c r="F188" s="27"/>
      <c r="G188" s="12">
        <v>7007</v>
      </c>
      <c r="H188" s="8" t="str">
        <f>INDEX('Master List Import'!$A$2:$P$700, MATCH('Auto Menu'!$G188, 'Master List Import'!$M$2:$M$700), 14)</f>
        <v>Mackerel in Water</v>
      </c>
      <c r="I188" s="63">
        <f>INDEX('Master List Import'!$A$2:$P$700, MATCH('Auto Menu'!$G188, 'Master List Import'!$M$2:$M$700), 16)</f>
        <v>5.5</v>
      </c>
      <c r="J188" s="10"/>
      <c r="K188" s="70" t="s">
        <v>341</v>
      </c>
      <c r="L188" s="70"/>
      <c r="M188" s="70"/>
      <c r="N188" s="70"/>
    </row>
    <row r="189" spans="1:14" ht="11.25" customHeight="1" x14ac:dyDescent="0.25">
      <c r="A189" s="26"/>
      <c r="B189" s="7">
        <v>6650</v>
      </c>
      <c r="C189" s="8" t="str">
        <f>INDEX('Master List Import'!$A$2:$P$700, MATCH('Auto Menu'!$B189, 'Master List Import'!$M$2:$M$700), 14)</f>
        <v>Hot Salsa Squeeze (15.5oz)</v>
      </c>
      <c r="D189" s="63">
        <f>INDEX('Master List Import'!$A$2:$P$700, MATCH('Auto Menu'!$B189, 'Master List Import'!$M$2:$M$700), 16)</f>
        <v>6</v>
      </c>
      <c r="E189" s="39"/>
      <c r="F189" s="27"/>
      <c r="G189" s="12">
        <v>7009</v>
      </c>
      <c r="H189" s="8" t="str">
        <f>INDEX('Master List Import'!$A$2:$P$700, MATCH('Auto Menu'!$G189, 'Master List Import'!$M$2:$M$700), 14)</f>
        <v>Chilorio Shredded Pork</v>
      </c>
      <c r="I189" s="63">
        <f>INDEX('Master List Import'!$A$2:$P$700, MATCH('Auto Menu'!$G189, 'Master List Import'!$M$2:$M$700), 16)</f>
        <v>4.4000000000000004</v>
      </c>
      <c r="J189" s="39"/>
      <c r="K189" s="6"/>
      <c r="L189" s="7">
        <v>7800</v>
      </c>
      <c r="M189" s="8" t="str">
        <f>INDEX('Master List Import'!$A$2:$P$700, MATCH('Auto Menu'!$L189, 'Master List Import'!$M$2:$M$700), 14)</f>
        <v>Nekot Peanut Butter Sandwich Crackers</v>
      </c>
      <c r="N189" s="63">
        <f>INDEX('Master List Import'!$A$2:$P$700, MATCH('Auto Menu'!$L189, 'Master List Import'!$M$2:$M$700), 16)</f>
        <v>0.65</v>
      </c>
    </row>
    <row r="190" spans="1:14" ht="11.25" customHeight="1" x14ac:dyDescent="0.25">
      <c r="A190" s="30"/>
      <c r="B190" s="12">
        <v>6651</v>
      </c>
      <c r="C190" s="8" t="str">
        <f>INDEX('Master List Import'!$A$2:$P$700, MATCH('Auto Menu'!$B190, 'Master List Import'!$M$2:$M$700), 14)</f>
        <v>Jalapeno Squeeze Cheese (16oz)</v>
      </c>
      <c r="D190" s="63">
        <f>INDEX('Master List Import'!$A$2:$P$700, MATCH('Auto Menu'!$B190, 'Master List Import'!$M$2:$M$700), 16)</f>
        <v>8.75</v>
      </c>
      <c r="E190" s="42"/>
      <c r="F190" s="27"/>
      <c r="G190" s="12">
        <v>7015</v>
      </c>
      <c r="H190" s="8" t="str">
        <f>INDEX('Master List Import'!$A$2:$P$700, MATCH('Auto Menu'!$G190, 'Master List Import'!$M$2:$M$700), 14)</f>
        <v>Mackeral in Sriracha Sauce</v>
      </c>
      <c r="I190" s="63">
        <f>INDEX('Master List Import'!$A$2:$P$700, MATCH('Auto Menu'!$G190, 'Master List Import'!$M$2:$M$700), 16)</f>
        <v>3</v>
      </c>
      <c r="J190" s="42"/>
      <c r="K190" s="27"/>
      <c r="L190" s="12">
        <v>7801</v>
      </c>
      <c r="M190" s="8" t="str">
        <f>INDEX('Master List Import'!$A$2:$P$700, MATCH('Auto Menu'!$L190, 'Master List Import'!$M$2:$M$700), 14)</f>
        <v>Toasty Peanut Butter Sandwich Crackers</v>
      </c>
      <c r="N190" s="63">
        <f>INDEX('Master List Import'!$A$2:$P$700, MATCH('Auto Menu'!$L190, 'Master List Import'!$M$2:$M$700), 16)</f>
        <v>0.65</v>
      </c>
    </row>
    <row r="191" spans="1:14" ht="11.25" customHeight="1" x14ac:dyDescent="0.25">
      <c r="A191" s="26"/>
      <c r="B191" s="7">
        <v>6700</v>
      </c>
      <c r="C191" s="8" t="str">
        <f>INDEX('Master List Import'!$A$2:$P$700, MATCH('Auto Menu'!$B191, 'Master List Import'!$M$2:$M$700), 14)</f>
        <v>Tostitos Salsa Cup</v>
      </c>
      <c r="D191" s="63">
        <f>INDEX('Master List Import'!$A$2:$P$700, MATCH('Auto Menu'!$B191, 'Master List Import'!$M$2:$M$700), 16)</f>
        <v>1.65</v>
      </c>
      <c r="E191" s="10"/>
      <c r="F191" s="27"/>
      <c r="G191" s="12">
        <v>7018</v>
      </c>
      <c r="H191" s="8" t="str">
        <f>INDEX('Master List Import'!$A$2:$P$700, MATCH('Auto Menu'!$G191, 'Master List Import'!$M$2:$M$700), 14)</f>
        <v>Smoked Oysters in Oil</v>
      </c>
      <c r="I191" s="63">
        <f>INDEX('Master List Import'!$A$2:$P$700, MATCH('Auto Menu'!$G191, 'Master List Import'!$M$2:$M$700), 16)</f>
        <v>3.6</v>
      </c>
      <c r="J191" s="10"/>
      <c r="K191" s="27"/>
      <c r="L191" s="12">
        <v>7802</v>
      </c>
      <c r="M191" s="8" t="str">
        <f>INDEX('Master List Import'!$A$2:$P$700, MATCH('Auto Menu'!$L191, 'Master List Import'!$M$2:$M$700), 14)</f>
        <v>Grilled Cheese Sandwich Crackers</v>
      </c>
      <c r="N191" s="63">
        <f>INDEX('Master List Import'!$A$2:$P$700, MATCH('Auto Menu'!$L191, 'Master List Import'!$M$2:$M$700), 16)</f>
        <v>0.65</v>
      </c>
    </row>
    <row r="192" spans="1:14" ht="11.25" customHeight="1" x14ac:dyDescent="0.25">
      <c r="A192" s="30"/>
      <c r="B192" s="12">
        <v>6701</v>
      </c>
      <c r="C192" s="8" t="str">
        <f>INDEX('Master List Import'!$A$2:$P$700, MATCH('Auto Menu'!$B192, 'Master List Import'!$M$2:$M$700), 14)</f>
        <v>Rico's Nacho Cheese Cup</v>
      </c>
      <c r="D192" s="63">
        <f>INDEX('Master List Import'!$A$2:$P$700, MATCH('Auto Menu'!$B192, 'Master List Import'!$M$2:$M$700), 16)</f>
        <v>1.9</v>
      </c>
      <c r="E192" s="10"/>
      <c r="F192" s="40"/>
      <c r="G192" s="40"/>
      <c r="H192" s="40"/>
      <c r="I192" s="40"/>
      <c r="J192" s="10"/>
      <c r="K192" s="27"/>
      <c r="L192" s="12">
        <v>7803</v>
      </c>
      <c r="M192" s="8" t="str">
        <f>INDEX('Master List Import'!$A$2:$P$700, MATCH('Auto Menu'!$L192, 'Master List Import'!$M$2:$M$700), 14)</f>
        <v>Spicy Cheddar Sandwich Crackers</v>
      </c>
      <c r="N192" s="63">
        <f>INDEX('Master List Import'!$A$2:$P$700, MATCH('Auto Menu'!$L192, 'Master List Import'!$M$2:$M$700), 16)</f>
        <v>0.65</v>
      </c>
    </row>
    <row r="193" spans="1:14" ht="11.25" customHeight="1" x14ac:dyDescent="0.25">
      <c r="A193" s="30"/>
      <c r="B193" s="12">
        <v>6702</v>
      </c>
      <c r="C193" s="8" t="str">
        <f>INDEX('Master List Import'!$A$2:$P$700, MATCH('Auto Menu'!$B193, 'Master List Import'!$M$2:$M$700), 14)</f>
        <v>Rico's Nacho Cheese Cup</v>
      </c>
      <c r="D193" s="63">
        <f>INDEX('Master List Import'!$A$2:$P$700, MATCH('Auto Menu'!$B193, 'Master List Import'!$M$2:$M$700), 16)</f>
        <v>1.9</v>
      </c>
      <c r="E193" s="10"/>
      <c r="F193" s="70" t="s">
        <v>351</v>
      </c>
      <c r="G193" s="70"/>
      <c r="H193" s="70"/>
      <c r="I193" s="70"/>
      <c r="J193" s="10"/>
      <c r="K193" s="27"/>
      <c r="L193" s="12">
        <v>7804</v>
      </c>
      <c r="M193" s="8" t="str">
        <f>INDEX('Master List Import'!$A$2:$P$700, MATCH('Auto Menu'!$L193, 'Master List Import'!$M$2:$M$700), 14)</f>
        <v>Cream Cheese &amp; Chive Sandwich Crackers</v>
      </c>
      <c r="N193" s="63">
        <f>INDEX('Master List Import'!$A$2:$P$700, MATCH('Auto Menu'!$L193, 'Master List Import'!$M$2:$M$700), 16)</f>
        <v>0.65</v>
      </c>
    </row>
    <row r="194" spans="1:14" ht="11.25" customHeight="1" x14ac:dyDescent="0.25">
      <c r="A194" s="30"/>
      <c r="B194" s="12">
        <v>6703</v>
      </c>
      <c r="C194" s="8" t="str">
        <f>INDEX('Master List Import'!$A$2:$P$700, MATCH('Auto Menu'!$B194, 'Master List Import'!$M$2:$M$700), 14)</f>
        <v>Rico's Nacho Cheese Cup</v>
      </c>
      <c r="D194" s="63">
        <f>INDEX('Master List Import'!$A$2:$P$700, MATCH('Auto Menu'!$B194, 'Master List Import'!$M$2:$M$700), 16)</f>
        <v>1.9</v>
      </c>
      <c r="E194" s="10"/>
      <c r="F194" s="6"/>
      <c r="G194" s="7">
        <v>7040</v>
      </c>
      <c r="H194" s="8" t="str">
        <f>INDEX('Master List Import'!$A$2:$P$700, MATCH('Auto Menu'!$G194, 'Master List Import'!$M$2:$M$700), 14)</f>
        <v>Fully Cooked Bacon</v>
      </c>
      <c r="I194" s="63">
        <f>INDEX('Master List Import'!$A$2:$P$700, MATCH('Auto Menu'!$G194, 'Master List Import'!$M$2:$M$700), 16)</f>
        <v>9.75</v>
      </c>
      <c r="J194" s="10"/>
      <c r="K194" s="27"/>
      <c r="L194" s="12">
        <v>7840</v>
      </c>
      <c r="M194" s="8" t="str">
        <f>INDEX('Master List Import'!$A$2:$P$700, MATCH('Auto Menu'!$L194, 'Master List Import'!$M$2:$M$700), 14)</f>
        <v>Cream Cheese &amp; Chive Sandwich Crackers</v>
      </c>
      <c r="N194" s="63">
        <f>INDEX('Master List Import'!$A$2:$P$700, MATCH('Auto Menu'!$L194, 'Master List Import'!$M$2:$M$700), 16)</f>
        <v>0.65</v>
      </c>
    </row>
    <row r="195" spans="1:14" ht="11.25" customHeight="1" x14ac:dyDescent="0.25">
      <c r="A195" s="30"/>
      <c r="B195" s="12">
        <v>6706</v>
      </c>
      <c r="C195" s="8" t="str">
        <f>INDEX('Master List Import'!$A$2:$P$700, MATCH('Auto Menu'!$B195, 'Master List Import'!$M$2:$M$700), 14)</f>
        <v>Rico's Nacho Cheese Cup</v>
      </c>
      <c r="D195" s="63">
        <f>INDEX('Master List Import'!$A$2:$P$700, MATCH('Auto Menu'!$B195, 'Master List Import'!$M$2:$M$700), 16)</f>
        <v>1.9</v>
      </c>
      <c r="E195" s="10"/>
      <c r="F195" s="27"/>
      <c r="G195" s="12">
        <v>7050</v>
      </c>
      <c r="H195" s="8" t="str">
        <f>INDEX('Master List Import'!$A$2:$P$700, MATCH('Auto Menu'!$G195, 'Master List Import'!$M$2:$M$700), 14)</f>
        <v>Fully Cooked Bacon</v>
      </c>
      <c r="I195" s="63">
        <f>INDEX('Master List Import'!$A$2:$P$700, MATCH('Auto Menu'!$G195, 'Master List Import'!$M$2:$M$700), 16)</f>
        <v>9.75</v>
      </c>
      <c r="J195" s="10"/>
      <c r="K195" s="27"/>
      <c r="L195" s="12">
        <v>7841</v>
      </c>
      <c r="M195" s="8" t="str">
        <f>INDEX('Master List Import'!$A$2:$P$700, MATCH('Auto Menu'!$L195, 'Master List Import'!$M$2:$M$700), 14)</f>
        <v>Cheez-It Hot &amp; Spicy Crackers</v>
      </c>
      <c r="N195" s="63">
        <f>INDEX('Master List Import'!$A$2:$P$700, MATCH('Auto Menu'!$L195, 'Master List Import'!$M$2:$M$700), 16)</f>
        <v>3</v>
      </c>
    </row>
    <row r="196" spans="1:14" ht="11.25" customHeight="1" x14ac:dyDescent="0.25">
      <c r="A196" s="30"/>
      <c r="B196" s="12">
        <v>6720</v>
      </c>
      <c r="C196" s="8" t="str">
        <f>INDEX('Master List Import'!$A$2:$P$700, MATCH('Auto Menu'!$B196, 'Master List Import'!$M$2:$M$700), 14)</f>
        <v>Ranch Dressing Cup</v>
      </c>
      <c r="D196" s="63">
        <f>INDEX('Master List Import'!$A$2:$P$700, MATCH('Auto Menu'!$B196, 'Master List Import'!$M$2:$M$700), 16)</f>
        <v>1.65</v>
      </c>
      <c r="E196" s="10"/>
      <c r="F196" s="27"/>
      <c r="G196" s="12">
        <v>7051</v>
      </c>
      <c r="H196" s="8" t="str">
        <f>INDEX('Master List Import'!$A$2:$P$700, MATCH('Auto Menu'!$G196, 'Master List Import'!$M$2:$M$700), 14)</f>
        <v>Instant Refried Beans w/Jal</v>
      </c>
      <c r="I196" s="63">
        <f>INDEX('Master List Import'!$A$2:$P$700, MATCH('Auto Menu'!$G196, 'Master List Import'!$M$2:$M$700), 16)</f>
        <v>3.65</v>
      </c>
      <c r="J196" s="10"/>
      <c r="K196" s="35"/>
      <c r="L196" s="36"/>
      <c r="M196" s="43"/>
      <c r="N196" s="29"/>
    </row>
    <row r="197" spans="1:14" ht="11.25" customHeight="1" x14ac:dyDescent="0.25">
      <c r="A197" s="40"/>
      <c r="B197" s="40"/>
      <c r="C197" s="40"/>
      <c r="D197" s="58"/>
      <c r="E197" s="10"/>
      <c r="F197" s="27"/>
      <c r="G197" s="12">
        <v>7052</v>
      </c>
      <c r="H197" s="8" t="str">
        <f>INDEX('Master List Import'!$A$2:$P$700, MATCH('Auto Menu'!$G197, 'Master List Import'!$M$2:$M$700), 14)</f>
        <v>Instant Spanish Rice w/Cheese &amp; Jal</v>
      </c>
      <c r="I197" s="63">
        <f>INDEX('Master List Import'!$A$2:$P$700, MATCH('Auto Menu'!$G197, 'Master List Import'!$M$2:$M$700), 16)</f>
        <v>1.65</v>
      </c>
      <c r="J197" s="10"/>
      <c r="K197" s="40"/>
      <c r="L197" s="40"/>
      <c r="M197" s="40"/>
      <c r="N197" s="40"/>
    </row>
    <row r="198" spans="1:14" ht="11.25" customHeight="1" x14ac:dyDescent="0.25">
      <c r="A198" s="70" t="s">
        <v>358</v>
      </c>
      <c r="B198" s="70"/>
      <c r="C198" s="70"/>
      <c r="D198" s="70"/>
      <c r="E198" s="10"/>
      <c r="F198" s="27"/>
      <c r="G198" s="12">
        <v>7053</v>
      </c>
      <c r="H198" s="8" t="str">
        <f>INDEX('Master List Import'!$A$2:$P$700, MATCH('Auto Menu'!$G198, 'Master List Import'!$M$2:$M$700), 14)</f>
        <v>Instant White Rice</v>
      </c>
      <c r="I198" s="63">
        <f>INDEX('Master List Import'!$A$2:$P$700, MATCH('Auto Menu'!$G198, 'Master List Import'!$M$2:$M$700), 16)</f>
        <v>2.5</v>
      </c>
      <c r="J198" s="10"/>
      <c r="K198" s="70" t="s">
        <v>360</v>
      </c>
      <c r="L198" s="70"/>
      <c r="M198" s="70"/>
      <c r="N198" s="70"/>
    </row>
    <row r="199" spans="1:14" ht="11.25" customHeight="1" x14ac:dyDescent="0.25">
      <c r="A199" s="26"/>
      <c r="B199" s="7">
        <v>6800</v>
      </c>
      <c r="C199" s="8" t="str">
        <f>INDEX('Master List Import'!$A$2:$P$700, MATCH('Auto Menu'!$B199, 'Master List Import'!$M$2:$M$700), 14)</f>
        <v>Tony's Creole Seasoning (20ct)</v>
      </c>
      <c r="D199" s="63">
        <f>INDEX('Master List Import'!$A$2:$P$700, MATCH('Auto Menu'!$B199, 'Master List Import'!$M$2:$M$700), 16)</f>
        <v>0.95</v>
      </c>
      <c r="E199" s="10"/>
      <c r="F199" s="27"/>
      <c r="G199" s="12">
        <v>7054</v>
      </c>
      <c r="H199" s="8" t="str">
        <f>INDEX('Master List Import'!$A$2:$P$700, MATCH('Auto Menu'!$G199, 'Master List Import'!$M$2:$M$700), 14)</f>
        <v>Instant Mashed Potatoes, Loaded</v>
      </c>
      <c r="I199" s="63">
        <f>INDEX('Master List Import'!$A$2:$P$700, MATCH('Auto Menu'!$G199, 'Master List Import'!$M$2:$M$700), 16)</f>
        <v>4.2</v>
      </c>
      <c r="J199" s="10"/>
      <c r="K199" s="26"/>
      <c r="L199" s="7">
        <v>8000</v>
      </c>
      <c r="M199" s="8" t="str">
        <f>INDEX('Master List Import'!$A$2:$P$700, MATCH('Auto Menu'!$L199, 'Master List Import'!$M$2:$M$700), 14)</f>
        <v>Beef Ramen Noodles</v>
      </c>
      <c r="N199" s="63">
        <f>INDEX('Master List Import'!$A$2:$P$700, MATCH('Auto Menu'!$L199, 'Master List Import'!$M$2:$M$700), 16)</f>
        <v>0.95</v>
      </c>
    </row>
    <row r="200" spans="1:14" ht="11.25" customHeight="1" x14ac:dyDescent="0.25">
      <c r="A200" s="30"/>
      <c r="B200" s="12">
        <v>6801</v>
      </c>
      <c r="C200" s="8" t="str">
        <f>INDEX('Master List Import'!$A$2:$P$700, MATCH('Auto Menu'!$B200, 'Master List Import'!$M$2:$M$700), 14)</f>
        <v>Salt Packet (10ct)</v>
      </c>
      <c r="D200" s="63">
        <f>INDEX('Master List Import'!$A$2:$P$700, MATCH('Auto Menu'!$B200, 'Master List Import'!$M$2:$M$700), 16)</f>
        <v>0.25</v>
      </c>
      <c r="E200" s="10"/>
      <c r="F200" s="27"/>
      <c r="G200" s="12">
        <v>7055</v>
      </c>
      <c r="H200" s="8" t="str">
        <f>INDEX('Master List Import'!$A$2:$P$700, MATCH('Auto Menu'!$G200, 'Master List Import'!$M$2:$M$700), 14)</f>
        <v>Instant Mashed Potatoes, Pepper Jack</v>
      </c>
      <c r="I200" s="63">
        <f>INDEX('Master List Import'!$A$2:$P$700, MATCH('Auto Menu'!$G200, 'Master List Import'!$M$2:$M$700), 16)</f>
        <v>4.2</v>
      </c>
      <c r="J200" s="10"/>
      <c r="K200" s="30"/>
      <c r="L200" s="12">
        <v>8001</v>
      </c>
      <c r="M200" s="8" t="str">
        <f>INDEX('Master List Import'!$A$2:$P$700, MATCH('Auto Menu'!$L200, 'Master List Import'!$M$2:$M$700), 14)</f>
        <v>Picante Beef Ramen Noodles</v>
      </c>
      <c r="N200" s="63">
        <f>INDEX('Master List Import'!$A$2:$P$700, MATCH('Auto Menu'!$L200, 'Master List Import'!$M$2:$M$700), 16)</f>
        <v>0.95</v>
      </c>
    </row>
    <row r="201" spans="1:14" ht="11.25" customHeight="1" x14ac:dyDescent="0.25">
      <c r="A201" s="30"/>
      <c r="B201" s="12">
        <v>6802</v>
      </c>
      <c r="C201" s="8" t="str">
        <f>INDEX('Master List Import'!$A$2:$P$700, MATCH('Auto Menu'!$B201, 'Master List Import'!$M$2:$M$700), 14)</f>
        <v>Pepper Packet (10ct)</v>
      </c>
      <c r="D201" s="63">
        <f>INDEX('Master List Import'!$A$2:$P$700, MATCH('Auto Menu'!$B201, 'Master List Import'!$M$2:$M$700), 16)</f>
        <v>0.25</v>
      </c>
      <c r="E201" s="10"/>
      <c r="F201" s="6"/>
      <c r="G201" s="7">
        <v>7058</v>
      </c>
      <c r="H201" s="8" t="str">
        <f>INDEX('Master List Import'!$A$2:$P$700, MATCH('Auto Menu'!$G201, 'Master List Import'!$M$2:$M$700), 14)</f>
        <v>Instant Red Beans &amp; Rice w/chili</v>
      </c>
      <c r="I201" s="63">
        <f>INDEX('Master List Import'!$A$2:$P$700, MATCH('Auto Menu'!$G201, 'Master List Import'!$M$2:$M$700), 16)</f>
        <v>3.15</v>
      </c>
      <c r="J201" s="10"/>
      <c r="K201" s="11"/>
      <c r="L201" s="12">
        <v>8002</v>
      </c>
      <c r="M201" s="8" t="str">
        <f>INDEX('Master List Import'!$A$2:$P$700, MATCH('Auto Menu'!$L201, 'Master List Import'!$M$2:$M$700), 14)</f>
        <v>Roasted Beef Ramen Noodles</v>
      </c>
      <c r="N201" s="63">
        <f>INDEX('Master List Import'!$A$2:$P$700, MATCH('Auto Menu'!$L201, 'Master List Import'!$M$2:$M$700), 16)</f>
        <v>0.95</v>
      </c>
    </row>
    <row r="202" spans="1:14" ht="11.25" customHeight="1" x14ac:dyDescent="0.25">
      <c r="A202" s="30"/>
      <c r="B202" s="12">
        <v>6810</v>
      </c>
      <c r="C202" s="8" t="str">
        <f>INDEX('Master List Import'!$A$2:$P$700, MATCH('Auto Menu'!$B202, 'Master List Import'!$M$2:$M$700), 14)</f>
        <v>Garlic Powder Shaker</v>
      </c>
      <c r="D202" s="63">
        <f>INDEX('Master List Import'!$A$2:$P$700, MATCH('Auto Menu'!$B202, 'Master List Import'!$M$2:$M$700), 16)</f>
        <v>2.75</v>
      </c>
      <c r="E202" s="10"/>
      <c r="F202" s="40"/>
      <c r="G202" s="40"/>
      <c r="H202" s="40"/>
      <c r="I202" s="40"/>
      <c r="J202" s="10"/>
      <c r="K202" s="30"/>
      <c r="L202" s="12">
        <v>8010</v>
      </c>
      <c r="M202" s="8" t="str">
        <f>INDEX('Master List Import'!$A$2:$P$700, MATCH('Auto Menu'!$L202, 'Master List Import'!$M$2:$M$700), 14)</f>
        <v>Chicken Ramen Noodles</v>
      </c>
      <c r="N202" s="63">
        <f>INDEX('Master List Import'!$A$2:$P$700, MATCH('Auto Menu'!$L202, 'Master List Import'!$M$2:$M$700), 16)</f>
        <v>0.95</v>
      </c>
    </row>
    <row r="203" spans="1:14" ht="11.25" customHeight="1" x14ac:dyDescent="0.25">
      <c r="A203" s="30"/>
      <c r="B203" s="12">
        <v>6811</v>
      </c>
      <c r="C203" s="8" t="str">
        <f>INDEX('Master List Import'!$A$2:$P$700, MATCH('Auto Menu'!$B203, 'Master List Import'!$M$2:$M$700), 14)</f>
        <v>Minced Onions Shaker</v>
      </c>
      <c r="D203" s="63">
        <f>INDEX('Master List Import'!$A$2:$P$700, MATCH('Auto Menu'!$B203, 'Master List Import'!$M$2:$M$700), 16)</f>
        <v>1.8</v>
      </c>
      <c r="E203" s="10"/>
      <c r="F203" s="70" t="s">
        <v>370</v>
      </c>
      <c r="G203" s="70"/>
      <c r="H203" s="70"/>
      <c r="I203" s="70"/>
      <c r="J203" s="10"/>
      <c r="K203" s="30"/>
      <c r="L203" s="12">
        <v>8011</v>
      </c>
      <c r="M203" s="8" t="str">
        <f>INDEX('Master List Import'!$A$2:$P$700, MATCH('Auto Menu'!$L203, 'Master List Import'!$M$2:$M$700), 14)</f>
        <v>Roasted Chicken Ramen Noodles</v>
      </c>
      <c r="N203" s="63">
        <f>INDEX('Master List Import'!$A$2:$P$700, MATCH('Auto Menu'!$L203, 'Master List Import'!$M$2:$M$700), 16)</f>
        <v>0.95</v>
      </c>
    </row>
    <row r="204" spans="1:14" ht="11.25" customHeight="1" x14ac:dyDescent="0.25">
      <c r="A204" s="30"/>
      <c r="B204" s="12">
        <v>6812</v>
      </c>
      <c r="C204" s="8" t="str">
        <f>INDEX('Master List Import'!$A$2:$P$700, MATCH('Auto Menu'!$B204, 'Master List Import'!$M$2:$M$700), 14)</f>
        <v>Seasoning Salt Shaker</v>
      </c>
      <c r="D204" s="63">
        <f>INDEX('Master List Import'!$A$2:$P$700, MATCH('Auto Menu'!$B204, 'Master List Import'!$M$2:$M$700), 16)</f>
        <v>1.8</v>
      </c>
      <c r="E204" s="10"/>
      <c r="F204" s="6"/>
      <c r="G204" s="7">
        <v>7070</v>
      </c>
      <c r="H204" s="8" t="str">
        <f>INDEX('Master List Import'!$A$2:$P$700, MATCH('Auto Menu'!$G204, 'Master List Import'!$M$2:$M$700), 14)</f>
        <v>Flour Tortillas (Pack)</v>
      </c>
      <c r="I204" s="63">
        <f>INDEX('Master List Import'!$A$2:$P$700, MATCH('Auto Menu'!$G204, 'Master List Import'!$M$2:$M$700), 16)</f>
        <v>3.75</v>
      </c>
      <c r="J204" s="10"/>
      <c r="K204" s="30"/>
      <c r="L204" s="12">
        <v>8012</v>
      </c>
      <c r="M204" s="8" t="str">
        <f>INDEX('Master List Import'!$A$2:$P$700, MATCH('Auto Menu'!$L204, 'Master List Import'!$M$2:$M$700), 14)</f>
        <v>Picante Chicken Ramen Noodles</v>
      </c>
      <c r="N204" s="63">
        <f>INDEX('Master List Import'!$A$2:$P$700, MATCH('Auto Menu'!$L204, 'Master List Import'!$M$2:$M$700), 16)</f>
        <v>0.95</v>
      </c>
    </row>
    <row r="205" spans="1:14" ht="11.25" customHeight="1" x14ac:dyDescent="0.25">
      <c r="A205" s="30"/>
      <c r="B205" s="12">
        <v>6820</v>
      </c>
      <c r="C205" s="8" t="str">
        <f>INDEX('Master List Import'!$A$2:$P$700, MATCH('Auto Menu'!$B205, 'Master List Import'!$M$2:$M$700), 14)</f>
        <v>Louisiana Supreme Hot Sauce (5oz)</v>
      </c>
      <c r="D205" s="63">
        <f>INDEX('Master List Import'!$A$2:$P$700, MATCH('Auto Menu'!$B205, 'Master List Import'!$M$2:$M$700), 16)</f>
        <v>3</v>
      </c>
      <c r="E205" s="10"/>
      <c r="F205" s="27"/>
      <c r="G205" s="12">
        <v>7080</v>
      </c>
      <c r="H205" s="8" t="str">
        <f>INDEX('Master List Import'!$A$2:$P$700, MATCH('Auto Menu'!$G205, 'Master List Import'!$M$2:$M$700), 14)</f>
        <v>Saltine Crackers (16oz)</v>
      </c>
      <c r="I205" s="63">
        <f>INDEX('Master List Import'!$A$2:$P$700, MATCH('Auto Menu'!$G205, 'Master List Import'!$M$2:$M$700), 16)</f>
        <v>4.75</v>
      </c>
      <c r="J205" s="10"/>
      <c r="K205" s="30"/>
      <c r="L205" s="12">
        <v>8013</v>
      </c>
      <c r="M205" s="8" t="str">
        <f>INDEX('Master List Import'!$A$2:$P$700, MATCH('Auto Menu'!$L205, 'Master List Import'!$M$2:$M$700), 14)</f>
        <v>Cajun Chicken Ramen Noodles</v>
      </c>
      <c r="N205" s="63">
        <f>INDEX('Master List Import'!$A$2:$P$700, MATCH('Auto Menu'!$L205, 'Master List Import'!$M$2:$M$700), 16)</f>
        <v>0.95</v>
      </c>
    </row>
    <row r="206" spans="1:14" ht="11.25" customHeight="1" x14ac:dyDescent="0.25">
      <c r="A206" s="44"/>
      <c r="B206" s="36"/>
      <c r="C206" s="37"/>
      <c r="D206" s="29"/>
      <c r="E206" s="10"/>
      <c r="F206" s="6"/>
      <c r="G206" s="12">
        <v>7081</v>
      </c>
      <c r="H206" s="8" t="str">
        <f>INDEX('Master List Import'!$A$2:$P$700, MATCH('Auto Menu'!$G206, 'Master List Import'!$M$2:$M$700), 14)</f>
        <v>Snack Crackers (10oz)</v>
      </c>
      <c r="I206" s="63">
        <f>INDEX('Master List Import'!$A$2:$P$700, MATCH('Auto Menu'!$G206, 'Master List Import'!$M$2:$M$700), 16)</f>
        <v>5</v>
      </c>
      <c r="J206" s="10"/>
      <c r="K206" s="30"/>
      <c r="L206" s="12">
        <v>8016</v>
      </c>
      <c r="M206" s="8" t="str">
        <f>INDEX('Master List Import'!$A$2:$P$700, MATCH('Auto Menu'!$L206, 'Master List Import'!$M$2:$M$700), 14)</f>
        <v>Low Sodium Chicken Ramen Noodles</v>
      </c>
      <c r="N206" s="63">
        <f>INDEX('Master List Import'!$A$2:$P$700, MATCH('Auto Menu'!$L206, 'Master List Import'!$M$2:$M$700), 16)</f>
        <v>0.95</v>
      </c>
    </row>
    <row r="207" spans="1:14" ht="11.25" customHeight="1" x14ac:dyDescent="0.25">
      <c r="A207" s="70" t="s">
        <v>379</v>
      </c>
      <c r="B207" s="70"/>
      <c r="C207" s="70"/>
      <c r="D207" s="70"/>
      <c r="E207" s="10"/>
      <c r="F207" s="40"/>
      <c r="G207" s="40"/>
      <c r="H207" s="8"/>
      <c r="I207" s="40"/>
      <c r="J207" s="10"/>
      <c r="K207" s="30"/>
      <c r="L207" s="12">
        <v>8020</v>
      </c>
      <c r="M207" s="8" t="str">
        <f>INDEX('Master List Import'!$A$2:$P$700, MATCH('Auto Menu'!$L207, 'Master List Import'!$M$2:$M$700), 14)</f>
        <v>Shrimp Ramen Noodles</v>
      </c>
      <c r="N207" s="63">
        <f>INDEX('Master List Import'!$A$2:$P$700, MATCH('Auto Menu'!$L207, 'Master List Import'!$M$2:$M$700), 16)</f>
        <v>0.95</v>
      </c>
    </row>
    <row r="208" spans="1:14" ht="11.25" customHeight="1" x14ac:dyDescent="0.25">
      <c r="A208" s="6"/>
      <c r="B208" s="7">
        <v>6613</v>
      </c>
      <c r="C208" s="8" t="str">
        <f>INDEX('Master List Import'!$A$2:$P$700, MATCH('Auto Menu'!$B208, 'Master List Import'!$M$2:$M$700), 14)</f>
        <v>Sliced Jalapenos Packet</v>
      </c>
      <c r="D208" s="63">
        <f>INDEX('Master List Import'!$A$2:$P$700, MATCH('Auto Menu'!$B208, 'Master List Import'!$M$2:$M$700), 16)</f>
        <v>0.95</v>
      </c>
      <c r="E208" s="10"/>
      <c r="J208" s="10"/>
      <c r="K208" s="30"/>
      <c r="L208" s="12">
        <v>8021</v>
      </c>
      <c r="M208" s="8" t="str">
        <f>INDEX('Master List Import'!$A$2:$P$700, MATCH('Auto Menu'!$L208, 'Master List Import'!$M$2:$M$700), 14)</f>
        <v>Lime Chili Shrimp Ramen Noodles</v>
      </c>
      <c r="N208" s="63">
        <f>INDEX('Master List Import'!$A$2:$P$700, MATCH('Auto Menu'!$L208, 'Master List Import'!$M$2:$M$700), 16)</f>
        <v>0.95</v>
      </c>
    </row>
    <row r="209" spans="1:14" ht="11.25" customHeight="1" x14ac:dyDescent="0.25">
      <c r="A209" s="6"/>
      <c r="B209" s="12">
        <v>6722</v>
      </c>
      <c r="C209" s="8" t="str">
        <f>INDEX('Master List Import'!$A$2:$P$700, MATCH('Auto Menu'!$B209, 'Master List Import'!$M$2:$M$700), 14)</f>
        <v>12oz Tub - Jalapeno Peppers</v>
      </c>
      <c r="D209" s="63">
        <f>INDEX('Master List Import'!$A$2:$P$700, MATCH('Auto Menu'!$B209, 'Master List Import'!$M$2:$M$700), 16)</f>
        <v>4.3</v>
      </c>
      <c r="E209" s="10"/>
      <c r="F209" s="70" t="s">
        <v>383</v>
      </c>
      <c r="G209" s="70"/>
      <c r="H209" s="70"/>
      <c r="I209" s="70"/>
      <c r="J209" s="10"/>
      <c r="K209" s="30"/>
      <c r="L209" s="12">
        <v>8030</v>
      </c>
      <c r="M209" s="8" t="str">
        <f>INDEX('Master List Import'!$A$2:$P$700, MATCH('Auto Menu'!$L209, 'Master List Import'!$M$2:$M$700), 14)</f>
        <v>Chili Ramen Noodles</v>
      </c>
      <c r="N209" s="63">
        <f>INDEX('Master List Import'!$A$2:$P$700, MATCH('Auto Menu'!$L209, 'Master List Import'!$M$2:$M$700), 16)</f>
        <v>0.95</v>
      </c>
    </row>
    <row r="210" spans="1:14" ht="11.25" customHeight="1" x14ac:dyDescent="0.25">
      <c r="A210" s="40"/>
      <c r="B210" s="40"/>
      <c r="C210" s="40"/>
      <c r="D210" s="58"/>
      <c r="E210" s="10"/>
      <c r="F210" s="27"/>
      <c r="G210" s="12">
        <v>7900</v>
      </c>
      <c r="H210" s="8" t="str">
        <f>INDEX('Master List Import'!$A$2:$P$700, MATCH('Auto Menu'!$G210, 'Master List Import'!$M$2:$M$700), 14)</f>
        <v>BBQ Pork Rinds</v>
      </c>
      <c r="I210" s="63">
        <f>INDEX('Master List Import'!$A$2:$P$700, MATCH('Auto Menu'!$G210, 'Master List Import'!$M$2:$M$700), 16)</f>
        <v>1.1000000000000001</v>
      </c>
      <c r="J210" s="10"/>
      <c r="K210" s="30"/>
      <c r="L210" s="12">
        <v>8040</v>
      </c>
      <c r="M210" s="8" t="str">
        <f>INDEX('Master List Import'!$A$2:$P$700, MATCH('Auto Menu'!$L210, 'Master List Import'!$M$2:$M$700), 14)</f>
        <v>Pork Ramen Noodles</v>
      </c>
      <c r="N210" s="63">
        <f>INDEX('Master List Import'!$A$2:$P$700, MATCH('Auto Menu'!$L210, 'Master List Import'!$M$2:$M$700), 16)</f>
        <v>0.95</v>
      </c>
    </row>
    <row r="211" spans="1:14" ht="11.25" customHeight="1" x14ac:dyDescent="0.25">
      <c r="A211" s="70" t="s">
        <v>387</v>
      </c>
      <c r="B211" s="70"/>
      <c r="C211" s="70"/>
      <c r="D211" s="70"/>
      <c r="E211" s="10"/>
      <c r="F211" s="27"/>
      <c r="G211" s="12">
        <v>7901</v>
      </c>
      <c r="H211" s="8" t="str">
        <f>INDEX('Master List Import'!$A$2:$P$700, MATCH('Auto Menu'!$G211, 'Master List Import'!$M$2:$M$700), 14)</f>
        <v>Hot Pork Rinds</v>
      </c>
      <c r="I211" s="63">
        <f>INDEX('Master List Import'!$A$2:$P$700, MATCH('Auto Menu'!$G211, 'Master List Import'!$M$2:$M$700), 16)</f>
        <v>1.1000000000000001</v>
      </c>
      <c r="J211" s="10"/>
      <c r="K211" s="40"/>
      <c r="L211" s="40"/>
      <c r="M211" s="40"/>
      <c r="N211" s="40"/>
    </row>
    <row r="212" spans="1:14" ht="11.25" customHeight="1" x14ac:dyDescent="0.25">
      <c r="A212" s="6"/>
      <c r="B212" s="7">
        <v>6630</v>
      </c>
      <c r="C212" s="8" t="str">
        <f>INDEX('Master List Import'!$A$2:$P$700, MATCH('Auto Menu'!$B212, 'Master List Import'!$M$2:$M$700), 14)</f>
        <v>Squeeze Grape Jelly Packet</v>
      </c>
      <c r="D212" s="63">
        <f>INDEX('Master List Import'!$A$2:$P$700, MATCH('Auto Menu'!$B212, 'Master List Import'!$M$2:$M$700), 16)</f>
        <v>0.55000000000000004</v>
      </c>
      <c r="E212" s="25"/>
      <c r="F212" s="27"/>
      <c r="G212" s="12">
        <v>7920</v>
      </c>
      <c r="H212" s="8" t="str">
        <f>INDEX('Master List Import'!$A$2:$P$700, MATCH('Auto Menu'!$G212, 'Master List Import'!$M$2:$M$700), 14)</f>
        <v>Jalapeno Pretzel Pieces</v>
      </c>
      <c r="I212" s="63">
        <f>INDEX('Master List Import'!$A$2:$P$700, MATCH('Auto Menu'!$G212, 'Master List Import'!$M$2:$M$700), 16)</f>
        <v>1.65</v>
      </c>
      <c r="J212" s="25"/>
      <c r="K212" s="70" t="s">
        <v>391</v>
      </c>
      <c r="L212" s="70"/>
      <c r="M212" s="70"/>
      <c r="N212" s="70"/>
    </row>
    <row r="213" spans="1:14" ht="11.25" customHeight="1" x14ac:dyDescent="0.25">
      <c r="A213" s="27"/>
      <c r="B213" s="12">
        <v>6631</v>
      </c>
      <c r="C213" s="8" t="str">
        <f>INDEX('Master List Import'!$A$2:$P$700, MATCH('Auto Menu'!$B213, 'Master List Import'!$M$2:$M$700), 14)</f>
        <v>Squeeze Strawberry Jelly Packet</v>
      </c>
      <c r="D213" s="63">
        <f>INDEX('Master List Import'!$A$2:$P$700, MATCH('Auto Menu'!$B213, 'Master List Import'!$M$2:$M$700), 16)</f>
        <v>0.5</v>
      </c>
      <c r="E213" s="45"/>
      <c r="F213" s="27"/>
      <c r="G213" s="12">
        <v>7921</v>
      </c>
      <c r="H213" s="8" t="str">
        <f>INDEX('Master List Import'!$A$2:$P$700, MATCH('Auto Menu'!$G213, 'Master List Import'!$M$2:$M$700), 14)</f>
        <v>Buffalo Pretzel Pieces</v>
      </c>
      <c r="I213" s="63">
        <f>INDEX('Master List Import'!$A$2:$P$700, MATCH('Auto Menu'!$G213, 'Master List Import'!$M$2:$M$700), 16)</f>
        <v>1.65</v>
      </c>
      <c r="J213" s="45"/>
      <c r="K213" s="6"/>
      <c r="L213" s="46" t="s">
        <v>393</v>
      </c>
      <c r="M213" s="8" t="s">
        <v>394</v>
      </c>
      <c r="N213" s="18">
        <v>25</v>
      </c>
    </row>
    <row r="214" spans="1:14" ht="11.25" customHeight="1" x14ac:dyDescent="0.25">
      <c r="A214" s="6"/>
      <c r="B214" s="7">
        <v>6660</v>
      </c>
      <c r="C214" s="8" t="str">
        <f>INDEX('Master List Import'!$A$2:$P$700, MATCH('Auto Menu'!$B214, 'Master List Import'!$M$2:$M$700), 14)</f>
        <v>Grape Jelly Squeeze (19oz)</v>
      </c>
      <c r="D214" s="63">
        <f>INDEX('Master List Import'!$A$2:$P$700, MATCH('Auto Menu'!$B214, 'Master List Import'!$M$2:$M$700), 16)</f>
        <v>6</v>
      </c>
      <c r="E214" s="10"/>
      <c r="F214" s="27"/>
      <c r="G214" s="12">
        <v>7930</v>
      </c>
      <c r="H214" s="8" t="str">
        <f>INDEX('Master List Import'!$A$2:$P$700, MATCH('Auto Menu'!$G214, 'Master List Import'!$M$2:$M$700), 14)</f>
        <v>Jalapeno Popper Puffs</v>
      </c>
      <c r="I214" s="63">
        <f>INDEX('Master List Import'!$A$2:$P$700, MATCH('Auto Menu'!$G214, 'Master List Import'!$M$2:$M$700), 16)</f>
        <v>1.05</v>
      </c>
      <c r="J214" s="10"/>
      <c r="K214" s="40"/>
      <c r="L214" s="40"/>
      <c r="M214" s="47" t="s">
        <v>396</v>
      </c>
      <c r="N214" s="40"/>
    </row>
    <row r="215" spans="1:14" ht="11.25" customHeight="1" x14ac:dyDescent="0.25">
      <c r="A215" s="27"/>
      <c r="B215" s="12">
        <v>6661</v>
      </c>
      <c r="C215" s="8" t="str">
        <f>INDEX('Master List Import'!$A$2:$P$700, MATCH('Auto Menu'!$B215, 'Master List Import'!$M$2:$M$700), 14)</f>
        <v>Strawberry Jelly Squeeze (19oz)</v>
      </c>
      <c r="D215" s="63">
        <f>INDEX('Master List Import'!$A$2:$P$700, MATCH('Auto Menu'!$B215, 'Master List Import'!$M$2:$M$700), 16)</f>
        <v>6</v>
      </c>
      <c r="E215" s="10"/>
      <c r="F215" s="27"/>
      <c r="G215" s="12">
        <v>7931</v>
      </c>
      <c r="H215" s="8" t="str">
        <f>INDEX('Master List Import'!$A$2:$P$700, MATCH('Auto Menu'!$G215, 'Master List Import'!$M$2:$M$700), 14)</f>
        <v>Deep Dish Pizza Curls</v>
      </c>
      <c r="I215" s="63">
        <f>INDEX('Master List Import'!$A$2:$P$700, MATCH('Auto Menu'!$G215, 'Master List Import'!$M$2:$M$700), 16)</f>
        <v>1.05</v>
      </c>
      <c r="J215" s="10"/>
      <c r="K215" s="40"/>
      <c r="L215" s="40"/>
      <c r="M215" s="47" t="s">
        <v>398</v>
      </c>
      <c r="N215" s="40"/>
    </row>
    <row r="216" spans="1:14" ht="11.25" customHeight="1" x14ac:dyDescent="0.25">
      <c r="A216" s="40"/>
      <c r="B216" s="40"/>
      <c r="C216" s="40"/>
      <c r="D216" s="58"/>
      <c r="E216" s="10"/>
      <c r="F216" s="27"/>
      <c r="G216" s="12">
        <v>7932</v>
      </c>
      <c r="H216" s="8" t="str">
        <f>INDEX('Master List Import'!$A$2:$P$700, MATCH('Auto Menu'!$G216, 'Master List Import'!$M$2:$M$700), 14)</f>
        <v>Cheetos</v>
      </c>
      <c r="I216" s="63">
        <f>INDEX('Master List Import'!$A$2:$P$700, MATCH('Auto Menu'!$G216, 'Master List Import'!$M$2:$M$700), 16)</f>
        <v>3</v>
      </c>
      <c r="J216" s="10"/>
      <c r="K216" s="40"/>
      <c r="L216" s="40"/>
      <c r="M216" s="47" t="s">
        <v>400</v>
      </c>
      <c r="N216" s="40"/>
    </row>
    <row r="217" spans="1:14" ht="11.25" customHeight="1" x14ac:dyDescent="0.25">
      <c r="A217" s="70" t="s">
        <v>401</v>
      </c>
      <c r="B217" s="70"/>
      <c r="C217" s="70"/>
      <c r="D217" s="70"/>
      <c r="E217" s="10"/>
      <c r="F217" s="27"/>
      <c r="G217" s="12">
        <v>7933</v>
      </c>
      <c r="H217" s="8" t="str">
        <f>INDEX('Master List Import'!$A$2:$P$700, MATCH('Auto Menu'!$G217, 'Master List Import'!$M$2:$M$700), 14)</f>
        <v>Hot Cheetos</v>
      </c>
      <c r="I217" s="63">
        <f>INDEX('Master List Import'!$A$2:$P$700, MATCH('Auto Menu'!$G217, 'Master List Import'!$M$2:$M$700), 16)</f>
        <v>3</v>
      </c>
      <c r="J217" s="10"/>
      <c r="K217" s="40"/>
      <c r="L217" s="40"/>
      <c r="M217" s="40"/>
      <c r="N217" s="40"/>
    </row>
    <row r="218" spans="1:14" ht="11.25" customHeight="1" x14ac:dyDescent="0.25">
      <c r="A218" s="6"/>
      <c r="B218" s="7">
        <v>6740</v>
      </c>
      <c r="C218" s="8" t="str">
        <f>INDEX('Master List Import'!$A$2:$P$700, MATCH('Auto Menu'!$B218, 'Master List Import'!$M$2:$M$700), 14)</f>
        <v>Peanut Butter Jar (18oz)</v>
      </c>
      <c r="D218" s="63">
        <f>INDEX('Master List Import'!$A$2:$P$700, MATCH('Auto Menu'!$B218, 'Master List Import'!$M$2:$M$700), 16)</f>
        <v>6.3</v>
      </c>
      <c r="E218" s="10"/>
      <c r="F218" s="27"/>
      <c r="G218" s="12">
        <v>7950</v>
      </c>
      <c r="H218" s="8" t="str">
        <f>INDEX('Master List Import'!$A$2:$P$700, MATCH('Auto Menu'!$G218, 'Master List Import'!$M$2:$M$700), 14)</f>
        <v>Takis</v>
      </c>
      <c r="I218" s="63">
        <f>INDEX('Master List Import'!$A$2:$P$700, MATCH('Auto Menu'!$G218, 'Master List Import'!$M$2:$M$700), 16)</f>
        <v>1.65</v>
      </c>
      <c r="J218" s="10"/>
      <c r="K218" s="6"/>
      <c r="L218" s="46" t="s">
        <v>404</v>
      </c>
      <c r="M218" s="8" t="s">
        <v>405</v>
      </c>
      <c r="N218" s="18">
        <v>50</v>
      </c>
    </row>
    <row r="219" spans="1:14" ht="11.25" customHeight="1" x14ac:dyDescent="0.25">
      <c r="A219" s="27"/>
      <c r="B219" s="12">
        <v>6741</v>
      </c>
      <c r="C219" s="8" t="str">
        <f>INDEX('Master List Import'!$A$2:$P$700, MATCH('Auto Menu'!$B219, 'Master List Import'!$M$2:$M$700), 14)</f>
        <v>Jif Peanut Butter To-Go Cup</v>
      </c>
      <c r="D219" s="63">
        <f>INDEX('Master List Import'!$A$2:$P$700, MATCH('Auto Menu'!$B219, 'Master List Import'!$M$2:$M$700), 16)</f>
        <v>1.05</v>
      </c>
      <c r="E219" s="10"/>
      <c r="F219" s="27"/>
      <c r="G219" s="12">
        <v>7951</v>
      </c>
      <c r="H219" s="8" t="str">
        <f>INDEX('Master List Import'!$A$2:$P$700, MATCH('Auto Menu'!$G219, 'Master List Import'!$M$2:$M$700), 14)</f>
        <v>BBQ Corn Chips</v>
      </c>
      <c r="I219" s="63">
        <f>INDEX('Master List Import'!$A$2:$P$700, MATCH('Auto Menu'!$G219, 'Master List Import'!$M$2:$M$700), 16)</f>
        <v>3.85</v>
      </c>
      <c r="J219" s="10"/>
      <c r="K219" s="40"/>
      <c r="L219" s="40"/>
      <c r="M219" s="47" t="s">
        <v>396</v>
      </c>
      <c r="N219" s="40"/>
    </row>
    <row r="220" spans="1:14" ht="11.25" customHeight="1" x14ac:dyDescent="0.25">
      <c r="A220" s="27"/>
      <c r="B220" s="12">
        <v>6742</v>
      </c>
      <c r="C220" s="8" t="str">
        <f>INDEX('Master List Import'!$A$2:$P$700, MATCH('Auto Menu'!$B220, 'Master List Import'!$M$2:$M$700), 14)</f>
        <v>Crunchy Peanut Butter (18oz)</v>
      </c>
      <c r="D220" s="63">
        <f>INDEX('Master List Import'!$A$2:$P$700, MATCH('Auto Menu'!$B220, 'Master List Import'!$M$2:$M$700), 16)</f>
        <v>6.3</v>
      </c>
      <c r="E220" s="10"/>
      <c r="F220" s="27"/>
      <c r="G220" s="12">
        <v>7952</v>
      </c>
      <c r="H220" s="8" t="str">
        <f>INDEX('Master List Import'!$A$2:$P$700, MATCH('Auto Menu'!$G220, 'Master List Import'!$M$2:$M$700), 14)</f>
        <v>Red Hot Corn Chips</v>
      </c>
      <c r="I220" s="63">
        <f>INDEX('Master List Import'!$A$2:$P$700, MATCH('Auto Menu'!$G220, 'Master List Import'!$M$2:$M$700), 16)</f>
        <v>3.85</v>
      </c>
      <c r="J220" s="10"/>
      <c r="K220" s="40"/>
      <c r="L220" s="40"/>
      <c r="M220" s="47" t="s">
        <v>398</v>
      </c>
      <c r="N220" s="40"/>
    </row>
    <row r="221" spans="1:14" ht="11.25" customHeight="1" x14ac:dyDescent="0.25">
      <c r="A221" s="40"/>
      <c r="B221" s="40"/>
      <c r="C221" s="40"/>
      <c r="D221" s="58"/>
      <c r="E221" s="40"/>
      <c r="F221" s="27"/>
      <c r="G221" s="12">
        <v>7953</v>
      </c>
      <c r="H221" s="8" t="str">
        <f>INDEX('Master List Import'!$A$2:$P$700, MATCH('Auto Menu'!$G221, 'Master List Import'!$M$2:$M$700), 14)</f>
        <v>Nacho Cheese Doritos</v>
      </c>
      <c r="I221" s="63">
        <f>INDEX('Master List Import'!$A$2:$P$700, MATCH('Auto Menu'!$G221, 'Master List Import'!$M$2:$M$700), 16)</f>
        <v>2.8</v>
      </c>
      <c r="J221" s="40"/>
      <c r="K221" s="40"/>
      <c r="L221" s="40"/>
      <c r="M221" s="47" t="s">
        <v>410</v>
      </c>
      <c r="N221" s="40"/>
    </row>
    <row r="222" spans="1:14" ht="11.25" customHeight="1" x14ac:dyDescent="0.25">
      <c r="A222" s="70" t="s">
        <v>411</v>
      </c>
      <c r="B222" s="70"/>
      <c r="C222" s="70"/>
      <c r="D222" s="70"/>
      <c r="E222" s="40"/>
      <c r="F222" s="27"/>
      <c r="G222" s="12">
        <v>7954</v>
      </c>
      <c r="H222" s="8" t="str">
        <f>INDEX('Master List Import'!$A$2:$P$700, MATCH('Auto Menu'!$G222, 'Master List Import'!$M$2:$M$700), 14)</f>
        <v>Cool Ranch Doritos</v>
      </c>
      <c r="I222" s="63">
        <f>INDEX('Master List Import'!$A$2:$P$700, MATCH('Auto Menu'!$G222, 'Master List Import'!$M$2:$M$700), 16)</f>
        <v>2.8</v>
      </c>
      <c r="J222" s="40"/>
      <c r="K222" s="40"/>
      <c r="L222" s="40"/>
      <c r="M222" s="40"/>
      <c r="N222" s="40"/>
    </row>
    <row r="223" spans="1:14" ht="11.25" customHeight="1" x14ac:dyDescent="0.25">
      <c r="A223" s="6"/>
      <c r="B223" s="7">
        <v>7700</v>
      </c>
      <c r="C223" s="8" t="str">
        <f>INDEX('Master List Import'!$A$2:$P$700, MATCH('Auto Menu'!$B223, 'Master List Import'!$M$2:$M$700), 14)</f>
        <v>Beef Summer Sausage</v>
      </c>
      <c r="D223" s="63">
        <f>INDEX('Master List Import'!$A$2:$P$700, MATCH('Auto Menu'!$B223, 'Master List Import'!$M$2:$M$700), 16)</f>
        <v>4.3499999999999996</v>
      </c>
      <c r="E223" s="40"/>
      <c r="F223" s="27"/>
      <c r="G223" s="12">
        <v>7955</v>
      </c>
      <c r="H223" s="8" t="str">
        <f>INDEX('Master List Import'!$A$2:$P$700, MATCH('Auto Menu'!$G223, 'Master List Import'!$M$2:$M$700), 14)</f>
        <v>Tostitos Crispy Rounds</v>
      </c>
      <c r="I223" s="63">
        <f>INDEX('Master List Import'!$A$2:$P$700, MATCH('Auto Menu'!$G223, 'Master List Import'!$M$2:$M$700), 16)</f>
        <v>1.75</v>
      </c>
      <c r="J223" s="40"/>
      <c r="K223" s="6"/>
      <c r="L223" s="46" t="s">
        <v>415</v>
      </c>
      <c r="M223" s="8" t="s">
        <v>416</v>
      </c>
      <c r="N223" s="18">
        <v>75</v>
      </c>
    </row>
    <row r="224" spans="1:14" ht="11.25" customHeight="1" x14ac:dyDescent="0.25">
      <c r="A224" s="27"/>
      <c r="B224" s="12">
        <v>7701</v>
      </c>
      <c r="C224" s="8" t="str">
        <f>INDEX('Master List Import'!$A$2:$P$700, MATCH('Auto Menu'!$B224, 'Master List Import'!$M$2:$M$700), 14)</f>
        <v>Hot &amp; Spicy Beef Summer Sausage</v>
      </c>
      <c r="D224" s="63">
        <f>INDEX('Master List Import'!$A$2:$P$700, MATCH('Auto Menu'!$B224, 'Master List Import'!$M$2:$M$700), 16)</f>
        <v>4.55</v>
      </c>
      <c r="E224" s="40"/>
      <c r="F224" s="27"/>
      <c r="G224" s="12">
        <v>7956</v>
      </c>
      <c r="H224" s="8" t="str">
        <f>INDEX('Master List Import'!$A$2:$P$700, MATCH('Auto Menu'!$G224, 'Master List Import'!$M$2:$M$700), 14)</f>
        <v>Chili Cheese Fritos</v>
      </c>
      <c r="I224" s="63">
        <f>INDEX('Master List Import'!$A$2:$P$700, MATCH('Auto Menu'!$G224, 'Master List Import'!$M$2:$M$700), 16)</f>
        <v>1.65</v>
      </c>
      <c r="J224" s="40"/>
      <c r="K224" s="40"/>
      <c r="L224" s="40"/>
      <c r="M224" s="47" t="s">
        <v>396</v>
      </c>
      <c r="N224" s="40"/>
    </row>
    <row r="225" spans="1:14" ht="11.25" customHeight="1" x14ac:dyDescent="0.25">
      <c r="A225" s="27"/>
      <c r="B225" s="12">
        <v>7702</v>
      </c>
      <c r="C225" s="8" t="str">
        <f>INDEX('Master List Import'!$A$2:$P$700, MATCH('Auto Menu'!$B225, 'Master List Import'!$M$2:$M$700), 14)</f>
        <v>O'Brien's Beef Sticks</v>
      </c>
      <c r="D225" s="63">
        <f>INDEX('Master List Import'!$A$2:$P$700, MATCH('Auto Menu'!$B225, 'Master List Import'!$M$2:$M$700), 16)</f>
        <v>1.7</v>
      </c>
      <c r="E225" s="40"/>
      <c r="F225" s="27"/>
      <c r="G225" s="12">
        <v>7958</v>
      </c>
      <c r="H225" s="8" t="str">
        <f>INDEX('Master List Import'!$A$2:$P$700, MATCH('Auto Menu'!$G225, 'Master List Import'!$M$2:$M$700), 14)</f>
        <v>Regular Corn Chips</v>
      </c>
      <c r="I225" s="63">
        <f>INDEX('Master List Import'!$A$2:$P$700, MATCH('Auto Menu'!$G225, 'Master List Import'!$M$2:$M$700), 16)</f>
        <v>3.5</v>
      </c>
      <c r="J225" s="40"/>
      <c r="K225" s="40"/>
      <c r="L225" s="40"/>
      <c r="M225" s="47" t="s">
        <v>421</v>
      </c>
      <c r="N225" s="40"/>
    </row>
    <row r="226" spans="1:14" ht="11.25" customHeight="1" x14ac:dyDescent="0.25">
      <c r="A226" s="30"/>
      <c r="B226" s="12">
        <v>7703</v>
      </c>
      <c r="C226" s="8" t="str">
        <f>INDEX('Master List Import'!$A$2:$P$700, MATCH('Auto Menu'!$B226, 'Master List Import'!$M$2:$M$700), 14)</f>
        <v>Double Barrel Beef Sticks</v>
      </c>
      <c r="D226" s="63">
        <f>INDEX('Master List Import'!$A$2:$P$700, MATCH('Auto Menu'!$B226, 'Master List Import'!$M$2:$M$700), 16)</f>
        <v>1.7</v>
      </c>
      <c r="E226" s="40"/>
      <c r="F226" s="27"/>
      <c r="G226" s="12">
        <v>7970</v>
      </c>
      <c r="H226" s="8" t="str">
        <f>INDEX('Master List Import'!$A$2:$P$700, MATCH('Auto Menu'!$G226, 'Master List Import'!$M$2:$M$700), 14)</f>
        <v>Ruffles</v>
      </c>
      <c r="I226" s="63">
        <f>INDEX('Master List Import'!$A$2:$P$700, MATCH('Auto Menu'!$G226, 'Master List Import'!$M$2:$M$700), 16)</f>
        <v>1.45</v>
      </c>
      <c r="J226" s="40"/>
      <c r="K226" s="40"/>
      <c r="L226" s="40"/>
      <c r="M226" s="47" t="s">
        <v>424</v>
      </c>
      <c r="N226" s="40"/>
    </row>
    <row r="227" spans="1:14" ht="11.25" customHeight="1" x14ac:dyDescent="0.25">
      <c r="A227" s="30"/>
      <c r="B227" s="12">
        <v>7720</v>
      </c>
      <c r="C227" s="8" t="str">
        <f>INDEX('Master List Import'!$A$2:$P$700, MATCH('Auto Menu'!$B227, 'Master List Import'!$M$2:$M$700), 14)</f>
        <v>Hot Dill Pickle</v>
      </c>
      <c r="D227" s="63">
        <f>INDEX('Master List Import'!$A$2:$P$700, MATCH('Auto Menu'!$B227, 'Master List Import'!$M$2:$M$700), 16)</f>
        <v>2.25</v>
      </c>
      <c r="E227" s="40"/>
      <c r="F227" s="27"/>
      <c r="G227" s="12">
        <v>7971</v>
      </c>
      <c r="H227" s="8" t="str">
        <f>INDEX('Master List Import'!$A$2:$P$700, MATCH('Auto Menu'!$G227, 'Master List Import'!$M$2:$M$700), 14)</f>
        <v>Baby Back Rib Chips</v>
      </c>
      <c r="I227" s="63">
        <f>INDEX('Master List Import'!$A$2:$P$700, MATCH('Auto Menu'!$G227, 'Master List Import'!$M$2:$M$700), 16)</f>
        <v>1.55</v>
      </c>
      <c r="J227" s="40"/>
      <c r="K227" s="40"/>
      <c r="L227" s="40"/>
      <c r="M227" s="40"/>
      <c r="N227" s="40"/>
    </row>
    <row r="228" spans="1:14" ht="11.25" customHeight="1" x14ac:dyDescent="0.25">
      <c r="A228" s="30"/>
      <c r="B228" s="12">
        <v>7721</v>
      </c>
      <c r="C228" s="8" t="str">
        <f>INDEX('Master List Import'!$A$2:$P$700, MATCH('Auto Menu'!$B228, 'Master List Import'!$M$2:$M$700), 14)</f>
        <v>Dill Pickle</v>
      </c>
      <c r="D228" s="63">
        <f>INDEX('Master List Import'!$A$2:$P$700, MATCH('Auto Menu'!$B228, 'Master List Import'!$M$2:$M$700), 16)</f>
        <v>2.25</v>
      </c>
      <c r="E228" s="40"/>
      <c r="F228" s="27"/>
      <c r="G228" s="12">
        <v>7973</v>
      </c>
      <c r="H228" s="8" t="str">
        <f>INDEX('Master List Import'!$A$2:$P$700, MATCH('Auto Menu'!$G228, 'Master List Import'!$M$2:$M$700), 14)</f>
        <v>Creamy Ranch &amp; Habanero Chips</v>
      </c>
      <c r="I228" s="63">
        <f>INDEX('Master List Import'!$A$2:$P$700, MATCH('Auto Menu'!$G228, 'Master List Import'!$M$2:$M$700), 16)</f>
        <v>1.5</v>
      </c>
      <c r="J228" s="40"/>
      <c r="K228" s="40"/>
      <c r="L228" s="34" t="s">
        <v>429</v>
      </c>
      <c r="M228" s="40"/>
      <c r="N228" s="40"/>
    </row>
    <row r="229" spans="1:14" ht="11.25" customHeight="1" x14ac:dyDescent="0.25">
      <c r="A229" s="30"/>
      <c r="B229" s="12">
        <v>7730</v>
      </c>
      <c r="C229" s="8" t="str">
        <f>INDEX('Master List Import'!$A$2:$P$700, MATCH('Auto Menu'!$B229, 'Master List Import'!$M$2:$M$700), 14)</f>
        <v>Microwave Butter Popcorn</v>
      </c>
      <c r="D229" s="63">
        <f>INDEX('Master List Import'!$A$2:$P$700, MATCH('Auto Menu'!$B229, 'Master List Import'!$M$2:$M$700), 16)</f>
        <v>1.05</v>
      </c>
      <c r="E229" s="40"/>
      <c r="F229" s="27"/>
      <c r="G229" s="12">
        <v>7974</v>
      </c>
      <c r="H229" s="8" t="str">
        <f>INDEX('Master List Import'!$A$2:$P$700, MATCH('Auto Menu'!$G229, 'Master List Import'!$M$2:$M$700), 14)</f>
        <v>Ruffles Cheddar &amp; Sour Cream</v>
      </c>
      <c r="I229" s="63">
        <f>INDEX('Master List Import'!$A$2:$P$700, MATCH('Auto Menu'!$G229, 'Master List Import'!$M$2:$M$700), 16)</f>
        <v>1.45</v>
      </c>
      <c r="J229" s="40"/>
      <c r="K229" s="40"/>
      <c r="L229" s="40"/>
      <c r="M229" s="40"/>
      <c r="N229" s="40"/>
    </row>
    <row r="230" spans="1:14" ht="11.25" customHeight="1" x14ac:dyDescent="0.25">
      <c r="A230" s="40"/>
      <c r="B230" s="40"/>
      <c r="C230" s="40"/>
      <c r="D230" s="58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 spans="1:14" ht="11.25" customHeight="1" x14ac:dyDescent="0.25">
      <c r="A231" s="73" t="s">
        <v>432</v>
      </c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</row>
    <row r="232" spans="1:14" ht="11.25" customHeight="1" x14ac:dyDescent="0.25">
      <c r="A232" s="70" t="s">
        <v>433</v>
      </c>
      <c r="B232" s="70"/>
      <c r="C232" s="70"/>
      <c r="D232" s="70"/>
      <c r="E232" s="39"/>
      <c r="F232" s="70" t="s">
        <v>434</v>
      </c>
      <c r="G232" s="70"/>
      <c r="H232" s="70"/>
      <c r="I232" s="70"/>
      <c r="J232" s="39"/>
      <c r="K232" s="70" t="s">
        <v>435</v>
      </c>
      <c r="L232" s="70"/>
      <c r="M232" s="70"/>
      <c r="N232" s="70"/>
    </row>
    <row r="233" spans="1:14" ht="11.25" customHeight="1" x14ac:dyDescent="0.25">
      <c r="A233" s="6"/>
      <c r="B233" s="7">
        <v>7100</v>
      </c>
      <c r="C233" s="8" t="str">
        <f>INDEX('Master List Import'!$A$2:$P$700, MATCH('Auto Menu'!$B233, 'Master List Import'!$M$2:$M$700), 14)</f>
        <v>Instant Grits, Butter Flavor (12pk)</v>
      </c>
      <c r="D233" s="63">
        <f>INDEX('Master List Import'!$A$2:$P$700, MATCH('Auto Menu'!$B233, 'Master List Import'!$M$2:$M$700), 16)</f>
        <v>7</v>
      </c>
      <c r="E233" s="10"/>
      <c r="F233" s="6"/>
      <c r="G233" s="7">
        <v>7120</v>
      </c>
      <c r="H233" s="8" t="str">
        <f>INDEX('Master List Import'!$A$2:$P$700, MATCH('Auto Menu'!$G233, 'Master List Import'!$M$2:$M$700), 14)</f>
        <v>Strawberry Pop-Ups (3pk)</v>
      </c>
      <c r="I233" s="63">
        <f>INDEX('Master List Import'!$A$2:$P$700, MATCH('Auto Menu'!$G233, 'Master List Import'!$M$2:$M$700), 16)</f>
        <v>3.7</v>
      </c>
      <c r="J233" s="10"/>
      <c r="K233" s="26"/>
      <c r="L233" s="7">
        <v>7130</v>
      </c>
      <c r="M233" s="8" t="str">
        <f>INDEX('Master List Import'!$A$2:$P$700, MATCH('Auto Menu'!$L233, 'Master List Import'!$M$2:$M$700), 14)</f>
        <v>Single Pack Strawberry Pop-Up</v>
      </c>
      <c r="N233" s="63">
        <f>INDEX('Master List Import'!$A$2:$P$700, MATCH('Auto Menu'!$L233, 'Master List Import'!$M$2:$M$700), 16)</f>
        <v>1.2</v>
      </c>
    </row>
    <row r="234" spans="1:14" ht="11.25" customHeight="1" x14ac:dyDescent="0.25">
      <c r="A234" s="27"/>
      <c r="B234" s="12">
        <v>7101</v>
      </c>
      <c r="C234" s="8" t="str">
        <f>INDEX('Master List Import'!$A$2:$P$700, MATCH('Auto Menu'!$B234, 'Master List Import'!$M$2:$M$700), 14)</f>
        <v>Instant Oatmeal (10pk Variety)</v>
      </c>
      <c r="D234" s="63">
        <f>INDEX('Master List Import'!$A$2:$P$700, MATCH('Auto Menu'!$B234, 'Master List Import'!$M$2:$M$700), 16)</f>
        <v>5.8</v>
      </c>
      <c r="E234" s="10"/>
      <c r="F234" s="27"/>
      <c r="G234" s="12">
        <v>7121</v>
      </c>
      <c r="H234" s="8" t="str">
        <f>INDEX('Master List Import'!$A$2:$P$700, MATCH('Auto Menu'!$G234, 'Master List Import'!$M$2:$M$700), 14)</f>
        <v>Wild Berry Pop-Ups (3pk)</v>
      </c>
      <c r="I234" s="63">
        <f>INDEX('Master List Import'!$A$2:$P$700, MATCH('Auto Menu'!$G234, 'Master List Import'!$M$2:$M$700), 16)</f>
        <v>3.7</v>
      </c>
      <c r="J234" s="10"/>
      <c r="K234" s="30"/>
      <c r="L234" s="12">
        <v>7131</v>
      </c>
      <c r="M234" s="8" t="str">
        <f>INDEX('Master List Import'!$A$2:$P$700, MATCH('Auto Menu'!$L234, 'Master List Import'!$M$2:$M$700), 14)</f>
        <v>Single Pack Wild Berry Pop-Up</v>
      </c>
      <c r="N234" s="63">
        <f>INDEX('Master List Import'!$A$2:$P$700, MATCH('Auto Menu'!$L234, 'Master List Import'!$M$2:$M$700), 16)</f>
        <v>1.2</v>
      </c>
    </row>
    <row r="235" spans="1:14" ht="11.25" customHeight="1" x14ac:dyDescent="0.25">
      <c r="A235" s="27"/>
      <c r="B235" s="12">
        <v>7110</v>
      </c>
      <c r="C235" s="8" t="str">
        <f>INDEX('Master List Import'!$A$2:$P$700, MATCH('Auto Menu'!$B235, 'Master List Import'!$M$2:$M$700), 14)</f>
        <v>Frosted Flakes Cereal Bowl</v>
      </c>
      <c r="D235" s="63">
        <f>INDEX('Master List Import'!$A$2:$P$700, MATCH('Auto Menu'!$B235, 'Master List Import'!$M$2:$M$700), 16)</f>
        <v>0.75</v>
      </c>
      <c r="E235" s="10"/>
      <c r="F235" s="27"/>
      <c r="G235" s="12">
        <v>7122</v>
      </c>
      <c r="H235" s="8" t="str">
        <f>INDEX('Master List Import'!$A$2:$P$700, MATCH('Auto Menu'!$G235, 'Master List Import'!$M$2:$M$700), 14)</f>
        <v>Cookies &amp; Cream Pop-Ups (3pk)</v>
      </c>
      <c r="I235" s="63">
        <f>INDEX('Master List Import'!$A$2:$P$700, MATCH('Auto Menu'!$G235, 'Master List Import'!$M$2:$M$700), 16)</f>
        <v>3.7</v>
      </c>
      <c r="J235" s="10"/>
      <c r="K235" s="30"/>
      <c r="L235" s="12">
        <v>7132</v>
      </c>
      <c r="M235" s="8" t="str">
        <f>INDEX('Master List Import'!$A$2:$P$700, MATCH('Auto Menu'!$L235, 'Master List Import'!$M$2:$M$700), 14)</f>
        <v>Single Pack Cookies &amp; Cream Pop-Up</v>
      </c>
      <c r="N235" s="63">
        <f>INDEX('Master List Import'!$A$2:$P$700, MATCH('Auto Menu'!$L235, 'Master List Import'!$M$2:$M$700), 16)</f>
        <v>1.2</v>
      </c>
    </row>
    <row r="236" spans="1:14" ht="11.25" customHeight="1" x14ac:dyDescent="0.25">
      <c r="A236" s="27"/>
      <c r="B236" s="12">
        <v>7111</v>
      </c>
      <c r="C236" s="8" t="str">
        <f>INDEX('Master List Import'!$A$2:$P$700, MATCH('Auto Menu'!$B236, 'Master List Import'!$M$2:$M$700), 14)</f>
        <v>Cinnamon Toaster Cereal Bowl</v>
      </c>
      <c r="D236" s="63">
        <f>INDEX('Master List Import'!$A$2:$P$700, MATCH('Auto Menu'!$B236, 'Master List Import'!$M$2:$M$700), 16)</f>
        <v>0.75</v>
      </c>
      <c r="E236" s="10"/>
      <c r="F236" s="27"/>
      <c r="G236" s="12">
        <v>7123</v>
      </c>
      <c r="H236" s="8" t="str">
        <f>INDEX('Master List Import'!$A$2:$P$700, MATCH('Auto Menu'!$G236, 'Master List Import'!$M$2:$M$700), 14)</f>
        <v>S'mores Pop-Ups (3pk)</v>
      </c>
      <c r="I236" s="63">
        <f>INDEX('Master List Import'!$A$2:$P$700, MATCH('Auto Menu'!$G236, 'Master List Import'!$M$2:$M$700), 16)</f>
        <v>3.7</v>
      </c>
      <c r="J236" s="10"/>
      <c r="K236" s="30"/>
      <c r="L236" s="12">
        <v>7133</v>
      </c>
      <c r="M236" s="8" t="str">
        <f>INDEX('Master List Import'!$A$2:$P$700, MATCH('Auto Menu'!$L236, 'Master List Import'!$M$2:$M$700), 14)</f>
        <v>Single Pack S'mores Pop-Up</v>
      </c>
      <c r="N236" s="63">
        <f>INDEX('Master List Import'!$A$2:$P$700, MATCH('Auto Menu'!$L236, 'Master List Import'!$M$2:$M$700), 16)</f>
        <v>1.2</v>
      </c>
    </row>
    <row r="237" spans="1:14" ht="11.25" customHeight="1" x14ac:dyDescent="0.25">
      <c r="A237" s="30"/>
      <c r="B237" s="12">
        <v>7260</v>
      </c>
      <c r="C237" s="8" t="str">
        <f>INDEX('Master List Import'!$A$2:$P$700, MATCH('Auto Menu'!$B237, 'Master List Import'!$M$2:$M$700), 14)</f>
        <v>Chewy Granola Bar</v>
      </c>
      <c r="D237" s="63">
        <f>INDEX('Master List Import'!$A$2:$P$700, MATCH('Auto Menu'!$B237, 'Master List Import'!$M$2:$M$700), 16)</f>
        <v>1.85</v>
      </c>
      <c r="E237" s="10"/>
      <c r="F237" s="27"/>
      <c r="G237" s="12">
        <v>7124</v>
      </c>
      <c r="H237" s="8" t="str">
        <f>INDEX('Master List Import'!$A$2:$P$700, MATCH('Auto Menu'!$G237, 'Master List Import'!$M$2:$M$700), 14)</f>
        <v>Brown Sugar Cinnamon Pop-Ups (3pk)</v>
      </c>
      <c r="I237" s="63">
        <f>INDEX('Master List Import'!$A$2:$P$700, MATCH('Auto Menu'!$G237, 'Master List Import'!$M$2:$M$700), 16)</f>
        <v>3.7</v>
      </c>
      <c r="J237" s="10"/>
      <c r="K237" s="30"/>
      <c r="L237" s="12">
        <v>7134</v>
      </c>
      <c r="M237" s="8" t="str">
        <f>INDEX('Master List Import'!$A$2:$P$700, MATCH('Auto Menu'!$L237, 'Master List Import'!$M$2:$M$700), 14)</f>
        <v>Single Pack Brown Sugar Cinnamon Pop-Up</v>
      </c>
      <c r="N237" s="63">
        <f>INDEX('Master List Import'!$A$2:$P$700, MATCH('Auto Menu'!$L237, 'Master List Import'!$M$2:$M$700), 16)</f>
        <v>1.2</v>
      </c>
    </row>
    <row r="238" spans="1:14" ht="11.25" customHeight="1" x14ac:dyDescent="0.25">
      <c r="A238" s="30"/>
      <c r="B238" s="12">
        <v>7261</v>
      </c>
      <c r="C238" s="8" t="str">
        <f>INDEX('Master List Import'!$A$2:$P$700, MATCH('Auto Menu'!$B238, 'Master List Import'!$M$2:$M$700), 14)</f>
        <v>Crunchy Granola Bar</v>
      </c>
      <c r="D238" s="63">
        <f>INDEX('Master List Import'!$A$2:$P$700, MATCH('Auto Menu'!$B238, 'Master List Import'!$M$2:$M$700), 16)</f>
        <v>1.3</v>
      </c>
      <c r="E238" s="10"/>
      <c r="F238" s="26"/>
      <c r="G238" s="7">
        <v>7125</v>
      </c>
      <c r="H238" s="8" t="str">
        <f>INDEX('Master List Import'!$A$2:$P$700, MATCH('Auto Menu'!$G238, 'Master List Import'!$M$2:$M$700), 14)</f>
        <v>Chocolate Fudge Pop-Ups (3pk)</v>
      </c>
      <c r="I238" s="63">
        <f>INDEX('Master List Import'!$A$2:$P$700, MATCH('Auto Menu'!$G238, 'Master List Import'!$M$2:$M$700), 16)</f>
        <v>3.7</v>
      </c>
      <c r="J238" s="10"/>
      <c r="K238" s="30"/>
      <c r="L238" s="12">
        <v>7135</v>
      </c>
      <c r="M238" s="8" t="str">
        <f>INDEX('Master List Import'!$A$2:$P$700, MATCH('Auto Menu'!$L238, 'Master List Import'!$M$2:$M$700), 14)</f>
        <v>Single Pack Chocolate Fudge Pop-Up</v>
      </c>
      <c r="N238" s="63">
        <f>INDEX('Master List Import'!$A$2:$P$700, MATCH('Auto Menu'!$L238, 'Master List Import'!$M$2:$M$700), 16)</f>
        <v>1.2</v>
      </c>
    </row>
    <row r="239" spans="1:14" ht="11.25" customHeight="1" x14ac:dyDescent="0.25">
      <c r="A239"/>
      <c r="B239"/>
      <c r="C239"/>
      <c r="D239" s="59"/>
      <c r="E239" s="10"/>
      <c r="F239" s="26"/>
      <c r="G239" s="7">
        <v>7126</v>
      </c>
      <c r="H239" s="8" t="str">
        <f>INDEX('Master List Import'!$A$2:$P$700, MATCH('Auto Menu'!$G239, 'Master List Import'!$M$2:$M$700), 14)</f>
        <v>Frosted Cherry Pop-Ups (3pk)</v>
      </c>
      <c r="I239" s="63">
        <f>INDEX('Master List Import'!$A$2:$P$700, MATCH('Auto Menu'!$G239, 'Master List Import'!$M$2:$M$700), 16)</f>
        <v>3.7</v>
      </c>
      <c r="J239" s="10"/>
      <c r="K239" s="30"/>
      <c r="L239" s="48">
        <v>7136</v>
      </c>
      <c r="M239" s="8" t="str">
        <f>INDEX('Master List Import'!$A$2:$P$700, MATCH('Auto Menu'!$L239, 'Master List Import'!$M$2:$M$700), 14)</f>
        <v>Single Pack Cherry Pop-Up</v>
      </c>
      <c r="N239" s="63">
        <f>INDEX('Master List Import'!$A$2:$P$700, MATCH('Auto Menu'!$L239, 'Master List Import'!$M$2:$M$700), 16)</f>
        <v>1.2</v>
      </c>
    </row>
    <row r="240" spans="1:14" ht="11.25" customHeight="1" x14ac:dyDescent="0.25">
      <c r="A240"/>
      <c r="B240"/>
      <c r="C240"/>
      <c r="D240" s="59"/>
      <c r="E240" s="10"/>
      <c r="F240"/>
      <c r="G240"/>
      <c r="H240"/>
      <c r="I240"/>
      <c r="J240" s="10"/>
      <c r="K240" s="31"/>
      <c r="L240" s="41"/>
      <c r="M240" s="11"/>
      <c r="N240" s="9"/>
    </row>
    <row r="241" spans="1:18" ht="11.25" customHeight="1" x14ac:dyDescent="0.25">
      <c r="A241" s="73" t="s">
        <v>455</v>
      </c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</row>
    <row r="242" spans="1:18" ht="11.25" customHeight="1" x14ac:dyDescent="0.25">
      <c r="A242" s="70" t="s">
        <v>456</v>
      </c>
      <c r="B242" s="70"/>
      <c r="C242" s="70"/>
      <c r="D242" s="70"/>
      <c r="E242" s="39"/>
      <c r="F242" s="70" t="s">
        <v>457</v>
      </c>
      <c r="G242" s="70"/>
      <c r="H242" s="70"/>
      <c r="I242" s="70"/>
      <c r="J242" s="39"/>
      <c r="K242" s="70" t="s">
        <v>458</v>
      </c>
      <c r="L242" s="70"/>
      <c r="M242" s="70"/>
      <c r="N242" s="70"/>
    </row>
    <row r="243" spans="1:18" ht="11.25" customHeight="1" x14ac:dyDescent="0.25">
      <c r="A243" s="6"/>
      <c r="B243" s="7">
        <v>7300</v>
      </c>
      <c r="C243" s="8" t="str">
        <f>INDEX('Master List Import'!$A$2:$P$700, MATCH('Auto Menu'!$B243, 'Master List Import'!$M$2:$M$700), 14)</f>
        <v>Iced Honey Bun</v>
      </c>
      <c r="D243" s="63">
        <f>INDEX('Master List Import'!$A$2:$P$700, MATCH('Auto Menu'!$B243, 'Master List Import'!$M$2:$M$700), 16)</f>
        <v>1.75</v>
      </c>
      <c r="E243" s="10"/>
      <c r="F243" s="6"/>
      <c r="G243" s="7">
        <v>7200</v>
      </c>
      <c r="H243" s="8" t="str">
        <f>INDEX('Master List Import'!$A$2:$P$700, MATCH('Auto Menu'!$G243, 'Master List Import'!$M$2:$M$700), 14)</f>
        <v>Duplex Crème Cookies</v>
      </c>
      <c r="I243" s="63">
        <f>INDEX('Master List Import'!$A$2:$P$700, MATCH('Auto Menu'!$G243, 'Master List Import'!$M$2:$M$700), 16)</f>
        <v>1.6</v>
      </c>
      <c r="J243" s="10"/>
      <c r="K243" s="6"/>
      <c r="L243" s="7">
        <v>7500</v>
      </c>
      <c r="M243" s="8" t="str">
        <f>INDEX('Master List Import'!$A$2:$P$700, MATCH('Auto Menu'!$L243, 'Master List Import'!$M$2:$M$700), 14)</f>
        <v>Black Forest Gummy Bears</v>
      </c>
      <c r="N243" s="63">
        <f>INDEX('Master List Import'!$A$2:$P$700, MATCH('Auto Menu'!$L243, 'Master List Import'!$M$2:$M$700), 16)</f>
        <v>3.15</v>
      </c>
    </row>
    <row r="244" spans="1:18" ht="11.25" customHeight="1" x14ac:dyDescent="0.25">
      <c r="A244" s="27"/>
      <c r="B244" s="12">
        <v>7301</v>
      </c>
      <c r="C244" s="8" t="str">
        <f>INDEX('Master List Import'!$A$2:$P$700, MATCH('Auto Menu'!$B244, 'Master List Import'!$M$2:$M$700), 14)</f>
        <v>Glazed Honey Bun</v>
      </c>
      <c r="D244" s="63">
        <f>INDEX('Master List Import'!$A$2:$P$700, MATCH('Auto Menu'!$B244, 'Master List Import'!$M$2:$M$700), 16)</f>
        <v>1.75</v>
      </c>
      <c r="E244" s="10"/>
      <c r="F244" s="27"/>
      <c r="G244" s="12">
        <v>7201</v>
      </c>
      <c r="H244" s="8" t="str">
        <f>INDEX('Master List Import'!$A$2:$P$700, MATCH('Auto Menu'!$G244, 'Master List Import'!$M$2:$M$700), 14)</f>
        <v>Vanilla Crème Cookies</v>
      </c>
      <c r="I244" s="63">
        <f>INDEX('Master List Import'!$A$2:$P$700, MATCH('Auto Menu'!$G244, 'Master List Import'!$M$2:$M$700), 16)</f>
        <v>1.6</v>
      </c>
      <c r="J244" s="10"/>
      <c r="K244" s="27"/>
      <c r="L244" s="12">
        <v>7502</v>
      </c>
      <c r="M244" s="8" t="str">
        <f>INDEX('Master List Import'!$A$2:$P$700, MATCH('Auto Menu'!$L244, 'Master List Import'!$M$2:$M$700), 14)</f>
        <v>Gummi Sour Worms</v>
      </c>
      <c r="N244" s="63">
        <f>INDEX('Master List Import'!$A$2:$P$700, MATCH('Auto Menu'!$L244, 'Master List Import'!$M$2:$M$700), 16)</f>
        <v>2.1</v>
      </c>
    </row>
    <row r="245" spans="1:18" ht="11.25" customHeight="1" x14ac:dyDescent="0.25">
      <c r="A245" s="27"/>
      <c r="B245" s="12">
        <v>7302</v>
      </c>
      <c r="C245" s="8" t="str">
        <f>INDEX('Master List Import'!$A$2:$P$700, MATCH('Auto Menu'!$B245, 'Master List Import'!$M$2:$M$700), 14)</f>
        <v>Big Texas Cinnamon Roll</v>
      </c>
      <c r="D245" s="63">
        <f>INDEX('Master List Import'!$A$2:$P$700, MATCH('Auto Menu'!$B245, 'Master List Import'!$M$2:$M$700), 16)</f>
        <v>1.95</v>
      </c>
      <c r="E245" s="10"/>
      <c r="F245" s="27"/>
      <c r="G245" s="12">
        <v>7202</v>
      </c>
      <c r="H245" s="8" t="str">
        <f>INDEX('Master List Import'!$A$2:$P$700, MATCH('Auto Menu'!$G245, 'Master List Import'!$M$2:$M$700), 14)</f>
        <v>Strawberry Crème Cookies</v>
      </c>
      <c r="I245" s="63">
        <f>INDEX('Master List Import'!$A$2:$P$700, MATCH('Auto Menu'!$G245, 'Master List Import'!$M$2:$M$700), 16)</f>
        <v>1.6</v>
      </c>
      <c r="J245" s="10"/>
      <c r="K245" s="27"/>
      <c r="L245" s="12">
        <v>7503</v>
      </c>
      <c r="M245" s="8" t="str">
        <f>INDEX('Master List Import'!$A$2:$P$700, MATCH('Auto Menu'!$L245, 'Master List Import'!$M$2:$M$700), 14)</f>
        <v>Very Berry Sour Brite Crawlers</v>
      </c>
      <c r="N245" s="63">
        <f>INDEX('Master List Import'!$A$2:$P$700, MATCH('Auto Menu'!$L245, 'Master List Import'!$M$2:$M$700), 16)</f>
        <v>3.5</v>
      </c>
    </row>
    <row r="246" spans="1:18" ht="11.25" customHeight="1" x14ac:dyDescent="0.25">
      <c r="A246" s="27"/>
      <c r="B246" s="12">
        <v>7303</v>
      </c>
      <c r="C246" s="8" t="str">
        <f>INDEX('Master List Import'!$A$2:$P$700, MATCH('Auto Menu'!$B246, 'Master List Import'!$M$2:$M$700), 14)</f>
        <v>Cremey Curl Honey Bun</v>
      </c>
      <c r="D246" s="63">
        <f>INDEX('Master List Import'!$A$2:$P$700, MATCH('Auto Menu'!$B246, 'Master List Import'!$M$2:$M$700), 16)</f>
        <v>2.1</v>
      </c>
      <c r="E246" s="10"/>
      <c r="F246" s="27"/>
      <c r="G246" s="12">
        <v>7203</v>
      </c>
      <c r="H246" s="8" t="str">
        <f>INDEX('Master List Import'!$A$2:$P$700, MATCH('Auto Menu'!$G246, 'Master List Import'!$M$2:$M$700), 14)</f>
        <v>Peanut Butter Crème Cookies</v>
      </c>
      <c r="I246" s="63">
        <f>INDEX('Master List Import'!$A$2:$P$700, MATCH('Auto Menu'!$G246, 'Master List Import'!$M$2:$M$700), 16)</f>
        <v>1.6</v>
      </c>
      <c r="J246" s="10"/>
      <c r="K246" s="27"/>
      <c r="L246" s="12">
        <v>7504</v>
      </c>
      <c r="M246" s="8" t="str">
        <f>INDEX('Master List Import'!$A$2:$P$700, MATCH('Auto Menu'!$L246, 'Master List Import'!$M$2:$M$700), 14)</f>
        <v>Sour Brite Crawlers</v>
      </c>
      <c r="N246" s="63">
        <f>INDEX('Master List Import'!$A$2:$P$700, MATCH('Auto Menu'!$L246, 'Master List Import'!$M$2:$M$700), 16)</f>
        <v>3.5</v>
      </c>
    </row>
    <row r="247" spans="1:18" ht="11.25" customHeight="1" x14ac:dyDescent="0.25">
      <c r="A247" s="27"/>
      <c r="B247" s="12">
        <v>7304</v>
      </c>
      <c r="C247" s="8" t="str">
        <f>INDEX('Master List Import'!$A$2:$P$700, MATCH('Auto Menu'!$B247, 'Master List Import'!$M$2:$M$700), 14)</f>
        <v>Jelly Swirl Honey Bun</v>
      </c>
      <c r="D247" s="63">
        <f>INDEX('Master List Import'!$A$2:$P$700, MATCH('Auto Menu'!$B247, 'Master List Import'!$M$2:$M$700), 16)</f>
        <v>2.1</v>
      </c>
      <c r="E247" s="10"/>
      <c r="F247" s="27"/>
      <c r="G247" s="12">
        <v>7204</v>
      </c>
      <c r="H247" s="8" t="str">
        <f>INDEX('Master List Import'!$A$2:$P$700, MATCH('Auto Menu'!$G247, 'Master List Import'!$M$2:$M$700), 14)</f>
        <v>Banana Crème Cookies</v>
      </c>
      <c r="I247" s="63">
        <f>INDEX('Master List Import'!$A$2:$P$700, MATCH('Auto Menu'!$G247, 'Master List Import'!$M$2:$M$700), 16)</f>
        <v>1.6</v>
      </c>
      <c r="J247" s="10"/>
      <c r="K247" s="27"/>
      <c r="L247" s="12">
        <v>7505</v>
      </c>
      <c r="M247" s="8" t="str">
        <f>INDEX('Master List Import'!$A$2:$P$700, MATCH('Auto Menu'!$L247, 'Master List Import'!$M$2:$M$700), 14)</f>
        <v>Sour Patch Kids</v>
      </c>
      <c r="N247" s="63">
        <f>INDEX('Master List Import'!$A$2:$P$700, MATCH('Auto Menu'!$L247, 'Master List Import'!$M$2:$M$700), 16)</f>
        <v>3</v>
      </c>
    </row>
    <row r="248" spans="1:18" ht="11.25" customHeight="1" x14ac:dyDescent="0.25">
      <c r="A248" s="27"/>
      <c r="B248" s="12">
        <v>7305</v>
      </c>
      <c r="C248" s="8" t="str">
        <f>INDEX('Master List Import'!$A$2:$P$700, MATCH('Auto Menu'!$B248, 'Master List Import'!$M$2:$M$700), 14)</f>
        <v>Pecan Twirls</v>
      </c>
      <c r="D248" s="63">
        <f>INDEX('Master List Import'!$A$2:$P$700, MATCH('Auto Menu'!$B248, 'Master List Import'!$M$2:$M$700), 16)</f>
        <v>2.0499999999999998</v>
      </c>
      <c r="E248" s="10"/>
      <c r="F248" s="27"/>
      <c r="G248" s="12">
        <v>7205</v>
      </c>
      <c r="H248" s="8" t="str">
        <f>INDEX('Master List Import'!$A$2:$P$700, MATCH('Auto Menu'!$G248, 'Master List Import'!$M$2:$M$700), 14)</f>
        <v>Lemon Crème Cookies</v>
      </c>
      <c r="I248" s="63">
        <f>INDEX('Master List Import'!$A$2:$P$700, MATCH('Auto Menu'!$G248, 'Master List Import'!$M$2:$M$700), 16)</f>
        <v>1.6</v>
      </c>
      <c r="J248" s="10"/>
      <c r="K248" s="27"/>
      <c r="L248" s="12">
        <v>7506</v>
      </c>
      <c r="M248" s="8" t="str">
        <f>INDEX('Master List Import'!$A$2:$P$700, MATCH('Auto Menu'!$L248, 'Master List Import'!$M$2:$M$700), 14)</f>
        <v>Watermelon Sour Patch Kids</v>
      </c>
      <c r="N248" s="63">
        <f>INDEX('Master List Import'!$A$2:$P$700, MATCH('Auto Menu'!$L248, 'Master List Import'!$M$2:$M$700), 16)</f>
        <v>3</v>
      </c>
      <c r="P248" s="67"/>
      <c r="Q248" s="67"/>
      <c r="R248" s="67"/>
    </row>
    <row r="249" spans="1:18" ht="11.25" customHeight="1" x14ac:dyDescent="0.25">
      <c r="A249" s="27"/>
      <c r="B249" s="12">
        <v>7320</v>
      </c>
      <c r="C249" s="8" t="str">
        <f>INDEX('Master List Import'!$A$2:$P$700, MATCH('Auto Menu'!$B249, 'Master List Import'!$M$2:$M$700), 14)</f>
        <v>Chocolate Cupcakes</v>
      </c>
      <c r="D249" s="63">
        <f>INDEX('Master List Import'!$A$2:$P$700, MATCH('Auto Menu'!$B249, 'Master List Import'!$M$2:$M$700), 16)</f>
        <v>1.85</v>
      </c>
      <c r="E249" s="10"/>
      <c r="F249" s="27"/>
      <c r="G249" s="12">
        <v>7220</v>
      </c>
      <c r="H249" s="8" t="str">
        <f>INDEX('Master List Import'!$A$2:$P$700, MATCH('Auto Menu'!$G249, 'Master List Import'!$M$2:$M$700), 14)</f>
        <v>Chocolate Chip Cookies</v>
      </c>
      <c r="I249" s="63">
        <f>INDEX('Master List Import'!$A$2:$P$700, MATCH('Auto Menu'!$G249, 'Master List Import'!$M$2:$M$700), 16)</f>
        <v>1.6</v>
      </c>
      <c r="J249" s="10"/>
      <c r="K249" s="27"/>
      <c r="L249" s="12">
        <v>7520</v>
      </c>
      <c r="M249" s="8" t="str">
        <f>INDEX('Master List Import'!$A$2:$P$700, MATCH('Auto Menu'!$L249, 'Master List Import'!$M$2:$M$700), 14)</f>
        <v>Skittles</v>
      </c>
      <c r="N249" s="63">
        <f>INDEX('Master List Import'!$A$2:$P$700, MATCH('Auto Menu'!$L249, 'Master List Import'!$M$2:$M$700), 16)</f>
        <v>2.2000000000000002</v>
      </c>
      <c r="P249" s="67"/>
      <c r="Q249" s="67"/>
      <c r="R249" s="67"/>
    </row>
    <row r="250" spans="1:18" ht="11.25" customHeight="1" x14ac:dyDescent="0.25">
      <c r="A250" s="27"/>
      <c r="B250" s="12">
        <v>7321</v>
      </c>
      <c r="C250" s="8" t="str">
        <f>INDEX('Master List Import'!$A$2:$P$700, MATCH('Auto Menu'!$B250, 'Master List Import'!$M$2:$M$700), 14)</f>
        <v>Chocolate Cupcakes</v>
      </c>
      <c r="D250" s="63">
        <f>INDEX('Master List Import'!$A$2:$P$700, MATCH('Auto Menu'!$B250, 'Master List Import'!$M$2:$M$700), 16)</f>
        <v>1.85</v>
      </c>
      <c r="E250" s="10"/>
      <c r="F250" s="27"/>
      <c r="G250" s="12">
        <v>7221</v>
      </c>
      <c r="H250" s="8" t="str">
        <f>INDEX('Master List Import'!$A$2:$P$700, MATCH('Auto Menu'!$G250, 'Master List Import'!$M$2:$M$700), 14)</f>
        <v>Iced Oatmeal Cookies</v>
      </c>
      <c r="I250" s="63">
        <f>INDEX('Master List Import'!$A$2:$P$700, MATCH('Auto Menu'!$G250, 'Master List Import'!$M$2:$M$700), 16)</f>
        <v>1.6</v>
      </c>
      <c r="J250" s="10"/>
      <c r="K250" s="27"/>
      <c r="L250" s="36">
        <v>7521</v>
      </c>
      <c r="M250" s="8" t="str">
        <f>INDEX('Master List Import'!$A$2:$P$700, MATCH('Auto Menu'!$L250, 'Master List Import'!$M$2:$M$700), 14)</f>
        <v>Starburst Fruit Chews</v>
      </c>
      <c r="N250" s="63">
        <f>INDEX('Master List Import'!$A$2:$P$700, MATCH('Auto Menu'!$L250, 'Master List Import'!$M$2:$M$700), 16)</f>
        <v>2.2000000000000002</v>
      </c>
      <c r="P250" s="67"/>
      <c r="Q250" s="67"/>
      <c r="R250" s="67"/>
    </row>
    <row r="251" spans="1:18" ht="11.25" customHeight="1" x14ac:dyDescent="0.25">
      <c r="A251" s="27"/>
      <c r="B251" s="12">
        <v>7323</v>
      </c>
      <c r="C251" s="8" t="str">
        <f>INDEX('Master List Import'!$A$2:$P$700, MATCH('Auto Menu'!$B251, 'Master List Import'!$M$2:$M$700), 14)</f>
        <v>Chocolate Cupcakes</v>
      </c>
      <c r="D251" s="63">
        <f>INDEX('Master List Import'!$A$2:$P$700, MATCH('Auto Menu'!$B251, 'Master List Import'!$M$2:$M$700), 16)</f>
        <v>1.85</v>
      </c>
      <c r="E251" s="10"/>
      <c r="F251" s="27"/>
      <c r="G251" s="12">
        <v>7244</v>
      </c>
      <c r="H251" s="8" t="str">
        <f>INDEX('Master List Import'!$A$2:$P$700, MATCH('Auto Menu'!$G251, 'Master List Import'!$M$2:$M$700), 14)</f>
        <v>Chips Ahoy Choc Chip Cookies</v>
      </c>
      <c r="I251" s="63">
        <f>INDEX('Master List Import'!$A$2:$P$700, MATCH('Auto Menu'!$G251, 'Master List Import'!$M$2:$M$700), 16)</f>
        <v>2.2999999999999998</v>
      </c>
      <c r="J251" s="10"/>
      <c r="K251" s="66"/>
      <c r="L251" s="12">
        <v>7522</v>
      </c>
      <c r="M251" s="64" t="str">
        <f>INDEX('Master List Import'!$A$2:$P$700, MATCH('Auto Menu'!$L251, 'Master List Import'!$M$2:$M$700), 14)</f>
        <v>AirHeads Bar - Random Flavor</v>
      </c>
      <c r="N251" s="63">
        <f>INDEX('Master List Import'!$A$2:$P$700, MATCH('Auto Menu'!$L251, 'Master List Import'!$M$2:$M$700), 16)</f>
        <v>0.5</v>
      </c>
      <c r="P251" s="67"/>
      <c r="Q251" s="67"/>
      <c r="R251" s="67"/>
    </row>
    <row r="252" spans="1:18" ht="11.25" customHeight="1" x14ac:dyDescent="0.25">
      <c r="A252" s="27"/>
      <c r="B252" s="12">
        <v>7324</v>
      </c>
      <c r="C252" s="8" t="str">
        <f>INDEX('Master List Import'!$A$2:$P$700, MATCH('Auto Menu'!$B252, 'Master List Import'!$M$2:$M$700), 14)</f>
        <v>Chocolate Cupcakes</v>
      </c>
      <c r="D252" s="63">
        <f>INDEX('Master List Import'!$A$2:$P$700, MATCH('Auto Menu'!$B252, 'Master List Import'!$M$2:$M$700), 16)</f>
        <v>1.85</v>
      </c>
      <c r="E252" s="10"/>
      <c r="F252" s="27"/>
      <c r="G252" s="12">
        <v>7241</v>
      </c>
      <c r="H252" s="8" t="str">
        <f>INDEX('Master List Import'!$A$2:$P$700, MATCH('Auto Menu'!$G252, 'Master List Import'!$M$2:$M$700), 14)</f>
        <v>Vanilla Wafers</v>
      </c>
      <c r="I252" s="63">
        <f>INDEX('Master List Import'!$A$2:$P$700, MATCH('Auto Menu'!$G252, 'Master List Import'!$M$2:$M$700), 16)</f>
        <v>3</v>
      </c>
      <c r="J252" s="10"/>
      <c r="K252" s="6"/>
      <c r="L252" s="7">
        <v>7523</v>
      </c>
      <c r="M252" s="8" t="str">
        <f>INDEX('Master List Import'!$A$2:$P$700, MATCH('Auto Menu'!$L252, 'Master List Import'!$M$2:$M$700), 14)</f>
        <v>Lemonheads</v>
      </c>
      <c r="N252" s="63">
        <f>INDEX('Master List Import'!$A$2:$P$700, MATCH('Auto Menu'!$L252, 'Master List Import'!$M$2:$M$700), 16)</f>
        <v>2</v>
      </c>
      <c r="P252" s="67"/>
      <c r="Q252" s="67"/>
      <c r="R252" s="67"/>
    </row>
    <row r="253" spans="1:18" ht="11.25" customHeight="1" x14ac:dyDescent="0.25">
      <c r="A253" s="6"/>
      <c r="B253" s="7">
        <v>7326</v>
      </c>
      <c r="C253" s="8" t="str">
        <f>INDEX('Master List Import'!$A$2:$P$700, MATCH('Auto Menu'!$B253, 'Master List Import'!$M$2:$M$700), 14)</f>
        <v>Swiss Rolls (12ct Box)</v>
      </c>
      <c r="D253" s="63">
        <f>INDEX('Master List Import'!$A$2:$P$700, MATCH('Auto Menu'!$B253, 'Master List Import'!$M$2:$M$700), 16)</f>
        <v>4.8</v>
      </c>
      <c r="E253" s="10"/>
      <c r="F253"/>
      <c r="G253"/>
      <c r="H253"/>
      <c r="I253"/>
      <c r="J253" s="10"/>
      <c r="K253" s="27"/>
      <c r="L253" s="12">
        <v>7600</v>
      </c>
      <c r="M253" s="8" t="str">
        <f>INDEX('Master List Import'!$A$2:$P$700, MATCH('Auto Menu'!$L253, 'Master List Import'!$M$2:$M$700), 14)</f>
        <v>Wild Cherry Rainbow Stick</v>
      </c>
      <c r="N253" s="63">
        <f>INDEX('Master List Import'!$A$2:$P$700, MATCH('Auto Menu'!$L253, 'Master List Import'!$M$2:$M$700), 16)</f>
        <v>0.45</v>
      </c>
      <c r="P253" s="67"/>
      <c r="Q253" s="67"/>
      <c r="R253" s="67"/>
    </row>
    <row r="254" spans="1:18" ht="11.25" customHeight="1" x14ac:dyDescent="0.25">
      <c r="A254" s="6"/>
      <c r="B254" s="7">
        <v>7327</v>
      </c>
      <c r="C254" s="8" t="str">
        <f>INDEX('Master List Import'!$A$2:$P$700, MATCH('Auto Menu'!$B254, 'Master List Import'!$M$2:$M$700), 14)</f>
        <v>Golden Crème Cake, 2ct</v>
      </c>
      <c r="D254" s="63">
        <f>INDEX('Master List Import'!$A$2:$P$700, MATCH('Auto Menu'!$B254, 'Master List Import'!$M$2:$M$700), 16)</f>
        <v>1.85</v>
      </c>
      <c r="E254" s="10"/>
      <c r="F254" s="70" t="s">
        <v>488</v>
      </c>
      <c r="G254" s="70"/>
      <c r="H254" s="70"/>
      <c r="I254" s="70"/>
      <c r="J254" s="10"/>
      <c r="K254" s="27"/>
      <c r="L254" s="12">
        <v>7601</v>
      </c>
      <c r="M254" s="8" t="str">
        <f>INDEX('Master List Import'!$A$2:$P$700, MATCH('Auto Menu'!$L254, 'Master List Import'!$M$2:$M$700), 14)</f>
        <v>Jolly Ranchers</v>
      </c>
      <c r="N254" s="63">
        <f>INDEX('Master List Import'!$A$2:$P$700, MATCH('Auto Menu'!$L254, 'Master List Import'!$M$2:$M$700), 16)</f>
        <v>2</v>
      </c>
      <c r="P254" s="67"/>
      <c r="Q254" s="67"/>
      <c r="R254" s="67"/>
    </row>
    <row r="255" spans="1:18" ht="11.25" customHeight="1" x14ac:dyDescent="0.25">
      <c r="A255" s="6"/>
      <c r="B255" s="7">
        <v>7329</v>
      </c>
      <c r="C255" s="8" t="str">
        <f>INDEX('Master List Import'!$A$2:$P$700, MATCH('Auto Menu'!$B255, 'Master List Import'!$M$2:$M$700), 14)</f>
        <v>Pink Snowballs</v>
      </c>
      <c r="D255" s="63">
        <f>INDEX('Master List Import'!$A$2:$P$700, MATCH('Auto Menu'!$B255, 'Master List Import'!$M$2:$M$700), 16)</f>
        <v>2.35</v>
      </c>
      <c r="E255" s="10"/>
      <c r="F255" s="6"/>
      <c r="G255" s="7">
        <v>7400</v>
      </c>
      <c r="H255" s="8" t="str">
        <f>INDEX('Master List Import'!$A$2:$P$700, MATCH('Auto Menu'!$G255, 'Master List Import'!$M$2:$M$700), 14)</f>
        <v>Snickers</v>
      </c>
      <c r="I255" s="63">
        <f>INDEX('Master List Import'!$A$2:$P$700, MATCH('Auto Menu'!$G255, 'Master List Import'!$M$2:$M$700), 16)</f>
        <v>2.25</v>
      </c>
      <c r="J255" s="10"/>
      <c r="K255" s="27"/>
      <c r="L255" s="12">
        <v>7602</v>
      </c>
      <c r="M255" s="8" t="str">
        <f>INDEX('Master List Import'!$A$2:$P$700, MATCH('Auto Menu'!$L255, 'Master List Import'!$M$2:$M$700), 14)</f>
        <v>Now &amp; Laters</v>
      </c>
      <c r="N255" s="63">
        <f>INDEX('Master List Import'!$A$2:$P$700, MATCH('Auto Menu'!$L255, 'Master List Import'!$M$2:$M$700), 16)</f>
        <v>1.9</v>
      </c>
      <c r="P255" s="67"/>
      <c r="Q255" s="67"/>
      <c r="R255" s="67"/>
    </row>
    <row r="256" spans="1:18" ht="11.25" customHeight="1" x14ac:dyDescent="0.25">
      <c r="A256" s="27"/>
      <c r="B256" s="12">
        <v>7340</v>
      </c>
      <c r="C256" s="8" t="str">
        <f>INDEX('Master List Import'!$A$2:$P$700, MATCH('Auto Menu'!$B256, 'Master List Import'!$M$2:$M$700), 14)</f>
        <v>Mini Powdered Donuts</v>
      </c>
      <c r="D256" s="63">
        <f>INDEX('Master List Import'!$A$2:$P$700, MATCH('Auto Menu'!$B256, 'Master List Import'!$M$2:$M$700), 16)</f>
        <v>1.85</v>
      </c>
      <c r="E256" s="10"/>
      <c r="F256" s="27"/>
      <c r="G256" s="12">
        <v>7401</v>
      </c>
      <c r="H256" s="8" t="str">
        <f>INDEX('Master List Import'!$A$2:$P$700, MATCH('Auto Menu'!$G256, 'Master List Import'!$M$2:$M$700), 14)</f>
        <v>Reese's Peanut Butter Cups</v>
      </c>
      <c r="I256" s="63">
        <f>INDEX('Master List Import'!$A$2:$P$700, MATCH('Auto Menu'!$G256, 'Master List Import'!$M$2:$M$700), 16)</f>
        <v>2.25</v>
      </c>
      <c r="J256" s="10"/>
      <c r="K256" s="27"/>
      <c r="L256" s="12">
        <v>7603</v>
      </c>
      <c r="M256" s="8" t="str">
        <f>INDEX('Master List Import'!$A$2:$P$700, MATCH('Auto Menu'!$L256, 'Master List Import'!$M$2:$M$700), 14)</f>
        <v>Atomic Fireballs</v>
      </c>
      <c r="N256" s="63">
        <f>INDEX('Master List Import'!$A$2:$P$700, MATCH('Auto Menu'!$L256, 'Master List Import'!$M$2:$M$700), 16)</f>
        <v>2</v>
      </c>
      <c r="P256" s="67"/>
      <c r="Q256" s="67"/>
      <c r="R256" s="67"/>
    </row>
    <row r="257" spans="1:14" ht="11.25" customHeight="1" x14ac:dyDescent="0.25">
      <c r="A257" s="27"/>
      <c r="B257" s="12">
        <v>7341</v>
      </c>
      <c r="C257" s="8" t="str">
        <f>INDEX('Master List Import'!$A$2:$P$700, MATCH('Auto Menu'!$B257, 'Master List Import'!$M$2:$M$700), 14)</f>
        <v>Donut Sticks</v>
      </c>
      <c r="D257" s="63">
        <f>INDEX('Master List Import'!$A$2:$P$700, MATCH('Auto Menu'!$B257, 'Master List Import'!$M$2:$M$700), 16)</f>
        <v>1.85</v>
      </c>
      <c r="E257" s="10"/>
      <c r="F257" s="27"/>
      <c r="G257" s="12">
        <v>7402</v>
      </c>
      <c r="H257" s="8" t="str">
        <f>INDEX('Master List Import'!$A$2:$P$700, MATCH('Auto Menu'!$G257, 'Master List Import'!$M$2:$M$700), 14)</f>
        <v>Hershey's Bar</v>
      </c>
      <c r="I257" s="63">
        <f>INDEX('Master List Import'!$A$2:$P$700, MATCH('Auto Menu'!$G257, 'Master List Import'!$M$2:$M$700), 16)</f>
        <v>2.25</v>
      </c>
      <c r="J257" s="10"/>
      <c r="K257" s="27"/>
      <c r="L257" s="12">
        <v>7604</v>
      </c>
      <c r="M257" s="8" t="str">
        <f>INDEX('Master List Import'!$A$2:$P$700, MATCH('Auto Menu'!$L257, 'Master List Import'!$M$2:$M$700), 14)</f>
        <v>Starlite Peppermints</v>
      </c>
      <c r="N257" s="63">
        <f>INDEX('Master List Import'!$A$2:$P$700, MATCH('Auto Menu'!$L257, 'Master List Import'!$M$2:$M$700), 16)</f>
        <v>1.9</v>
      </c>
    </row>
    <row r="258" spans="1:14" ht="11.25" customHeight="1" x14ac:dyDescent="0.25">
      <c r="A258" s="27"/>
      <c r="B258" s="12">
        <v>7342</v>
      </c>
      <c r="C258" s="8" t="str">
        <f>INDEX('Master List Import'!$A$2:$P$700, MATCH('Auto Menu'!$B258, 'Master List Import'!$M$2:$M$700), 14)</f>
        <v>Mini Crunchy Donut</v>
      </c>
      <c r="D258" s="63">
        <f>INDEX('Master List Import'!$A$2:$P$700, MATCH('Auto Menu'!$B258, 'Master List Import'!$M$2:$M$700), 16)</f>
        <v>1.85</v>
      </c>
      <c r="E258" s="10"/>
      <c r="F258" s="27"/>
      <c r="G258" s="12">
        <v>7403</v>
      </c>
      <c r="H258" s="8" t="str">
        <f>INDEX('Master List Import'!$A$2:$P$700, MATCH('Auto Menu'!$G258, 'Master List Import'!$M$2:$M$700), 14)</f>
        <v>3 Musketeers</v>
      </c>
      <c r="I258" s="63">
        <f>INDEX('Master List Import'!$A$2:$P$700, MATCH('Auto Menu'!$G258, 'Master List Import'!$M$2:$M$700), 16)</f>
        <v>2.25</v>
      </c>
      <c r="J258" s="10"/>
      <c r="K258" s="27"/>
      <c r="L258" s="12">
        <v>7605</v>
      </c>
      <c r="M258" s="8" t="str">
        <f>INDEX('Master List Import'!$A$2:$P$700, MATCH('Auto Menu'!$L258, 'Master List Import'!$M$2:$M$700), 14)</f>
        <v>Butterscotch Discs</v>
      </c>
      <c r="N258" s="63">
        <f>INDEX('Master List Import'!$A$2:$P$700, MATCH('Auto Menu'!$L258, 'Master List Import'!$M$2:$M$700), 16)</f>
        <v>1.9</v>
      </c>
    </row>
    <row r="259" spans="1:14" ht="11.25" customHeight="1" x14ac:dyDescent="0.25">
      <c r="A259" s="27"/>
      <c r="B259" s="12">
        <v>7350</v>
      </c>
      <c r="C259" s="8" t="str">
        <f>INDEX('Master List Import'!$A$2:$P$700, MATCH('Auto Menu'!$B259, 'Master List Import'!$M$2:$M$700), 14)</f>
        <v>Brownie Oreo</v>
      </c>
      <c r="D259" s="63">
        <f>INDEX('Master List Import'!$A$2:$P$700, MATCH('Auto Menu'!$B259, 'Master List Import'!$M$2:$M$700), 16)</f>
        <v>2</v>
      </c>
      <c r="E259" s="10"/>
      <c r="F259" s="27"/>
      <c r="G259" s="12">
        <v>7404</v>
      </c>
      <c r="H259" s="8" t="str">
        <f>INDEX('Master List Import'!$A$2:$P$700, MATCH('Auto Menu'!$G259, 'Master List Import'!$M$2:$M$700), 14)</f>
        <v>Butterfinger</v>
      </c>
      <c r="I259" s="63">
        <f>INDEX('Master List Import'!$A$2:$P$700, MATCH('Auto Menu'!$G259, 'Master List Import'!$M$2:$M$700), 16)</f>
        <v>2.25</v>
      </c>
      <c r="J259" s="10"/>
      <c r="K259" s="27"/>
      <c r="L259" s="12">
        <v>7606</v>
      </c>
      <c r="M259" s="8" t="str">
        <f>INDEX('Master List Import'!$A$2:$P$700, MATCH('Auto Menu'!$L259, 'Master List Import'!$M$2:$M$700), 14)</f>
        <v>Tootsie Pop - Random Flavor</v>
      </c>
      <c r="N259" s="63">
        <f>INDEX('Master List Import'!$A$2:$P$700, MATCH('Auto Menu'!$L259, 'Master List Import'!$M$2:$M$700), 16)</f>
        <v>0.45</v>
      </c>
    </row>
    <row r="260" spans="1:14" ht="11.25" customHeight="1" x14ac:dyDescent="0.25">
      <c r="A260" s="27"/>
      <c r="B260" s="12">
        <v>7360</v>
      </c>
      <c r="C260" s="8" t="str">
        <f>INDEX('Master List Import'!$A$2:$P$700, MATCH('Auto Menu'!$B260, 'Master List Import'!$M$2:$M$700), 14)</f>
        <v>Banana Moon Pie</v>
      </c>
      <c r="D260" s="63">
        <f>INDEX('Master List Import'!$A$2:$P$700, MATCH('Auto Menu'!$B260, 'Master List Import'!$M$2:$M$700), 16)</f>
        <v>1.4</v>
      </c>
      <c r="E260" s="10"/>
      <c r="F260" s="27"/>
      <c r="G260" s="12">
        <v>7405</v>
      </c>
      <c r="H260" s="8" t="str">
        <f>INDEX('Master List Import'!$A$2:$P$700, MATCH('Auto Menu'!$G260, 'Master List Import'!$M$2:$M$700), 14)</f>
        <v>Twix</v>
      </c>
      <c r="I260" s="63">
        <f>INDEX('Master List Import'!$A$2:$P$700, MATCH('Auto Menu'!$G260, 'Master List Import'!$M$2:$M$700), 16)</f>
        <v>2.25</v>
      </c>
      <c r="J260" s="10"/>
      <c r="K260" s="27"/>
      <c r="L260" s="12">
        <v>7620</v>
      </c>
      <c r="M260" s="8" t="str">
        <f>INDEX('Master List Import'!$A$2:$P$700, MATCH('Auto Menu'!$L260, 'Master List Import'!$M$2:$M$700), 14)</f>
        <v>Chick-O-Stick</v>
      </c>
      <c r="N260" s="63">
        <f>INDEX('Master List Import'!$A$2:$P$700, MATCH('Auto Menu'!$L260, 'Master List Import'!$M$2:$M$700), 16)</f>
        <v>0.5</v>
      </c>
    </row>
    <row r="261" spans="1:14" ht="11.25" customHeight="1" x14ac:dyDescent="0.25">
      <c r="A261" s="27"/>
      <c r="B261" s="12">
        <v>7361</v>
      </c>
      <c r="C261" s="8" t="str">
        <f>INDEX('Master List Import'!$A$2:$P$700, MATCH('Auto Menu'!$B261, 'Master List Import'!$M$2:$M$700), 14)</f>
        <v>Vanilla Moon Pie</v>
      </c>
      <c r="D261" s="63">
        <f>INDEX('Master List Import'!$A$2:$P$700, MATCH('Auto Menu'!$B261, 'Master List Import'!$M$2:$M$700), 16)</f>
        <v>1.4</v>
      </c>
      <c r="E261" s="10"/>
      <c r="F261" s="27"/>
      <c r="G261" s="12">
        <v>7406</v>
      </c>
      <c r="H261" s="8" t="str">
        <f>INDEX('Master List Import'!$A$2:$P$700, MATCH('Auto Menu'!$G261, 'Master List Import'!$M$2:$M$700), 14)</f>
        <v>Almond Snickers</v>
      </c>
      <c r="I261" s="63">
        <f>INDEX('Master List Import'!$A$2:$P$700, MATCH('Auto Menu'!$G261, 'Master List Import'!$M$2:$M$700), 16)</f>
        <v>2.25</v>
      </c>
      <c r="J261" s="10"/>
      <c r="K261" s="11"/>
      <c r="L261" s="28"/>
      <c r="M261" s="49"/>
      <c r="N261" s="9"/>
    </row>
    <row r="262" spans="1:14" ht="11.25" customHeight="1" x14ac:dyDescent="0.25">
      <c r="A262" s="27"/>
      <c r="B262" s="12">
        <v>7362</v>
      </c>
      <c r="C262" s="8" t="str">
        <f>INDEX('Master List Import'!$A$2:$P$700, MATCH('Auto Menu'!$B262, 'Master List Import'!$M$2:$M$700), 14)</f>
        <v>Chocolate Moon Pie</v>
      </c>
      <c r="D262" s="63">
        <f>INDEX('Master List Import'!$A$2:$P$700, MATCH('Auto Menu'!$B262, 'Master List Import'!$M$2:$M$700), 16)</f>
        <v>1.4</v>
      </c>
      <c r="E262" s="10"/>
      <c r="F262" s="27"/>
      <c r="G262" s="12">
        <v>7407</v>
      </c>
      <c r="H262" s="8" t="str">
        <f>INDEX('Master List Import'!$A$2:$P$700, MATCH('Auto Menu'!$G262, 'Master List Import'!$M$2:$M$700), 14)</f>
        <v>Kit Kat Bar</v>
      </c>
      <c r="I262" s="63">
        <f>INDEX('Master List Import'!$A$2:$P$700, MATCH('Auto Menu'!$G262, 'Master List Import'!$M$2:$M$700), 16)</f>
        <v>2.25</v>
      </c>
      <c r="J262" s="10"/>
      <c r="K262" s="11"/>
      <c r="L262" s="28"/>
      <c r="M262" s="49"/>
      <c r="N262" s="9"/>
    </row>
    <row r="263" spans="1:14" ht="11.25" customHeight="1" x14ac:dyDescent="0.25">
      <c r="A263" s="27"/>
      <c r="B263" s="12">
        <v>7363</v>
      </c>
      <c r="C263" s="8" t="str">
        <f>INDEX('Master List Import'!$A$2:$P$700, MATCH('Auto Menu'!$B263, 'Master List Import'!$M$2:$M$700), 14)</f>
        <v>Salted Caramel Moon Pie</v>
      </c>
      <c r="D263" s="63">
        <f>INDEX('Master List Import'!$A$2:$P$700, MATCH('Auto Menu'!$B263, 'Master List Import'!$M$2:$M$700), 16)</f>
        <v>1.4</v>
      </c>
      <c r="E263" s="10"/>
      <c r="F263" s="27"/>
      <c r="G263" s="12">
        <v>7408</v>
      </c>
      <c r="H263" s="8" t="str">
        <f>INDEX('Master List Import'!$A$2:$P$700, MATCH('Auto Menu'!$G263, 'Master List Import'!$M$2:$M$700), 14)</f>
        <v>Baby Ruth</v>
      </c>
      <c r="I263" s="63">
        <f>INDEX('Master List Import'!$A$2:$P$700, MATCH('Auto Menu'!$G263, 'Master List Import'!$M$2:$M$700), 16)</f>
        <v>2.25</v>
      </c>
      <c r="J263" s="10"/>
      <c r="K263" s="11"/>
      <c r="L263" s="28"/>
      <c r="M263" s="49"/>
      <c r="N263" s="9"/>
    </row>
    <row r="264" spans="1:14" ht="11.25" customHeight="1" x14ac:dyDescent="0.25">
      <c r="A264" s="27"/>
      <c r="B264" s="12">
        <v>7370</v>
      </c>
      <c r="C264" s="8" t="str">
        <f>INDEX('Master List Import'!$A$2:$P$700, MATCH('Auto Menu'!$B264, 'Master List Import'!$M$2:$M$700), 14)</f>
        <v>Salted Caramel Moon Pie</v>
      </c>
      <c r="D264" s="63">
        <f>INDEX('Master List Import'!$A$2:$P$700, MATCH('Auto Menu'!$B264, 'Master List Import'!$M$2:$M$700), 16)</f>
        <v>1.4</v>
      </c>
      <c r="E264" s="10"/>
      <c r="F264" s="27"/>
      <c r="G264" s="12">
        <v>7430</v>
      </c>
      <c r="H264" s="8" t="str">
        <f>INDEX('Master List Import'!$A$2:$P$700, MATCH('Auto Menu'!$G264, 'Master List Import'!$M$2:$M$700), 14)</f>
        <v>Peanut M&amp;M's</v>
      </c>
      <c r="I264" s="63">
        <f>INDEX('Master List Import'!$A$2:$P$700, MATCH('Auto Menu'!$G264, 'Master List Import'!$M$2:$M$700), 16)</f>
        <v>2.25</v>
      </c>
      <c r="J264" s="10"/>
      <c r="K264" s="11"/>
      <c r="L264" s="28"/>
      <c r="M264" s="49"/>
      <c r="N264" s="9"/>
    </row>
    <row r="265" spans="1:14" ht="11.25" customHeight="1" x14ac:dyDescent="0.25">
      <c r="A265" s="27"/>
      <c r="B265" s="12">
        <v>7371</v>
      </c>
      <c r="C265" s="8" t="str">
        <f>INDEX('Master List Import'!$A$2:$P$700, MATCH('Auto Menu'!$B265, 'Master List Import'!$M$2:$M$700), 14)</f>
        <v>Pecan Pie</v>
      </c>
      <c r="D265" s="63">
        <f>INDEX('Master List Import'!$A$2:$P$700, MATCH('Auto Menu'!$B265, 'Master List Import'!$M$2:$M$700), 16)</f>
        <v>2</v>
      </c>
      <c r="E265" s="10"/>
      <c r="F265" s="27"/>
      <c r="G265" s="12">
        <v>7431</v>
      </c>
      <c r="H265" s="8" t="str">
        <f>INDEX('Master List Import'!$A$2:$P$700, MATCH('Auto Menu'!$G265, 'Master List Import'!$M$2:$M$700), 14)</f>
        <v>M&amp;M's</v>
      </c>
      <c r="I265" s="63">
        <f>INDEX('Master List Import'!$A$2:$P$700, MATCH('Auto Menu'!$G265, 'Master List Import'!$M$2:$M$700), 16)</f>
        <v>2.25</v>
      </c>
      <c r="J265" s="10"/>
      <c r="K265"/>
      <c r="L265"/>
      <c r="M265"/>
      <c r="N265"/>
    </row>
    <row r="266" spans="1:14" ht="11.25" customHeight="1" x14ac:dyDescent="0.25">
      <c r="A266" s="27"/>
      <c r="B266" s="12">
        <v>7375</v>
      </c>
      <c r="C266" s="8" t="str">
        <f>INDEX('Master List Import'!$A$2:$P$700, MATCH('Auto Menu'!$B266, 'Master List Import'!$M$2:$M$700), 14)</f>
        <v>Double Decker Oatmeal Creme Pie</v>
      </c>
      <c r="D266" s="63">
        <f>INDEX('Master List Import'!$A$2:$P$700, MATCH('Auto Menu'!$B266, 'Master List Import'!$M$2:$M$700), 16)</f>
        <v>2</v>
      </c>
      <c r="E266" s="10"/>
      <c r="F266" s="27"/>
      <c r="G266" s="12">
        <v>7432</v>
      </c>
      <c r="H266" s="8" t="str">
        <f>INDEX('Master List Import'!$A$2:$P$700, MATCH('Auto Menu'!$G266, 'Master List Import'!$M$2:$M$700), 14)</f>
        <v>Milky Way</v>
      </c>
      <c r="I266" s="63">
        <f>INDEX('Master List Import'!$A$2:$P$700, MATCH('Auto Menu'!$G266, 'Master List Import'!$M$2:$M$700), 16)</f>
        <v>2.25</v>
      </c>
      <c r="J266" s="10"/>
      <c r="K266"/>
      <c r="L266"/>
      <c r="M266"/>
      <c r="N266"/>
    </row>
    <row r="267" spans="1:14" ht="11.25" customHeight="1" x14ac:dyDescent="0.25">
      <c r="A267" s="6"/>
      <c r="B267" s="7">
        <v>7262</v>
      </c>
      <c r="C267" s="8" t="str">
        <f>INDEX('Master List Import'!$A$2:$P$700, MATCH('Auto Menu'!$B267, 'Master List Import'!$M$2:$M$700), 14)</f>
        <v>Buddy Bars</v>
      </c>
      <c r="D267" s="63">
        <f>INDEX('Master List Import'!$A$2:$P$700, MATCH('Auto Menu'!$B267, 'Master List Import'!$M$2:$M$700), 16)</f>
        <v>1.6</v>
      </c>
      <c r="E267" s="10"/>
      <c r="F267" s="27"/>
      <c r="G267" s="12">
        <v>7433</v>
      </c>
      <c r="H267" s="8" t="str">
        <f>INDEX('Master List Import'!$A$2:$P$700, MATCH('Auto Menu'!$G267, 'Master List Import'!$M$2:$M$700), 14)</f>
        <v>Hershey w/Almonds</v>
      </c>
      <c r="I267" s="63">
        <f>INDEX('Master List Import'!$A$2:$P$700, MATCH('Auto Menu'!$G267, 'Master List Import'!$M$2:$M$700), 16)</f>
        <v>2.25</v>
      </c>
      <c r="J267" s="10"/>
      <c r="K267"/>
      <c r="L267"/>
      <c r="M267"/>
      <c r="N267"/>
    </row>
    <row r="268" spans="1:14" ht="11.25" customHeight="1" x14ac:dyDescent="0.25">
      <c r="A268" s="27"/>
      <c r="B268" s="12">
        <v>7263</v>
      </c>
      <c r="C268" s="8" t="str">
        <f>INDEX('Master List Import'!$A$2:$P$700, MATCH('Auto Menu'!$B268, 'Master List Import'!$M$2:$M$700), 14)</f>
        <v>Rice Krispies Treat</v>
      </c>
      <c r="D268" s="63">
        <f>INDEX('Master List Import'!$A$2:$P$700, MATCH('Auto Menu'!$B268, 'Master List Import'!$M$2:$M$700), 16)</f>
        <v>1.65</v>
      </c>
      <c r="E268" s="10"/>
      <c r="F268" s="75"/>
      <c r="G268" s="76"/>
      <c r="H268" s="75"/>
      <c r="I268" s="77"/>
      <c r="J268" s="10"/>
      <c r="K268"/>
      <c r="L268"/>
      <c r="M268"/>
      <c r="N268"/>
    </row>
    <row r="269" spans="1:14" ht="11.25" customHeight="1" x14ac:dyDescent="0.25">
      <c r="A269"/>
      <c r="B269"/>
      <c r="C269"/>
      <c r="D269" s="59"/>
      <c r="E269" s="10"/>
      <c r="F269" s="31"/>
      <c r="G269" s="11"/>
      <c r="H269" s="11"/>
      <c r="I269" s="9"/>
      <c r="J269" s="10"/>
      <c r="K269"/>
      <c r="L269"/>
      <c r="M269"/>
      <c r="N269"/>
    </row>
    <row r="270" spans="1:14" ht="11.25" customHeight="1" x14ac:dyDescent="0.25">
      <c r="A270" s="69" t="s">
        <v>516</v>
      </c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</row>
    <row r="271" spans="1:14" ht="11.25" customHeight="1" x14ac:dyDescent="0.25">
      <c r="A271" s="70" t="s">
        <v>517</v>
      </c>
      <c r="B271" s="70"/>
      <c r="C271" s="70"/>
      <c r="D271" s="70"/>
      <c r="E271" s="39"/>
      <c r="F271" s="70" t="s">
        <v>518</v>
      </c>
      <c r="G271" s="70"/>
      <c r="H271" s="70"/>
      <c r="I271" s="70"/>
      <c r="J271" s="39"/>
      <c r="K271" s="4"/>
      <c r="L271" s="4"/>
      <c r="M271" s="4"/>
      <c r="N271" s="4"/>
    </row>
    <row r="272" spans="1:14" ht="11.25" customHeight="1" x14ac:dyDescent="0.25">
      <c r="A272" s="74" t="s">
        <v>519</v>
      </c>
      <c r="B272" s="74"/>
      <c r="C272" s="50" t="s">
        <v>520</v>
      </c>
      <c r="D272" s="61" t="s">
        <v>521</v>
      </c>
      <c r="E272" s="39"/>
      <c r="F272" s="74" t="s">
        <v>519</v>
      </c>
      <c r="G272" s="74"/>
      <c r="H272" s="50" t="s">
        <v>520</v>
      </c>
      <c r="I272" s="51" t="s">
        <v>521</v>
      </c>
      <c r="J272" s="39"/>
      <c r="K272" s="25"/>
      <c r="L272" s="25"/>
      <c r="M272" s="25"/>
      <c r="N272" s="25"/>
    </row>
    <row r="273" spans="1:14" ht="11.25" customHeight="1" x14ac:dyDescent="0.25">
      <c r="A273" s="6"/>
      <c r="B273" s="7">
        <v>3000</v>
      </c>
      <c r="C273" s="17" t="s">
        <v>522</v>
      </c>
      <c r="D273" s="62"/>
      <c r="E273"/>
      <c r="F273" s="6"/>
      <c r="G273" s="7">
        <v>4103</v>
      </c>
      <c r="H273" s="17" t="s">
        <v>523</v>
      </c>
      <c r="I273" s="6"/>
      <c r="J273"/>
      <c r="K273" s="52"/>
      <c r="L273" s="47" t="s">
        <v>524</v>
      </c>
      <c r="M273"/>
      <c r="N273" s="40"/>
    </row>
    <row r="274" spans="1:14" ht="11.25" customHeight="1" x14ac:dyDescent="0.25">
      <c r="A274" s="27"/>
      <c r="B274" s="12">
        <v>3030</v>
      </c>
      <c r="C274" s="19" t="s">
        <v>214</v>
      </c>
      <c r="D274" s="62"/>
      <c r="E274"/>
      <c r="F274" s="27"/>
      <c r="G274" s="12">
        <v>4200</v>
      </c>
      <c r="H274" s="19" t="s">
        <v>525</v>
      </c>
      <c r="I274" s="6"/>
      <c r="J274"/>
      <c r="K274" s="40"/>
      <c r="L274" s="40"/>
      <c r="M274" s="40"/>
      <c r="N274" s="40"/>
    </row>
    <row r="275" spans="1:14" ht="11.25" customHeight="1" x14ac:dyDescent="0.25">
      <c r="A275" s="27"/>
      <c r="B275" s="12">
        <v>3050</v>
      </c>
      <c r="C275" s="19" t="s">
        <v>224</v>
      </c>
      <c r="D275" s="62"/>
      <c r="E275"/>
      <c r="F275" s="27"/>
      <c r="G275" s="12">
        <v>4201</v>
      </c>
      <c r="H275" s="19" t="s">
        <v>526</v>
      </c>
      <c r="I275" s="6"/>
      <c r="J275"/>
      <c r="K275" s="40"/>
      <c r="L275" s="47" t="s">
        <v>527</v>
      </c>
      <c r="M275" s="40"/>
      <c r="N275" s="40"/>
    </row>
    <row r="276" spans="1:14" ht="11.25" customHeight="1" x14ac:dyDescent="0.25">
      <c r="A276" s="27"/>
      <c r="B276" s="12">
        <v>3201</v>
      </c>
      <c r="C276" s="19" t="s">
        <v>528</v>
      </c>
      <c r="D276" s="62"/>
      <c r="E276"/>
      <c r="F276" s="27"/>
      <c r="G276" s="12">
        <v>4402</v>
      </c>
      <c r="H276" s="19" t="s">
        <v>529</v>
      </c>
      <c r="I276" s="6"/>
      <c r="J276"/>
      <c r="K276" s="40"/>
      <c r="L276" s="47" t="s">
        <v>530</v>
      </c>
      <c r="M276" s="40"/>
      <c r="N276" s="40"/>
    </row>
    <row r="277" spans="1:14" ht="11.25" customHeight="1" x14ac:dyDescent="0.25">
      <c r="A277" s="6"/>
      <c r="B277" s="7">
        <v>3300</v>
      </c>
      <c r="C277" s="17" t="s">
        <v>531</v>
      </c>
      <c r="D277" s="62"/>
      <c r="E277"/>
      <c r="F277" s="6"/>
      <c r="G277" s="7">
        <v>4501</v>
      </c>
      <c r="H277" s="17" t="s">
        <v>179</v>
      </c>
      <c r="I277" s="6"/>
      <c r="J277"/>
      <c r="K277" s="40"/>
      <c r="L277" s="53"/>
      <c r="M277" s="40"/>
      <c r="N277" s="40"/>
    </row>
    <row r="278" spans="1:14" ht="11.25" customHeight="1" x14ac:dyDescent="0.25">
      <c r="A278" s="27"/>
      <c r="B278" s="12">
        <v>3310</v>
      </c>
      <c r="C278" s="19" t="s">
        <v>532</v>
      </c>
      <c r="D278" s="62"/>
      <c r="E278"/>
      <c r="F278" s="27"/>
      <c r="G278" s="12">
        <v>5060</v>
      </c>
      <c r="H278" s="19" t="s">
        <v>533</v>
      </c>
      <c r="I278" s="6"/>
      <c r="J278"/>
      <c r="K278" s="40"/>
      <c r="L278" s="47" t="s">
        <v>534</v>
      </c>
      <c r="M278" s="40"/>
      <c r="N278" s="40"/>
    </row>
    <row r="279" spans="1:14" ht="11.25" customHeight="1" x14ac:dyDescent="0.25">
      <c r="A279"/>
      <c r="B279"/>
      <c r="C279"/>
      <c r="D279" s="59"/>
      <c r="E279"/>
      <c r="F279"/>
      <c r="G279"/>
      <c r="H279"/>
      <c r="I279"/>
      <c r="J279"/>
      <c r="K279"/>
      <c r="L279"/>
      <c r="M279"/>
      <c r="N279"/>
    </row>
    <row r="280" spans="1:14" ht="11.25" customHeight="1" x14ac:dyDescent="0.25">
      <c r="A280" s="69" t="s">
        <v>535</v>
      </c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</row>
    <row r="281" spans="1:14" ht="11.25" customHeight="1" x14ac:dyDescent="0.25">
      <c r="A281"/>
      <c r="B281"/>
      <c r="C281"/>
      <c r="D281" s="59"/>
      <c r="E281"/>
      <c r="F281"/>
      <c r="G281"/>
      <c r="H281"/>
      <c r="I281"/>
      <c r="J281"/>
      <c r="K281"/>
      <c r="L281"/>
      <c r="M281"/>
      <c r="N281"/>
    </row>
    <row r="282" spans="1:14" ht="11.25" customHeight="1" x14ac:dyDescent="0.25">
      <c r="A282" s="52"/>
      <c r="B282" s="47" t="s">
        <v>536</v>
      </c>
      <c r="C282"/>
      <c r="D282" s="59"/>
      <c r="E282"/>
      <c r="F282"/>
      <c r="G282"/>
      <c r="H282"/>
      <c r="I282"/>
      <c r="J282"/>
      <c r="K282"/>
      <c r="L282"/>
      <c r="M282"/>
      <c r="N282"/>
    </row>
    <row r="283" spans="1:14" ht="11.25" customHeight="1" x14ac:dyDescent="0.25">
      <c r="A283"/>
      <c r="B283"/>
      <c r="C283"/>
      <c r="D283" s="59"/>
      <c r="E283"/>
      <c r="F283"/>
      <c r="G283"/>
      <c r="H283"/>
      <c r="I283"/>
      <c r="J283"/>
      <c r="K283"/>
      <c r="L283"/>
      <c r="M283"/>
      <c r="N283"/>
    </row>
    <row r="284" spans="1:14" ht="11.25" customHeight="1" x14ac:dyDescent="0.25">
      <c r="A284" s="54" t="s">
        <v>537</v>
      </c>
      <c r="B284" s="55"/>
      <c r="C284" s="55"/>
      <c r="D284" s="60"/>
      <c r="E284"/>
      <c r="F284" s="54" t="s">
        <v>538</v>
      </c>
      <c r="G284" s="55"/>
      <c r="H284" s="55"/>
      <c r="I284" s="55"/>
      <c r="J284"/>
      <c r="K284" s="54" t="s">
        <v>539</v>
      </c>
      <c r="L284" s="55"/>
      <c r="M284" s="55"/>
      <c r="N284" s="55"/>
    </row>
    <row r="285" spans="1:14" ht="11.25" customHeight="1" x14ac:dyDescent="0.25">
      <c r="A285"/>
      <c r="B285"/>
      <c r="C285"/>
      <c r="D285" s="59"/>
      <c r="E285"/>
      <c r="F285"/>
      <c r="G285"/>
      <c r="H285"/>
      <c r="I285"/>
      <c r="J285"/>
      <c r="K285"/>
      <c r="L285"/>
      <c r="M285"/>
      <c r="N285"/>
    </row>
    <row r="286" spans="1:14" ht="11.25" customHeight="1" x14ac:dyDescent="0.25">
      <c r="A286" s="54" t="s">
        <v>540</v>
      </c>
      <c r="B286" s="55"/>
      <c r="C286" s="55"/>
      <c r="D286" s="60"/>
      <c r="E286"/>
      <c r="F286" s="54" t="s">
        <v>541</v>
      </c>
      <c r="G286" s="55"/>
      <c r="H286" s="55"/>
      <c r="I286" s="55"/>
      <c r="J286"/>
      <c r="K286" s="54" t="s">
        <v>542</v>
      </c>
      <c r="L286" s="55"/>
      <c r="M286" s="55"/>
      <c r="N286" s="55"/>
    </row>
    <row r="287" spans="1:14" ht="11.25" customHeight="1" x14ac:dyDescent="0.25">
      <c r="A287"/>
      <c r="B287"/>
      <c r="C287"/>
      <c r="D287" s="59"/>
      <c r="E287"/>
      <c r="F287"/>
      <c r="G287"/>
      <c r="H287"/>
      <c r="I287"/>
      <c r="J287"/>
      <c r="K287"/>
      <c r="L287"/>
      <c r="M287"/>
      <c r="N287"/>
    </row>
    <row r="288" spans="1:14" ht="11.25" customHeight="1" x14ac:dyDescent="0.25">
      <c r="A288" s="69" t="s">
        <v>543</v>
      </c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</row>
    <row r="289" spans="1:14" ht="11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14" ht="11.25" customHeight="1" x14ac:dyDescent="0.25">
      <c r="A290"/>
      <c r="B290"/>
      <c r="C290"/>
      <c r="D290" s="59"/>
      <c r="E290"/>
      <c r="F290"/>
      <c r="G290"/>
      <c r="H290"/>
      <c r="I290"/>
      <c r="J290"/>
      <c r="K290"/>
      <c r="L290"/>
      <c r="M290"/>
      <c r="N290"/>
    </row>
    <row r="291" spans="1:14" ht="11.25" customHeight="1" x14ac:dyDescent="0.25">
      <c r="A291"/>
      <c r="B291"/>
      <c r="C291"/>
      <c r="D291" s="59"/>
      <c r="E291"/>
      <c r="F291"/>
      <c r="G291"/>
      <c r="H291"/>
      <c r="I291"/>
      <c r="J291"/>
      <c r="K291"/>
      <c r="L291"/>
      <c r="M291"/>
      <c r="N291"/>
    </row>
    <row r="292" spans="1:14" ht="11.25" customHeight="1" x14ac:dyDescent="0.25">
      <c r="A292"/>
      <c r="B292"/>
      <c r="C292"/>
      <c r="D292" s="59"/>
      <c r="E292"/>
      <c r="F292"/>
      <c r="G292"/>
      <c r="H292"/>
      <c r="I292"/>
      <c r="J292"/>
      <c r="K292"/>
      <c r="L292"/>
      <c r="M292"/>
      <c r="N292"/>
    </row>
    <row r="293" spans="1:14" ht="11.25" customHeight="1" x14ac:dyDescent="0.25">
      <c r="A293"/>
      <c r="B293"/>
      <c r="C293"/>
      <c r="D293" s="59"/>
      <c r="E293"/>
      <c r="F293"/>
      <c r="G293"/>
      <c r="H293"/>
      <c r="I293"/>
      <c r="J293"/>
      <c r="K293"/>
      <c r="L293"/>
      <c r="M293"/>
      <c r="N293"/>
    </row>
  </sheetData>
  <protectedRanges>
    <protectedRange sqref="A116:A120" name="Range25"/>
    <protectedRange sqref="K58:K61" name="Range18"/>
    <protectedRange sqref="F58:F62" name="Range17"/>
    <protectedRange sqref="A58:A71" name="Range16"/>
    <protectedRange sqref="K26:K33" name="Range13"/>
    <protectedRange sqref="F26:F34" name="Range12"/>
    <protectedRange sqref="K15:K23" name="Range7"/>
    <protectedRange sqref="F15:F22" name="Range6"/>
    <protectedRange sqref="A15:A22" name="Range5"/>
    <protectedRange sqref="K5:K12" name="Range4"/>
    <protectedRange sqref="F5:F12" name="Range3"/>
    <protectedRange sqref="A5:A12" name="Range2"/>
    <protectedRange sqref="A15:A22" name="Range8"/>
    <protectedRange sqref="F15:F22" name="Range9"/>
    <protectedRange sqref="K15:K23" name="Range10"/>
    <protectedRange sqref="A26" name="Range11"/>
    <protectedRange sqref="A29:A54" name="Range14"/>
    <protectedRange sqref="F38:F54" name="Range15"/>
    <protectedRange sqref="A83:A89" name="Range19"/>
    <protectedRange sqref="A92:A97" name="Range20"/>
    <protectedRange sqref="A100:A112" name="Range21"/>
    <protectedRange sqref="F83:F94" name="Range22"/>
    <protectedRange sqref="F97:F112" name="Range23"/>
    <protectedRange sqref="K83:K112" name="Range24"/>
    <protectedRange sqref="F126:F127 A123:A130 A133:A144 F130:F140 K116:K147 A163:A177 F163:F177 K163:K170 K173:K178 K182:K186 K189:K195 F182:F191 A147:A152" name="Range26"/>
    <protectedRange sqref="F143:F146 F149:F150" name="Range26_1"/>
    <protectedRange sqref="F116:F122" name="Range26_2"/>
  </protectedRanges>
  <mergeCells count="71">
    <mergeCell ref="A288:N288"/>
    <mergeCell ref="A280:N280"/>
    <mergeCell ref="A161:N161"/>
    <mergeCell ref="A272:B272"/>
    <mergeCell ref="F272:G272"/>
    <mergeCell ref="A242:D242"/>
    <mergeCell ref="F242:I242"/>
    <mergeCell ref="K242:N242"/>
    <mergeCell ref="F254:I254"/>
    <mergeCell ref="A270:N270"/>
    <mergeCell ref="A271:D271"/>
    <mergeCell ref="F271:I271"/>
    <mergeCell ref="A241:N241"/>
    <mergeCell ref="F203:I203"/>
    <mergeCell ref="A207:D207"/>
    <mergeCell ref="F209:I209"/>
    <mergeCell ref="A211:D211"/>
    <mergeCell ref="K212:N212"/>
    <mergeCell ref="A217:D217"/>
    <mergeCell ref="A222:D222"/>
    <mergeCell ref="A231:N231"/>
    <mergeCell ref="A232:D232"/>
    <mergeCell ref="F232:I232"/>
    <mergeCell ref="K232:N232"/>
    <mergeCell ref="A198:D198"/>
    <mergeCell ref="K198:N198"/>
    <mergeCell ref="A162:D162"/>
    <mergeCell ref="F162:I162"/>
    <mergeCell ref="K162:N162"/>
    <mergeCell ref="K172:N172"/>
    <mergeCell ref="A180:N180"/>
    <mergeCell ref="A181:D181"/>
    <mergeCell ref="F181:I181"/>
    <mergeCell ref="K181:N181"/>
    <mergeCell ref="K188:N188"/>
    <mergeCell ref="F193:I193"/>
    <mergeCell ref="F148:I148"/>
    <mergeCell ref="A99:D99"/>
    <mergeCell ref="A114:N114"/>
    <mergeCell ref="A115:D115"/>
    <mergeCell ref="F115:I115"/>
    <mergeCell ref="K115:N115"/>
    <mergeCell ref="A122:D122"/>
    <mergeCell ref="F125:I125"/>
    <mergeCell ref="F129:I129"/>
    <mergeCell ref="A132:D132"/>
    <mergeCell ref="F142:I142"/>
    <mergeCell ref="A146:D146"/>
    <mergeCell ref="F96:I96"/>
    <mergeCell ref="A28:D28"/>
    <mergeCell ref="F37:I37"/>
    <mergeCell ref="A56:N56"/>
    <mergeCell ref="A57:D57"/>
    <mergeCell ref="F57:I57"/>
    <mergeCell ref="K57:N57"/>
    <mergeCell ref="A81:N81"/>
    <mergeCell ref="A82:D82"/>
    <mergeCell ref="F82:I82"/>
    <mergeCell ref="K82:N82"/>
    <mergeCell ref="A91:D91"/>
    <mergeCell ref="A14:D14"/>
    <mergeCell ref="F14:I14"/>
    <mergeCell ref="K14:N14"/>
    <mergeCell ref="A25:D25"/>
    <mergeCell ref="F25:I25"/>
    <mergeCell ref="K25:N25"/>
    <mergeCell ref="A1:N1"/>
    <mergeCell ref="A3:N3"/>
    <mergeCell ref="A4:D4"/>
    <mergeCell ref="F4:I4"/>
    <mergeCell ref="K4:N4"/>
  </mergeCells>
  <pageMargins left="0.7" right="0.7" top="0.75" bottom="0.75" header="0.3" footer="0.3"/>
  <pageSetup scale="79" fitToHeight="0" orientation="portrait" r:id="rId1"/>
  <ignoredErrors>
    <ignoredError sqref="L213 L218 L2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318E-1394-4CEE-811D-9134A98B8F49}">
  <dimension ref="A1:Z987"/>
  <sheetViews>
    <sheetView topLeftCell="G56" workbookViewId="0">
      <selection activeCell="N67" sqref="N67"/>
    </sheetView>
  </sheetViews>
  <sheetFormatPr defaultRowHeight="15" x14ac:dyDescent="0.25"/>
  <cols>
    <col min="1" max="1" width="9.7109375" bestFit="1" customWidth="1"/>
    <col min="2" max="2" width="9.28515625" bestFit="1" customWidth="1"/>
    <col min="3" max="3" width="65.42578125" bestFit="1" customWidth="1"/>
    <col min="4" max="5" width="29" bestFit="1" customWidth="1"/>
    <col min="6" max="6" width="10" bestFit="1" customWidth="1"/>
    <col min="7" max="7" width="11" bestFit="1" customWidth="1"/>
    <col min="8" max="8" width="26.85546875" bestFit="1" customWidth="1"/>
    <col min="9" max="9" width="20.85546875" bestFit="1" customWidth="1"/>
    <col min="10" max="10" width="10.42578125" bestFit="1" customWidth="1"/>
    <col min="11" max="11" width="10.7109375" bestFit="1" customWidth="1"/>
    <col min="12" max="12" width="11" bestFit="1" customWidth="1"/>
    <col min="13" max="13" width="12.28515625" bestFit="1" customWidth="1"/>
    <col min="14" max="14" width="39.7109375" bestFit="1" customWidth="1"/>
    <col min="15" max="15" width="12.28515625" bestFit="1" customWidth="1"/>
    <col min="16" max="16" width="12.140625" style="59" bestFit="1" customWidth="1"/>
    <col min="17" max="26" width="12.140625" bestFit="1" customWidth="1"/>
  </cols>
  <sheetData>
    <row r="1" spans="1:26" x14ac:dyDescent="0.25">
      <c r="A1" s="56" t="s">
        <v>544</v>
      </c>
      <c r="B1" s="56" t="s">
        <v>545</v>
      </c>
      <c r="C1" s="56" t="s">
        <v>520</v>
      </c>
      <c r="D1" s="56" t="s">
        <v>546</v>
      </c>
      <c r="E1" s="56" t="s">
        <v>547</v>
      </c>
      <c r="F1" s="56" t="s">
        <v>548</v>
      </c>
      <c r="G1" s="56" t="s">
        <v>549</v>
      </c>
      <c r="H1" s="56" t="s">
        <v>550</v>
      </c>
      <c r="I1" s="56" t="s">
        <v>551</v>
      </c>
      <c r="J1" s="56" t="s">
        <v>552</v>
      </c>
      <c r="K1" s="56" t="s">
        <v>553</v>
      </c>
      <c r="L1" s="56" t="s">
        <v>554</v>
      </c>
      <c r="M1" s="56" t="s">
        <v>555</v>
      </c>
      <c r="N1" s="56" t="s">
        <v>556</v>
      </c>
      <c r="O1" s="56" t="s">
        <v>557</v>
      </c>
      <c r="P1" s="59" t="s">
        <v>558</v>
      </c>
      <c r="Q1" s="56" t="s">
        <v>559</v>
      </c>
      <c r="R1" s="56" t="s">
        <v>560</v>
      </c>
      <c r="S1" s="56" t="s">
        <v>561</v>
      </c>
      <c r="T1" s="56" t="s">
        <v>562</v>
      </c>
      <c r="U1" s="56" t="s">
        <v>563</v>
      </c>
      <c r="V1" s="56" t="s">
        <v>564</v>
      </c>
      <c r="W1" s="56" t="s">
        <v>565</v>
      </c>
      <c r="X1" s="56" t="s">
        <v>566</v>
      </c>
      <c r="Y1" s="56" t="s">
        <v>567</v>
      </c>
      <c r="Z1" s="56" t="s">
        <v>568</v>
      </c>
    </row>
    <row r="2" spans="1:26" x14ac:dyDescent="0.25">
      <c r="A2" s="56">
        <v>1001</v>
      </c>
      <c r="B2" s="56">
        <v>1001</v>
      </c>
      <c r="C2" s="56" t="s">
        <v>8</v>
      </c>
      <c r="D2" s="56" t="s">
        <v>569</v>
      </c>
      <c r="E2" s="56" t="s">
        <v>569</v>
      </c>
      <c r="F2" s="56" t="s">
        <v>570</v>
      </c>
      <c r="G2" s="56">
        <v>4.96</v>
      </c>
      <c r="H2" s="56" t="s">
        <v>571</v>
      </c>
      <c r="I2" s="56" t="s">
        <v>572</v>
      </c>
      <c r="J2" s="56">
        <v>0</v>
      </c>
      <c r="K2" s="56">
        <v>0</v>
      </c>
      <c r="L2" s="56">
        <v>1</v>
      </c>
      <c r="M2" s="56">
        <v>1001</v>
      </c>
      <c r="N2" s="56" t="s">
        <v>573</v>
      </c>
      <c r="O2" s="56">
        <v>1</v>
      </c>
      <c r="P2" s="59">
        <v>17.399999999999999</v>
      </c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x14ac:dyDescent="0.25">
      <c r="A3" s="56">
        <v>1002</v>
      </c>
      <c r="B3" s="56">
        <v>1002</v>
      </c>
      <c r="C3" s="56" t="s">
        <v>11</v>
      </c>
      <c r="D3" s="56" t="s">
        <v>569</v>
      </c>
      <c r="E3" s="56" t="s">
        <v>569</v>
      </c>
      <c r="F3" s="56" t="s">
        <v>570</v>
      </c>
      <c r="G3" s="56">
        <v>4.96</v>
      </c>
      <c r="H3" s="56" t="s">
        <v>571</v>
      </c>
      <c r="I3" s="56" t="s">
        <v>574</v>
      </c>
      <c r="J3" s="56">
        <v>0</v>
      </c>
      <c r="K3" s="56">
        <v>0</v>
      </c>
      <c r="L3" s="56">
        <v>1</v>
      </c>
      <c r="M3" s="56">
        <v>1002</v>
      </c>
      <c r="N3" s="56" t="s">
        <v>575</v>
      </c>
      <c r="O3" s="56">
        <v>1</v>
      </c>
      <c r="P3" s="59">
        <v>17.399999999999999</v>
      </c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x14ac:dyDescent="0.25">
      <c r="A4" s="56">
        <v>1003</v>
      </c>
      <c r="B4" s="56">
        <v>1003</v>
      </c>
      <c r="C4" s="56" t="s">
        <v>14</v>
      </c>
      <c r="D4" s="56" t="s">
        <v>569</v>
      </c>
      <c r="E4" s="56" t="s">
        <v>569</v>
      </c>
      <c r="F4" s="56" t="s">
        <v>570</v>
      </c>
      <c r="G4" s="56">
        <v>4.96</v>
      </c>
      <c r="H4" s="56" t="s">
        <v>571</v>
      </c>
      <c r="I4" s="56" t="s">
        <v>576</v>
      </c>
      <c r="J4" s="56">
        <v>0</v>
      </c>
      <c r="K4" s="56">
        <v>0</v>
      </c>
      <c r="L4" s="56">
        <v>1</v>
      </c>
      <c r="M4" s="56">
        <v>1003</v>
      </c>
      <c r="N4" s="56" t="s">
        <v>577</v>
      </c>
      <c r="O4" s="56">
        <v>1</v>
      </c>
      <c r="P4" s="59">
        <v>17.399999999999999</v>
      </c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x14ac:dyDescent="0.25">
      <c r="A5" s="56">
        <v>1004</v>
      </c>
      <c r="B5" s="56">
        <v>1004</v>
      </c>
      <c r="C5" s="56" t="s">
        <v>17</v>
      </c>
      <c r="D5" s="56" t="s">
        <v>569</v>
      </c>
      <c r="E5" s="56" t="s">
        <v>569</v>
      </c>
      <c r="F5" s="56" t="s">
        <v>570</v>
      </c>
      <c r="G5" s="56">
        <v>4.96</v>
      </c>
      <c r="H5" s="56" t="s">
        <v>571</v>
      </c>
      <c r="I5" s="56" t="s">
        <v>578</v>
      </c>
      <c r="J5" s="56">
        <v>0</v>
      </c>
      <c r="K5" s="56">
        <v>0</v>
      </c>
      <c r="L5" s="56">
        <v>1</v>
      </c>
      <c r="M5" s="56">
        <v>1004</v>
      </c>
      <c r="N5" s="56" t="s">
        <v>579</v>
      </c>
      <c r="O5" s="56">
        <v>1</v>
      </c>
      <c r="P5" s="59">
        <v>17.399999999999999</v>
      </c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x14ac:dyDescent="0.25">
      <c r="A6" s="56">
        <v>1005</v>
      </c>
      <c r="B6" s="56">
        <v>1005</v>
      </c>
      <c r="C6" s="56" t="s">
        <v>20</v>
      </c>
      <c r="D6" s="56" t="s">
        <v>569</v>
      </c>
      <c r="E6" s="56" t="s">
        <v>569</v>
      </c>
      <c r="F6" s="56" t="s">
        <v>570</v>
      </c>
      <c r="G6" s="56">
        <v>5.84</v>
      </c>
      <c r="H6" s="56" t="s">
        <v>571</v>
      </c>
      <c r="I6" s="56" t="s">
        <v>580</v>
      </c>
      <c r="J6" s="56">
        <v>0</v>
      </c>
      <c r="K6" s="56">
        <v>0</v>
      </c>
      <c r="L6" s="56">
        <v>1</v>
      </c>
      <c r="M6" s="56">
        <v>1005</v>
      </c>
      <c r="N6" s="56" t="s">
        <v>581</v>
      </c>
      <c r="O6" s="56">
        <v>1</v>
      </c>
      <c r="P6" s="59">
        <v>20.399999999999999</v>
      </c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x14ac:dyDescent="0.25">
      <c r="A7" s="56">
        <v>1006</v>
      </c>
      <c r="B7" s="56">
        <v>1006</v>
      </c>
      <c r="C7" s="56" t="s">
        <v>23</v>
      </c>
      <c r="D7" s="56" t="s">
        <v>569</v>
      </c>
      <c r="E7" s="56" t="s">
        <v>569</v>
      </c>
      <c r="F7" s="56" t="s">
        <v>570</v>
      </c>
      <c r="G7" s="56">
        <v>6.24</v>
      </c>
      <c r="H7" s="56" t="s">
        <v>571</v>
      </c>
      <c r="I7" s="56" t="s">
        <v>582</v>
      </c>
      <c r="J7" s="56">
        <v>0</v>
      </c>
      <c r="K7" s="56">
        <v>0</v>
      </c>
      <c r="L7" s="56">
        <v>1</v>
      </c>
      <c r="M7" s="56">
        <v>1006</v>
      </c>
      <c r="N7" s="56" t="s">
        <v>583</v>
      </c>
      <c r="O7" s="56">
        <v>1</v>
      </c>
      <c r="P7" s="59">
        <v>21.8</v>
      </c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x14ac:dyDescent="0.25">
      <c r="A8">
        <v>1007</v>
      </c>
      <c r="B8">
        <v>1007</v>
      </c>
      <c r="C8" s="56" t="s">
        <v>26</v>
      </c>
      <c r="D8" s="56" t="s">
        <v>569</v>
      </c>
      <c r="E8" s="56" t="s">
        <v>569</v>
      </c>
      <c r="F8" s="56" t="s">
        <v>570</v>
      </c>
      <c r="G8">
        <v>6.64</v>
      </c>
      <c r="H8" s="56" t="s">
        <v>571</v>
      </c>
      <c r="I8" s="56" t="s">
        <v>584</v>
      </c>
      <c r="J8">
        <v>0</v>
      </c>
      <c r="K8">
        <v>0</v>
      </c>
      <c r="L8">
        <v>1</v>
      </c>
      <c r="M8">
        <v>1007</v>
      </c>
      <c r="N8" s="56" t="s">
        <v>585</v>
      </c>
      <c r="O8">
        <v>1</v>
      </c>
      <c r="P8" s="59">
        <v>23.2</v>
      </c>
    </row>
    <row r="9" spans="1:26" x14ac:dyDescent="0.25">
      <c r="A9">
        <v>1008</v>
      </c>
      <c r="B9">
        <v>1008</v>
      </c>
      <c r="C9" s="56" t="s">
        <v>29</v>
      </c>
      <c r="D9" s="56" t="s">
        <v>569</v>
      </c>
      <c r="E9" s="56" t="s">
        <v>569</v>
      </c>
      <c r="F9" s="56" t="s">
        <v>570</v>
      </c>
      <c r="G9">
        <v>7.2</v>
      </c>
      <c r="H9" s="56" t="s">
        <v>571</v>
      </c>
      <c r="I9" s="56" t="s">
        <v>586</v>
      </c>
      <c r="J9">
        <v>0</v>
      </c>
      <c r="K9">
        <v>0</v>
      </c>
      <c r="L9">
        <v>1</v>
      </c>
      <c r="M9">
        <v>1008</v>
      </c>
      <c r="N9" s="56" t="s">
        <v>587</v>
      </c>
      <c r="O9">
        <v>1</v>
      </c>
      <c r="P9" s="59">
        <v>25.2</v>
      </c>
    </row>
    <row r="10" spans="1:26" x14ac:dyDescent="0.25">
      <c r="A10">
        <v>1021</v>
      </c>
      <c r="B10">
        <v>1021</v>
      </c>
      <c r="C10" s="56" t="s">
        <v>6</v>
      </c>
      <c r="D10" s="56" t="s">
        <v>569</v>
      </c>
      <c r="E10" s="56" t="s">
        <v>569</v>
      </c>
      <c r="F10" s="56" t="s">
        <v>570</v>
      </c>
      <c r="G10">
        <v>2.48</v>
      </c>
      <c r="H10" s="56" t="s">
        <v>571</v>
      </c>
      <c r="I10" s="56" t="s">
        <v>588</v>
      </c>
      <c r="J10">
        <v>0</v>
      </c>
      <c r="K10">
        <v>0</v>
      </c>
      <c r="L10">
        <v>1</v>
      </c>
      <c r="M10">
        <v>1021</v>
      </c>
      <c r="N10" s="56" t="s">
        <v>589</v>
      </c>
      <c r="O10">
        <v>1</v>
      </c>
      <c r="P10" s="59">
        <v>8.6999999999999993</v>
      </c>
    </row>
    <row r="11" spans="1:26" x14ac:dyDescent="0.25">
      <c r="A11">
        <v>1022</v>
      </c>
      <c r="B11">
        <v>1022</v>
      </c>
      <c r="C11" s="56" t="s">
        <v>9</v>
      </c>
      <c r="D11" s="56" t="s">
        <v>569</v>
      </c>
      <c r="E11" s="56" t="s">
        <v>569</v>
      </c>
      <c r="F11" s="56" t="s">
        <v>570</v>
      </c>
      <c r="G11">
        <v>2.48</v>
      </c>
      <c r="H11" s="56" t="s">
        <v>571</v>
      </c>
      <c r="I11" s="56" t="s">
        <v>590</v>
      </c>
      <c r="J11">
        <v>0</v>
      </c>
      <c r="K11">
        <v>0</v>
      </c>
      <c r="L11">
        <v>1</v>
      </c>
      <c r="M11">
        <v>1022</v>
      </c>
      <c r="N11" s="56" t="s">
        <v>591</v>
      </c>
      <c r="O11">
        <v>1</v>
      </c>
      <c r="P11" s="59">
        <v>8.6999999999999993</v>
      </c>
    </row>
    <row r="12" spans="1:26" x14ac:dyDescent="0.25">
      <c r="A12">
        <v>1023</v>
      </c>
      <c r="B12">
        <v>1023</v>
      </c>
      <c r="C12" s="56" t="s">
        <v>12</v>
      </c>
      <c r="D12" s="56" t="s">
        <v>569</v>
      </c>
      <c r="E12" s="56" t="s">
        <v>569</v>
      </c>
      <c r="F12" s="56" t="s">
        <v>570</v>
      </c>
      <c r="G12">
        <v>2.48</v>
      </c>
      <c r="H12" s="56" t="s">
        <v>571</v>
      </c>
      <c r="I12" s="56" t="s">
        <v>592</v>
      </c>
      <c r="J12">
        <v>0</v>
      </c>
      <c r="K12">
        <v>0</v>
      </c>
      <c r="L12">
        <v>1</v>
      </c>
      <c r="M12">
        <v>1023</v>
      </c>
      <c r="N12" s="56" t="s">
        <v>593</v>
      </c>
      <c r="O12">
        <v>1</v>
      </c>
      <c r="P12" s="59">
        <v>8.6999999999999993</v>
      </c>
    </row>
    <row r="13" spans="1:26" x14ac:dyDescent="0.25">
      <c r="A13">
        <v>1024</v>
      </c>
      <c r="B13">
        <v>1024</v>
      </c>
      <c r="C13" s="56" t="s">
        <v>15</v>
      </c>
      <c r="D13" s="56" t="s">
        <v>569</v>
      </c>
      <c r="E13" s="56" t="s">
        <v>569</v>
      </c>
      <c r="F13" s="56" t="s">
        <v>570</v>
      </c>
      <c r="G13">
        <v>2.48</v>
      </c>
      <c r="H13" s="56" t="s">
        <v>571</v>
      </c>
      <c r="I13" s="56" t="s">
        <v>594</v>
      </c>
      <c r="J13">
        <v>0</v>
      </c>
      <c r="K13">
        <v>0</v>
      </c>
      <c r="L13">
        <v>1</v>
      </c>
      <c r="M13">
        <v>1024</v>
      </c>
      <c r="N13" s="56" t="s">
        <v>595</v>
      </c>
      <c r="O13">
        <v>1</v>
      </c>
      <c r="P13" s="59">
        <v>8.6999999999999993</v>
      </c>
    </row>
    <row r="14" spans="1:26" x14ac:dyDescent="0.25">
      <c r="A14">
        <v>1025</v>
      </c>
      <c r="B14">
        <v>1025</v>
      </c>
      <c r="C14" s="56" t="s">
        <v>18</v>
      </c>
      <c r="D14" s="56" t="s">
        <v>569</v>
      </c>
      <c r="E14" s="56" t="s">
        <v>569</v>
      </c>
      <c r="F14" s="56" t="s">
        <v>570</v>
      </c>
      <c r="G14">
        <v>2.92</v>
      </c>
      <c r="H14" s="56" t="s">
        <v>571</v>
      </c>
      <c r="I14" s="56" t="s">
        <v>596</v>
      </c>
      <c r="J14">
        <v>0</v>
      </c>
      <c r="K14">
        <v>0</v>
      </c>
      <c r="L14">
        <v>1</v>
      </c>
      <c r="M14">
        <v>1025</v>
      </c>
      <c r="N14" s="56" t="s">
        <v>597</v>
      </c>
      <c r="O14">
        <v>1</v>
      </c>
      <c r="P14" s="59">
        <v>10.199999999999999</v>
      </c>
    </row>
    <row r="15" spans="1:26" x14ac:dyDescent="0.25">
      <c r="A15">
        <v>1026</v>
      </c>
      <c r="B15">
        <v>1026</v>
      </c>
      <c r="C15" s="56" t="s">
        <v>21</v>
      </c>
      <c r="D15" s="56" t="s">
        <v>569</v>
      </c>
      <c r="E15" s="56" t="s">
        <v>569</v>
      </c>
      <c r="F15" s="56" t="s">
        <v>570</v>
      </c>
      <c r="G15">
        <v>3.12</v>
      </c>
      <c r="H15" s="56" t="s">
        <v>571</v>
      </c>
      <c r="I15" s="56" t="s">
        <v>598</v>
      </c>
      <c r="J15">
        <v>0</v>
      </c>
      <c r="K15">
        <v>0</v>
      </c>
      <c r="L15">
        <v>1</v>
      </c>
      <c r="M15">
        <v>1026</v>
      </c>
      <c r="N15" s="56" t="s">
        <v>599</v>
      </c>
      <c r="O15">
        <v>1</v>
      </c>
      <c r="P15" s="59">
        <v>10.9</v>
      </c>
    </row>
    <row r="16" spans="1:26" x14ac:dyDescent="0.25">
      <c r="A16">
        <v>1027</v>
      </c>
      <c r="B16">
        <v>1027</v>
      </c>
      <c r="C16" s="56" t="s">
        <v>24</v>
      </c>
      <c r="D16" s="56" t="s">
        <v>569</v>
      </c>
      <c r="E16" s="56" t="s">
        <v>569</v>
      </c>
      <c r="F16" s="56" t="s">
        <v>570</v>
      </c>
      <c r="G16">
        <v>3.32</v>
      </c>
      <c r="H16" s="56" t="s">
        <v>571</v>
      </c>
      <c r="I16" s="56" t="s">
        <v>600</v>
      </c>
      <c r="J16">
        <v>0</v>
      </c>
      <c r="K16">
        <v>0</v>
      </c>
      <c r="L16">
        <v>1</v>
      </c>
      <c r="M16">
        <v>1027</v>
      </c>
      <c r="N16" s="56" t="s">
        <v>601</v>
      </c>
      <c r="O16">
        <v>1</v>
      </c>
      <c r="P16" s="59">
        <v>11.6</v>
      </c>
    </row>
    <row r="17" spans="1:16" x14ac:dyDescent="0.25">
      <c r="A17">
        <v>1028</v>
      </c>
      <c r="B17">
        <v>1028</v>
      </c>
      <c r="C17" s="56" t="s">
        <v>27</v>
      </c>
      <c r="D17" s="56" t="s">
        <v>569</v>
      </c>
      <c r="E17" s="56" t="s">
        <v>569</v>
      </c>
      <c r="F17" s="56" t="s">
        <v>570</v>
      </c>
      <c r="G17">
        <v>3.6</v>
      </c>
      <c r="H17" s="56" t="s">
        <v>571</v>
      </c>
      <c r="I17" s="56" t="s">
        <v>602</v>
      </c>
      <c r="J17">
        <v>0</v>
      </c>
      <c r="K17">
        <v>0</v>
      </c>
      <c r="L17">
        <v>1</v>
      </c>
      <c r="M17">
        <v>1028</v>
      </c>
      <c r="N17" s="56" t="s">
        <v>603</v>
      </c>
      <c r="O17">
        <v>1</v>
      </c>
      <c r="P17" s="59">
        <v>12.6</v>
      </c>
    </row>
    <row r="18" spans="1:16" x14ac:dyDescent="0.25">
      <c r="A18">
        <v>1041</v>
      </c>
      <c r="B18">
        <v>1041</v>
      </c>
      <c r="C18" s="56" t="s">
        <v>7</v>
      </c>
      <c r="D18" s="56" t="s">
        <v>569</v>
      </c>
      <c r="E18" s="56" t="s">
        <v>569</v>
      </c>
      <c r="F18" s="56" t="s">
        <v>570</v>
      </c>
      <c r="G18">
        <v>2.48</v>
      </c>
      <c r="H18" s="56" t="s">
        <v>571</v>
      </c>
      <c r="I18" s="56" t="s">
        <v>604</v>
      </c>
      <c r="J18">
        <v>0</v>
      </c>
      <c r="K18">
        <v>0</v>
      </c>
      <c r="L18">
        <v>1</v>
      </c>
      <c r="M18">
        <v>1041</v>
      </c>
      <c r="N18" s="56" t="s">
        <v>605</v>
      </c>
      <c r="O18">
        <v>1</v>
      </c>
      <c r="P18" s="59">
        <v>8.6999999999999993</v>
      </c>
    </row>
    <row r="19" spans="1:16" x14ac:dyDescent="0.25">
      <c r="A19">
        <v>1042</v>
      </c>
      <c r="B19">
        <v>1042</v>
      </c>
      <c r="C19" s="56" t="s">
        <v>10</v>
      </c>
      <c r="D19" s="56" t="s">
        <v>569</v>
      </c>
      <c r="E19" s="56" t="s">
        <v>569</v>
      </c>
      <c r="F19" s="56" t="s">
        <v>570</v>
      </c>
      <c r="G19">
        <v>2.48</v>
      </c>
      <c r="H19" s="56" t="s">
        <v>571</v>
      </c>
      <c r="I19" s="56" t="s">
        <v>606</v>
      </c>
      <c r="J19">
        <v>0</v>
      </c>
      <c r="K19">
        <v>0</v>
      </c>
      <c r="L19">
        <v>1</v>
      </c>
      <c r="M19">
        <v>1042</v>
      </c>
      <c r="N19" s="56" t="s">
        <v>607</v>
      </c>
      <c r="O19">
        <v>1</v>
      </c>
      <c r="P19" s="59">
        <v>8.6999999999999993</v>
      </c>
    </row>
    <row r="20" spans="1:16" x14ac:dyDescent="0.25">
      <c r="A20">
        <v>1043</v>
      </c>
      <c r="B20">
        <v>1043</v>
      </c>
      <c r="C20" s="56" t="s">
        <v>13</v>
      </c>
      <c r="D20" s="56" t="s">
        <v>569</v>
      </c>
      <c r="E20" s="56" t="s">
        <v>569</v>
      </c>
      <c r="F20" s="56" t="s">
        <v>570</v>
      </c>
      <c r="G20">
        <v>2.48</v>
      </c>
      <c r="H20" s="56" t="s">
        <v>571</v>
      </c>
      <c r="I20" s="56" t="s">
        <v>608</v>
      </c>
      <c r="J20">
        <v>0</v>
      </c>
      <c r="K20">
        <v>0</v>
      </c>
      <c r="L20">
        <v>1</v>
      </c>
      <c r="M20">
        <v>1043</v>
      </c>
      <c r="N20" s="56" t="s">
        <v>609</v>
      </c>
      <c r="O20">
        <v>1</v>
      </c>
      <c r="P20" s="59">
        <v>8.6999999999999993</v>
      </c>
    </row>
    <row r="21" spans="1:16" x14ac:dyDescent="0.25">
      <c r="A21">
        <v>1044</v>
      </c>
      <c r="B21">
        <v>1044</v>
      </c>
      <c r="C21" s="56" t="s">
        <v>16</v>
      </c>
      <c r="D21" s="56" t="s">
        <v>569</v>
      </c>
      <c r="E21" s="56" t="s">
        <v>569</v>
      </c>
      <c r="F21" s="56" t="s">
        <v>570</v>
      </c>
      <c r="G21">
        <v>2.48</v>
      </c>
      <c r="H21" s="56" t="s">
        <v>571</v>
      </c>
      <c r="I21" s="56" t="s">
        <v>610</v>
      </c>
      <c r="J21">
        <v>0</v>
      </c>
      <c r="K21">
        <v>0</v>
      </c>
      <c r="L21">
        <v>1</v>
      </c>
      <c r="M21">
        <v>1044</v>
      </c>
      <c r="N21" s="56" t="s">
        <v>611</v>
      </c>
      <c r="O21">
        <v>1</v>
      </c>
      <c r="P21" s="59">
        <v>8.6999999999999993</v>
      </c>
    </row>
    <row r="22" spans="1:16" x14ac:dyDescent="0.25">
      <c r="A22">
        <v>1045</v>
      </c>
      <c r="B22">
        <v>1045</v>
      </c>
      <c r="C22" s="56" t="s">
        <v>19</v>
      </c>
      <c r="D22" s="56" t="s">
        <v>569</v>
      </c>
      <c r="E22" s="56" t="s">
        <v>569</v>
      </c>
      <c r="F22" s="56" t="s">
        <v>570</v>
      </c>
      <c r="G22">
        <v>2.92</v>
      </c>
      <c r="H22" s="56" t="s">
        <v>571</v>
      </c>
      <c r="I22" s="56" t="s">
        <v>612</v>
      </c>
      <c r="J22">
        <v>0</v>
      </c>
      <c r="K22">
        <v>0</v>
      </c>
      <c r="L22">
        <v>1</v>
      </c>
      <c r="M22">
        <v>1045</v>
      </c>
      <c r="N22" s="56" t="s">
        <v>613</v>
      </c>
      <c r="O22">
        <v>1</v>
      </c>
      <c r="P22" s="59">
        <v>10.199999999999999</v>
      </c>
    </row>
    <row r="23" spans="1:16" x14ac:dyDescent="0.25">
      <c r="A23">
        <v>1046</v>
      </c>
      <c r="B23">
        <v>1046</v>
      </c>
      <c r="C23" s="56" t="s">
        <v>22</v>
      </c>
      <c r="D23" s="56" t="s">
        <v>569</v>
      </c>
      <c r="E23" s="56" t="s">
        <v>569</v>
      </c>
      <c r="F23" s="56" t="s">
        <v>570</v>
      </c>
      <c r="G23">
        <v>3.12</v>
      </c>
      <c r="H23" s="56" t="s">
        <v>571</v>
      </c>
      <c r="I23" s="56" t="s">
        <v>614</v>
      </c>
      <c r="J23">
        <v>0</v>
      </c>
      <c r="K23">
        <v>0</v>
      </c>
      <c r="L23">
        <v>1</v>
      </c>
      <c r="M23">
        <v>1046</v>
      </c>
      <c r="N23" s="56" t="s">
        <v>615</v>
      </c>
      <c r="O23">
        <v>1</v>
      </c>
      <c r="P23" s="59">
        <v>10.9</v>
      </c>
    </row>
    <row r="24" spans="1:16" x14ac:dyDescent="0.25">
      <c r="A24">
        <v>1047</v>
      </c>
      <c r="B24">
        <v>1047</v>
      </c>
      <c r="C24" s="56" t="s">
        <v>25</v>
      </c>
      <c r="D24" s="56" t="s">
        <v>569</v>
      </c>
      <c r="E24" s="56" t="s">
        <v>569</v>
      </c>
      <c r="F24" s="56" t="s">
        <v>570</v>
      </c>
      <c r="G24">
        <v>3.32</v>
      </c>
      <c r="H24" s="56" t="s">
        <v>571</v>
      </c>
      <c r="I24" s="56" t="s">
        <v>616</v>
      </c>
      <c r="J24">
        <v>0</v>
      </c>
      <c r="K24">
        <v>0</v>
      </c>
      <c r="L24">
        <v>1</v>
      </c>
      <c r="M24">
        <v>1047</v>
      </c>
      <c r="N24" s="56" t="s">
        <v>617</v>
      </c>
      <c r="O24">
        <v>1</v>
      </c>
      <c r="P24" s="59">
        <v>11.6</v>
      </c>
    </row>
    <row r="25" spans="1:16" x14ac:dyDescent="0.25">
      <c r="A25">
        <v>1048</v>
      </c>
      <c r="B25">
        <v>1048</v>
      </c>
      <c r="C25" s="56" t="s">
        <v>28</v>
      </c>
      <c r="D25" s="56" t="s">
        <v>569</v>
      </c>
      <c r="E25" s="56" t="s">
        <v>569</v>
      </c>
      <c r="F25" s="56" t="s">
        <v>570</v>
      </c>
      <c r="G25">
        <v>3.6</v>
      </c>
      <c r="H25" s="56" t="s">
        <v>571</v>
      </c>
      <c r="I25" s="56" t="s">
        <v>618</v>
      </c>
      <c r="J25">
        <v>0</v>
      </c>
      <c r="K25">
        <v>0</v>
      </c>
      <c r="L25">
        <v>1</v>
      </c>
      <c r="M25">
        <v>1048</v>
      </c>
      <c r="N25" s="56" t="s">
        <v>619</v>
      </c>
      <c r="O25">
        <v>1</v>
      </c>
      <c r="P25" s="59">
        <v>12.6</v>
      </c>
    </row>
    <row r="26" spans="1:16" x14ac:dyDescent="0.25">
      <c r="A26">
        <v>1061</v>
      </c>
      <c r="B26">
        <v>1061</v>
      </c>
      <c r="C26" s="56" t="s">
        <v>620</v>
      </c>
      <c r="D26" s="56" t="s">
        <v>569</v>
      </c>
      <c r="E26" s="56" t="s">
        <v>569</v>
      </c>
      <c r="F26" s="56" t="s">
        <v>570</v>
      </c>
      <c r="G26">
        <v>6.75</v>
      </c>
      <c r="H26" s="56" t="s">
        <v>571</v>
      </c>
      <c r="I26" s="56" t="s">
        <v>621</v>
      </c>
      <c r="J26">
        <v>0</v>
      </c>
      <c r="K26">
        <v>0</v>
      </c>
      <c r="L26">
        <v>1</v>
      </c>
      <c r="M26">
        <v>1061</v>
      </c>
      <c r="N26" s="56" t="s">
        <v>622</v>
      </c>
      <c r="O26">
        <v>1</v>
      </c>
      <c r="P26" s="59">
        <v>21</v>
      </c>
    </row>
    <row r="27" spans="1:16" x14ac:dyDescent="0.25">
      <c r="A27">
        <v>1062</v>
      </c>
      <c r="B27">
        <v>1062</v>
      </c>
      <c r="C27" s="56" t="s">
        <v>623</v>
      </c>
      <c r="D27" s="56" t="s">
        <v>569</v>
      </c>
      <c r="E27" s="56" t="s">
        <v>569</v>
      </c>
      <c r="F27" s="56" t="s">
        <v>570</v>
      </c>
      <c r="G27">
        <v>6.75</v>
      </c>
      <c r="H27" s="56" t="s">
        <v>571</v>
      </c>
      <c r="I27" s="56" t="s">
        <v>624</v>
      </c>
      <c r="J27">
        <v>0</v>
      </c>
      <c r="K27">
        <v>0</v>
      </c>
      <c r="L27">
        <v>1</v>
      </c>
      <c r="M27">
        <v>1062</v>
      </c>
      <c r="N27" s="56" t="s">
        <v>625</v>
      </c>
      <c r="O27">
        <v>1</v>
      </c>
      <c r="P27" s="59">
        <v>21</v>
      </c>
    </row>
    <row r="28" spans="1:16" x14ac:dyDescent="0.25">
      <c r="A28">
        <v>1063</v>
      </c>
      <c r="B28">
        <v>1063</v>
      </c>
      <c r="C28" s="56" t="s">
        <v>626</v>
      </c>
      <c r="D28" s="56" t="s">
        <v>569</v>
      </c>
      <c r="E28" s="56" t="s">
        <v>569</v>
      </c>
      <c r="F28" s="56" t="s">
        <v>570</v>
      </c>
      <c r="G28">
        <v>6.75</v>
      </c>
      <c r="H28" s="56" t="s">
        <v>571</v>
      </c>
      <c r="I28" s="56" t="s">
        <v>627</v>
      </c>
      <c r="J28">
        <v>0</v>
      </c>
      <c r="K28">
        <v>0</v>
      </c>
      <c r="L28">
        <v>1</v>
      </c>
      <c r="M28">
        <v>1063</v>
      </c>
      <c r="N28" s="56" t="s">
        <v>628</v>
      </c>
      <c r="O28">
        <v>1</v>
      </c>
      <c r="P28" s="59">
        <v>21</v>
      </c>
    </row>
    <row r="29" spans="1:16" x14ac:dyDescent="0.25">
      <c r="A29">
        <v>1064</v>
      </c>
      <c r="B29">
        <v>1064</v>
      </c>
      <c r="C29" s="56" t="s">
        <v>629</v>
      </c>
      <c r="D29" s="56" t="s">
        <v>569</v>
      </c>
      <c r="E29" s="56" t="s">
        <v>569</v>
      </c>
      <c r="F29" s="56" t="s">
        <v>570</v>
      </c>
      <c r="G29">
        <v>7.75</v>
      </c>
      <c r="H29" s="56" t="s">
        <v>571</v>
      </c>
      <c r="I29" s="56" t="s">
        <v>630</v>
      </c>
      <c r="J29">
        <v>0</v>
      </c>
      <c r="K29">
        <v>0</v>
      </c>
      <c r="L29">
        <v>1</v>
      </c>
      <c r="M29">
        <v>1064</v>
      </c>
      <c r="N29" s="56" t="s">
        <v>631</v>
      </c>
      <c r="O29">
        <v>1</v>
      </c>
      <c r="P29" s="59">
        <v>24</v>
      </c>
    </row>
    <row r="30" spans="1:16" x14ac:dyDescent="0.25">
      <c r="A30">
        <v>1065</v>
      </c>
      <c r="B30">
        <v>1065</v>
      </c>
      <c r="C30" s="56" t="s">
        <v>632</v>
      </c>
      <c r="D30" s="56" t="s">
        <v>569</v>
      </c>
      <c r="E30" s="56" t="s">
        <v>569</v>
      </c>
      <c r="F30" s="56" t="s">
        <v>570</v>
      </c>
      <c r="G30">
        <v>9.25</v>
      </c>
      <c r="H30" s="56" t="s">
        <v>571</v>
      </c>
      <c r="I30" s="56" t="s">
        <v>633</v>
      </c>
      <c r="J30">
        <v>0</v>
      </c>
      <c r="K30">
        <v>0</v>
      </c>
      <c r="L30">
        <v>1</v>
      </c>
      <c r="M30">
        <v>1065</v>
      </c>
      <c r="N30" s="56" t="s">
        <v>634</v>
      </c>
      <c r="O30">
        <v>1</v>
      </c>
      <c r="P30" s="59">
        <v>28</v>
      </c>
    </row>
    <row r="31" spans="1:16" x14ac:dyDescent="0.25">
      <c r="A31">
        <v>1066</v>
      </c>
      <c r="B31">
        <v>1066</v>
      </c>
      <c r="C31" s="56" t="s">
        <v>635</v>
      </c>
      <c r="D31" s="56" t="s">
        <v>569</v>
      </c>
      <c r="E31" s="56" t="s">
        <v>569</v>
      </c>
      <c r="F31" s="56" t="s">
        <v>570</v>
      </c>
      <c r="G31">
        <v>10.5</v>
      </c>
      <c r="H31" s="56" t="s">
        <v>571</v>
      </c>
      <c r="I31" s="56" t="s">
        <v>636</v>
      </c>
      <c r="J31">
        <v>0</v>
      </c>
      <c r="K31">
        <v>0</v>
      </c>
      <c r="L31">
        <v>1</v>
      </c>
      <c r="M31">
        <v>1066</v>
      </c>
      <c r="N31" s="56" t="s">
        <v>637</v>
      </c>
      <c r="O31">
        <v>1</v>
      </c>
      <c r="P31" s="59">
        <v>32</v>
      </c>
    </row>
    <row r="32" spans="1:16" x14ac:dyDescent="0.25">
      <c r="A32">
        <v>1067</v>
      </c>
      <c r="B32">
        <v>1067</v>
      </c>
      <c r="C32" s="56" t="s">
        <v>638</v>
      </c>
      <c r="D32" s="56" t="s">
        <v>569</v>
      </c>
      <c r="E32" s="56" t="s">
        <v>569</v>
      </c>
      <c r="F32" s="56" t="s">
        <v>570</v>
      </c>
      <c r="G32">
        <v>16.8</v>
      </c>
      <c r="H32" s="56" t="s">
        <v>639</v>
      </c>
      <c r="I32" s="56" t="s">
        <v>640</v>
      </c>
      <c r="J32">
        <v>0</v>
      </c>
      <c r="K32">
        <v>0</v>
      </c>
      <c r="L32">
        <v>1</v>
      </c>
      <c r="M32">
        <v>1067</v>
      </c>
      <c r="N32" s="56" t="s">
        <v>641</v>
      </c>
      <c r="O32">
        <v>1</v>
      </c>
      <c r="P32" s="59">
        <v>33.5</v>
      </c>
    </row>
    <row r="33" spans="1:16" x14ac:dyDescent="0.25">
      <c r="A33">
        <v>1068</v>
      </c>
      <c r="B33">
        <v>1068</v>
      </c>
      <c r="C33" s="56" t="s">
        <v>642</v>
      </c>
      <c r="D33" s="56" t="s">
        <v>569</v>
      </c>
      <c r="E33" s="56" t="s">
        <v>569</v>
      </c>
      <c r="F33" s="56" t="s">
        <v>570</v>
      </c>
      <c r="G33">
        <v>16.8</v>
      </c>
      <c r="H33" s="56" t="s">
        <v>639</v>
      </c>
      <c r="I33" s="56" t="s">
        <v>643</v>
      </c>
      <c r="J33">
        <v>0</v>
      </c>
      <c r="K33">
        <v>0</v>
      </c>
      <c r="L33">
        <v>1</v>
      </c>
      <c r="M33">
        <v>1068</v>
      </c>
      <c r="N33" s="56" t="s">
        <v>644</v>
      </c>
      <c r="O33">
        <v>1</v>
      </c>
      <c r="P33" s="59">
        <v>36.5</v>
      </c>
    </row>
    <row r="34" spans="1:16" x14ac:dyDescent="0.25">
      <c r="A34">
        <v>1071</v>
      </c>
      <c r="B34">
        <v>1071</v>
      </c>
      <c r="C34" s="56" t="s">
        <v>645</v>
      </c>
      <c r="D34" s="56" t="s">
        <v>569</v>
      </c>
      <c r="E34" s="56" t="s">
        <v>569</v>
      </c>
      <c r="F34" s="56" t="s">
        <v>570</v>
      </c>
      <c r="G34">
        <v>8.15</v>
      </c>
      <c r="H34" s="56" t="s">
        <v>571</v>
      </c>
      <c r="I34" s="56" t="s">
        <v>646</v>
      </c>
      <c r="J34">
        <v>0</v>
      </c>
      <c r="K34">
        <v>0</v>
      </c>
      <c r="L34">
        <v>1</v>
      </c>
      <c r="M34">
        <v>1071</v>
      </c>
      <c r="N34" s="56" t="s">
        <v>647</v>
      </c>
      <c r="O34">
        <v>1</v>
      </c>
      <c r="P34" s="59">
        <v>25</v>
      </c>
    </row>
    <row r="35" spans="1:16" x14ac:dyDescent="0.25">
      <c r="A35">
        <v>1072</v>
      </c>
      <c r="B35">
        <v>1072</v>
      </c>
      <c r="C35" s="56" t="s">
        <v>648</v>
      </c>
      <c r="D35" s="56" t="s">
        <v>569</v>
      </c>
      <c r="E35" s="56" t="s">
        <v>569</v>
      </c>
      <c r="F35" s="56" t="s">
        <v>570</v>
      </c>
      <c r="G35">
        <v>8.15</v>
      </c>
      <c r="H35" s="56" t="s">
        <v>571</v>
      </c>
      <c r="I35" s="56" t="s">
        <v>649</v>
      </c>
      <c r="J35">
        <v>0</v>
      </c>
      <c r="K35">
        <v>0</v>
      </c>
      <c r="L35">
        <v>1</v>
      </c>
      <c r="M35">
        <v>1072</v>
      </c>
      <c r="N35" s="56" t="s">
        <v>650</v>
      </c>
      <c r="O35">
        <v>1</v>
      </c>
      <c r="P35" s="59">
        <v>25</v>
      </c>
    </row>
    <row r="36" spans="1:16" x14ac:dyDescent="0.25">
      <c r="A36">
        <v>1073</v>
      </c>
      <c r="B36">
        <v>1073</v>
      </c>
      <c r="C36" s="56" t="s">
        <v>651</v>
      </c>
      <c r="D36" s="56" t="s">
        <v>569</v>
      </c>
      <c r="E36" s="56" t="s">
        <v>569</v>
      </c>
      <c r="F36" s="56" t="s">
        <v>570</v>
      </c>
      <c r="G36">
        <v>8.15</v>
      </c>
      <c r="H36" s="56" t="s">
        <v>571</v>
      </c>
      <c r="I36" s="56" t="s">
        <v>652</v>
      </c>
      <c r="J36">
        <v>0</v>
      </c>
      <c r="K36">
        <v>0</v>
      </c>
      <c r="L36">
        <v>1</v>
      </c>
      <c r="M36">
        <v>1073</v>
      </c>
      <c r="N36" s="56" t="s">
        <v>653</v>
      </c>
      <c r="O36">
        <v>1</v>
      </c>
      <c r="P36" s="59">
        <v>25</v>
      </c>
    </row>
    <row r="37" spans="1:16" x14ac:dyDescent="0.25">
      <c r="A37">
        <v>1074</v>
      </c>
      <c r="B37">
        <v>1074</v>
      </c>
      <c r="C37" s="56" t="s">
        <v>654</v>
      </c>
      <c r="D37" s="56" t="s">
        <v>569</v>
      </c>
      <c r="E37" s="56" t="s">
        <v>569</v>
      </c>
      <c r="F37" s="56" t="s">
        <v>570</v>
      </c>
      <c r="G37">
        <v>9.25</v>
      </c>
      <c r="H37" s="56" t="s">
        <v>571</v>
      </c>
      <c r="I37" s="56" t="s">
        <v>655</v>
      </c>
      <c r="J37">
        <v>0</v>
      </c>
      <c r="K37">
        <v>0</v>
      </c>
      <c r="L37">
        <v>1</v>
      </c>
      <c r="M37">
        <v>1074</v>
      </c>
      <c r="N37" s="56" t="s">
        <v>656</v>
      </c>
      <c r="O37">
        <v>1</v>
      </c>
      <c r="P37" s="59">
        <v>28</v>
      </c>
    </row>
    <row r="38" spans="1:16" x14ac:dyDescent="0.25">
      <c r="A38">
        <v>1075</v>
      </c>
      <c r="B38">
        <v>1075</v>
      </c>
      <c r="C38" s="56" t="s">
        <v>657</v>
      </c>
      <c r="D38" s="56" t="s">
        <v>569</v>
      </c>
      <c r="E38" s="56" t="s">
        <v>569</v>
      </c>
      <c r="F38" s="56" t="s">
        <v>570</v>
      </c>
      <c r="G38">
        <v>10</v>
      </c>
      <c r="H38" s="56" t="s">
        <v>571</v>
      </c>
      <c r="I38" s="56" t="s">
        <v>658</v>
      </c>
      <c r="J38">
        <v>0</v>
      </c>
      <c r="K38">
        <v>0</v>
      </c>
      <c r="L38">
        <v>1</v>
      </c>
      <c r="M38">
        <v>1075</v>
      </c>
      <c r="N38" s="56" t="s">
        <v>659</v>
      </c>
      <c r="O38">
        <v>1</v>
      </c>
      <c r="P38" s="59">
        <v>32</v>
      </c>
    </row>
    <row r="39" spans="1:16" x14ac:dyDescent="0.25">
      <c r="A39">
        <v>1076</v>
      </c>
      <c r="B39">
        <v>1076</v>
      </c>
      <c r="C39" s="56" t="s">
        <v>660</v>
      </c>
      <c r="D39" s="56" t="s">
        <v>569</v>
      </c>
      <c r="E39" s="56" t="s">
        <v>569</v>
      </c>
      <c r="F39" s="56" t="s">
        <v>570</v>
      </c>
      <c r="G39">
        <v>11</v>
      </c>
      <c r="H39" s="56" t="s">
        <v>571</v>
      </c>
      <c r="I39" s="56" t="s">
        <v>661</v>
      </c>
      <c r="J39">
        <v>0</v>
      </c>
      <c r="K39">
        <v>0</v>
      </c>
      <c r="L39">
        <v>1</v>
      </c>
      <c r="M39">
        <v>1076</v>
      </c>
      <c r="N39" s="56" t="s">
        <v>662</v>
      </c>
      <c r="O39">
        <v>1</v>
      </c>
      <c r="P39" s="59">
        <v>34.5</v>
      </c>
    </row>
    <row r="40" spans="1:16" x14ac:dyDescent="0.25">
      <c r="A40">
        <v>1077</v>
      </c>
      <c r="B40">
        <v>1077</v>
      </c>
      <c r="C40" s="56" t="s">
        <v>663</v>
      </c>
      <c r="D40" s="56" t="s">
        <v>569</v>
      </c>
      <c r="E40" s="56" t="s">
        <v>569</v>
      </c>
      <c r="F40" s="56" t="s">
        <v>570</v>
      </c>
      <c r="G40">
        <v>16.78</v>
      </c>
      <c r="H40" s="56" t="s">
        <v>639</v>
      </c>
      <c r="I40" s="56" t="s">
        <v>664</v>
      </c>
      <c r="J40">
        <v>0</v>
      </c>
      <c r="K40">
        <v>0</v>
      </c>
      <c r="L40">
        <v>1</v>
      </c>
      <c r="M40">
        <v>1077</v>
      </c>
      <c r="N40" s="56" t="s">
        <v>665</v>
      </c>
      <c r="O40">
        <v>1</v>
      </c>
      <c r="P40" s="59">
        <v>35.5</v>
      </c>
    </row>
    <row r="41" spans="1:16" x14ac:dyDescent="0.25">
      <c r="A41">
        <v>1078</v>
      </c>
      <c r="B41">
        <v>1078</v>
      </c>
      <c r="C41" s="56" t="s">
        <v>666</v>
      </c>
      <c r="D41" s="56" t="s">
        <v>569</v>
      </c>
      <c r="E41" s="56" t="s">
        <v>569</v>
      </c>
      <c r="F41" s="56" t="s">
        <v>570</v>
      </c>
      <c r="G41">
        <v>16.78</v>
      </c>
      <c r="H41" s="56" t="s">
        <v>639</v>
      </c>
      <c r="I41" s="56" t="s">
        <v>667</v>
      </c>
      <c r="J41">
        <v>0</v>
      </c>
      <c r="K41">
        <v>0</v>
      </c>
      <c r="L41">
        <v>1</v>
      </c>
      <c r="M41">
        <v>1078</v>
      </c>
      <c r="N41" s="56" t="s">
        <v>668</v>
      </c>
      <c r="O41">
        <v>1</v>
      </c>
      <c r="P41" s="59">
        <v>38.5</v>
      </c>
    </row>
    <row r="42" spans="1:16" x14ac:dyDescent="0.25">
      <c r="A42">
        <v>1111</v>
      </c>
      <c r="B42">
        <v>1111</v>
      </c>
      <c r="C42" s="56" t="s">
        <v>669</v>
      </c>
      <c r="D42" s="56" t="s">
        <v>569</v>
      </c>
      <c r="E42" s="56" t="s">
        <v>569</v>
      </c>
      <c r="F42" s="56" t="s">
        <v>570</v>
      </c>
      <c r="G42">
        <v>0.47</v>
      </c>
      <c r="H42" s="56" t="s">
        <v>571</v>
      </c>
      <c r="I42" s="56" t="s">
        <v>670</v>
      </c>
      <c r="J42">
        <v>0</v>
      </c>
      <c r="K42">
        <v>0</v>
      </c>
      <c r="L42">
        <v>1</v>
      </c>
      <c r="M42">
        <v>1111</v>
      </c>
      <c r="N42" s="56" t="s">
        <v>671</v>
      </c>
      <c r="O42">
        <v>1</v>
      </c>
      <c r="P42" s="59">
        <v>2.1</v>
      </c>
    </row>
    <row r="43" spans="1:16" x14ac:dyDescent="0.25">
      <c r="A43">
        <v>1201</v>
      </c>
      <c r="B43">
        <v>1201</v>
      </c>
      <c r="C43" s="56" t="s">
        <v>33</v>
      </c>
      <c r="D43" s="56" t="s">
        <v>569</v>
      </c>
      <c r="E43" s="56" t="s">
        <v>569</v>
      </c>
      <c r="F43" s="56" t="s">
        <v>570</v>
      </c>
      <c r="G43">
        <v>1.59</v>
      </c>
      <c r="H43" s="56" t="s">
        <v>571</v>
      </c>
      <c r="I43" s="56" t="s">
        <v>672</v>
      </c>
      <c r="J43">
        <v>0</v>
      </c>
      <c r="K43">
        <v>0</v>
      </c>
      <c r="L43">
        <v>1</v>
      </c>
      <c r="M43">
        <v>1201</v>
      </c>
      <c r="N43" s="56" t="s">
        <v>673</v>
      </c>
      <c r="O43">
        <v>1</v>
      </c>
      <c r="P43" s="59">
        <v>5.05</v>
      </c>
    </row>
    <row r="44" spans="1:16" x14ac:dyDescent="0.25">
      <c r="A44">
        <v>1202</v>
      </c>
      <c r="B44">
        <v>1202</v>
      </c>
      <c r="C44" s="56" t="s">
        <v>34</v>
      </c>
      <c r="D44" s="56" t="s">
        <v>569</v>
      </c>
      <c r="E44" s="56" t="s">
        <v>569</v>
      </c>
      <c r="F44" s="56" t="s">
        <v>570</v>
      </c>
      <c r="G44">
        <v>1.59</v>
      </c>
      <c r="H44" s="56" t="s">
        <v>571</v>
      </c>
      <c r="I44" s="56" t="s">
        <v>674</v>
      </c>
      <c r="J44">
        <v>0</v>
      </c>
      <c r="K44">
        <v>0</v>
      </c>
      <c r="L44">
        <v>1</v>
      </c>
      <c r="M44">
        <v>1202</v>
      </c>
      <c r="N44" s="56" t="s">
        <v>675</v>
      </c>
      <c r="O44">
        <v>1</v>
      </c>
      <c r="P44" s="59">
        <v>5.05</v>
      </c>
    </row>
    <row r="45" spans="1:16" x14ac:dyDescent="0.25">
      <c r="A45">
        <v>1203</v>
      </c>
      <c r="B45">
        <v>1203</v>
      </c>
      <c r="C45" s="56" t="s">
        <v>35</v>
      </c>
      <c r="D45" s="56" t="s">
        <v>569</v>
      </c>
      <c r="E45" s="56" t="s">
        <v>569</v>
      </c>
      <c r="F45" s="56" t="s">
        <v>570</v>
      </c>
      <c r="G45">
        <v>1.59</v>
      </c>
      <c r="H45" s="56" t="s">
        <v>571</v>
      </c>
      <c r="I45" s="56" t="s">
        <v>676</v>
      </c>
      <c r="J45">
        <v>0</v>
      </c>
      <c r="K45">
        <v>0</v>
      </c>
      <c r="L45">
        <v>1</v>
      </c>
      <c r="M45">
        <v>1203</v>
      </c>
      <c r="N45" s="56" t="s">
        <v>677</v>
      </c>
      <c r="O45">
        <v>1</v>
      </c>
      <c r="P45" s="59">
        <v>5.05</v>
      </c>
    </row>
    <row r="46" spans="1:16" x14ac:dyDescent="0.25">
      <c r="A46">
        <v>1204</v>
      </c>
      <c r="B46">
        <v>1204</v>
      </c>
      <c r="C46" s="56" t="s">
        <v>36</v>
      </c>
      <c r="D46" s="56" t="s">
        <v>569</v>
      </c>
      <c r="E46" s="56" t="s">
        <v>569</v>
      </c>
      <c r="F46" s="56" t="s">
        <v>570</v>
      </c>
      <c r="G46">
        <v>1.59</v>
      </c>
      <c r="H46" s="56" t="s">
        <v>571</v>
      </c>
      <c r="I46" s="56" t="s">
        <v>678</v>
      </c>
      <c r="J46">
        <v>0</v>
      </c>
      <c r="K46">
        <v>0</v>
      </c>
      <c r="L46">
        <v>1</v>
      </c>
      <c r="M46">
        <v>1204</v>
      </c>
      <c r="N46" s="56" t="s">
        <v>679</v>
      </c>
      <c r="O46">
        <v>1</v>
      </c>
      <c r="P46" s="59">
        <v>5.05</v>
      </c>
    </row>
    <row r="47" spans="1:16" x14ac:dyDescent="0.25">
      <c r="A47">
        <v>1205</v>
      </c>
      <c r="B47">
        <v>1205</v>
      </c>
      <c r="C47" s="56" t="s">
        <v>37</v>
      </c>
      <c r="D47" s="56" t="s">
        <v>569</v>
      </c>
      <c r="E47" s="56" t="s">
        <v>569</v>
      </c>
      <c r="F47" s="56" t="s">
        <v>570</v>
      </c>
      <c r="G47">
        <v>2.35</v>
      </c>
      <c r="H47" s="56" t="s">
        <v>571</v>
      </c>
      <c r="I47" s="56" t="s">
        <v>680</v>
      </c>
      <c r="J47">
        <v>0</v>
      </c>
      <c r="K47">
        <v>0</v>
      </c>
      <c r="L47">
        <v>1</v>
      </c>
      <c r="M47">
        <v>1205</v>
      </c>
      <c r="N47" s="56" t="s">
        <v>681</v>
      </c>
      <c r="O47">
        <v>1</v>
      </c>
      <c r="P47" s="59">
        <v>7.25</v>
      </c>
    </row>
    <row r="48" spans="1:16" x14ac:dyDescent="0.25">
      <c r="A48">
        <v>1206</v>
      </c>
      <c r="B48">
        <v>1206</v>
      </c>
      <c r="C48" s="56" t="s">
        <v>38</v>
      </c>
      <c r="D48" s="56" t="s">
        <v>569</v>
      </c>
      <c r="E48" s="56" t="s">
        <v>569</v>
      </c>
      <c r="F48" s="56" t="s">
        <v>570</v>
      </c>
      <c r="G48">
        <v>2.35</v>
      </c>
      <c r="H48" s="56" t="s">
        <v>571</v>
      </c>
      <c r="I48" s="56" t="s">
        <v>682</v>
      </c>
      <c r="J48">
        <v>0</v>
      </c>
      <c r="K48">
        <v>0</v>
      </c>
      <c r="L48">
        <v>1</v>
      </c>
      <c r="M48">
        <v>1206</v>
      </c>
      <c r="N48" s="56" t="s">
        <v>683</v>
      </c>
      <c r="O48">
        <v>1</v>
      </c>
      <c r="P48" s="59">
        <v>7.25</v>
      </c>
    </row>
    <row r="49" spans="1:16" x14ac:dyDescent="0.25">
      <c r="A49">
        <v>1207</v>
      </c>
      <c r="B49">
        <v>1207</v>
      </c>
      <c r="C49" s="56" t="s">
        <v>39</v>
      </c>
      <c r="D49" s="56" t="s">
        <v>569</v>
      </c>
      <c r="E49" s="56" t="s">
        <v>569</v>
      </c>
      <c r="F49" s="56" t="s">
        <v>570</v>
      </c>
      <c r="G49">
        <v>2.7</v>
      </c>
      <c r="H49" s="56" t="s">
        <v>571</v>
      </c>
      <c r="I49" s="56" t="s">
        <v>684</v>
      </c>
      <c r="J49">
        <v>0</v>
      </c>
      <c r="K49">
        <v>0</v>
      </c>
      <c r="L49">
        <v>1</v>
      </c>
      <c r="M49">
        <v>1207</v>
      </c>
      <c r="N49" s="56" t="s">
        <v>685</v>
      </c>
      <c r="O49">
        <v>1</v>
      </c>
      <c r="P49" s="59">
        <v>8.25</v>
      </c>
    </row>
    <row r="50" spans="1:16" x14ac:dyDescent="0.25">
      <c r="A50">
        <v>1208</v>
      </c>
      <c r="B50">
        <v>1208</v>
      </c>
      <c r="C50" s="56" t="s">
        <v>40</v>
      </c>
      <c r="D50" s="56" t="s">
        <v>569</v>
      </c>
      <c r="E50" s="56" t="s">
        <v>569</v>
      </c>
      <c r="F50" s="56" t="s">
        <v>570</v>
      </c>
      <c r="G50">
        <v>3.35</v>
      </c>
      <c r="H50" s="56" t="s">
        <v>571</v>
      </c>
      <c r="I50" s="56" t="s">
        <v>686</v>
      </c>
      <c r="J50">
        <v>0</v>
      </c>
      <c r="K50">
        <v>0</v>
      </c>
      <c r="L50">
        <v>1</v>
      </c>
      <c r="M50">
        <v>1208</v>
      </c>
      <c r="N50" s="56" t="s">
        <v>687</v>
      </c>
      <c r="O50">
        <v>1</v>
      </c>
      <c r="P50" s="59">
        <v>10.15</v>
      </c>
    </row>
    <row r="51" spans="1:16" x14ac:dyDescent="0.25">
      <c r="A51">
        <v>1209</v>
      </c>
      <c r="B51">
        <v>1209</v>
      </c>
      <c r="C51" s="56" t="s">
        <v>41</v>
      </c>
      <c r="D51" s="56" t="s">
        <v>569</v>
      </c>
      <c r="E51" s="56" t="s">
        <v>569</v>
      </c>
      <c r="F51" s="56" t="s">
        <v>570</v>
      </c>
      <c r="G51">
        <v>4.0199999999999996</v>
      </c>
      <c r="H51" s="56" t="s">
        <v>571</v>
      </c>
      <c r="I51" s="56" t="s">
        <v>688</v>
      </c>
      <c r="J51">
        <v>0</v>
      </c>
      <c r="K51">
        <v>0</v>
      </c>
      <c r="L51">
        <v>1</v>
      </c>
      <c r="M51">
        <v>1209</v>
      </c>
      <c r="N51" s="56" t="s">
        <v>689</v>
      </c>
      <c r="O51">
        <v>1</v>
      </c>
      <c r="P51" s="59">
        <v>12.15</v>
      </c>
    </row>
    <row r="52" spans="1:16" x14ac:dyDescent="0.25">
      <c r="A52">
        <v>1301</v>
      </c>
      <c r="B52">
        <v>1301</v>
      </c>
      <c r="C52" s="56" t="s">
        <v>45</v>
      </c>
      <c r="D52" s="56" t="s">
        <v>569</v>
      </c>
      <c r="E52" s="56" t="s">
        <v>569</v>
      </c>
      <c r="F52" s="56" t="s">
        <v>570</v>
      </c>
      <c r="G52">
        <v>1.1499999999999999</v>
      </c>
      <c r="H52" s="56" t="s">
        <v>571</v>
      </c>
      <c r="I52" s="56" t="s">
        <v>690</v>
      </c>
      <c r="J52">
        <v>0</v>
      </c>
      <c r="K52">
        <v>0</v>
      </c>
      <c r="L52">
        <v>1</v>
      </c>
      <c r="M52">
        <v>1301</v>
      </c>
      <c r="N52" s="56" t="s">
        <v>691</v>
      </c>
      <c r="O52">
        <v>1</v>
      </c>
      <c r="P52" s="59">
        <v>4.3</v>
      </c>
    </row>
    <row r="53" spans="1:16" x14ac:dyDescent="0.25">
      <c r="A53">
        <v>1302</v>
      </c>
      <c r="B53">
        <v>1302</v>
      </c>
      <c r="C53" s="56" t="s">
        <v>47</v>
      </c>
      <c r="D53" s="56" t="s">
        <v>569</v>
      </c>
      <c r="E53" s="56" t="s">
        <v>569</v>
      </c>
      <c r="F53" s="56" t="s">
        <v>570</v>
      </c>
      <c r="G53">
        <v>1.1499999999999999</v>
      </c>
      <c r="H53" s="56" t="s">
        <v>571</v>
      </c>
      <c r="I53" s="56" t="s">
        <v>692</v>
      </c>
      <c r="J53">
        <v>0</v>
      </c>
      <c r="K53">
        <v>0</v>
      </c>
      <c r="L53">
        <v>1</v>
      </c>
      <c r="M53">
        <v>1302</v>
      </c>
      <c r="N53" s="56" t="s">
        <v>693</v>
      </c>
      <c r="O53">
        <v>1</v>
      </c>
      <c r="P53" s="59">
        <v>4.3</v>
      </c>
    </row>
    <row r="54" spans="1:16" x14ac:dyDescent="0.25">
      <c r="A54">
        <v>1303</v>
      </c>
      <c r="B54">
        <v>1303</v>
      </c>
      <c r="C54" s="56" t="s">
        <v>50</v>
      </c>
      <c r="D54" s="56" t="s">
        <v>569</v>
      </c>
      <c r="E54" s="56" t="s">
        <v>569</v>
      </c>
      <c r="F54" s="56" t="s">
        <v>570</v>
      </c>
      <c r="G54">
        <v>1.1499999999999999</v>
      </c>
      <c r="H54" s="56" t="s">
        <v>571</v>
      </c>
      <c r="I54" s="56" t="s">
        <v>694</v>
      </c>
      <c r="J54">
        <v>0</v>
      </c>
      <c r="K54">
        <v>0</v>
      </c>
      <c r="L54">
        <v>1</v>
      </c>
      <c r="M54">
        <v>1303</v>
      </c>
      <c r="N54" s="56" t="s">
        <v>695</v>
      </c>
      <c r="O54">
        <v>1</v>
      </c>
      <c r="P54" s="59">
        <v>4.3</v>
      </c>
    </row>
    <row r="55" spans="1:16" x14ac:dyDescent="0.25">
      <c r="A55">
        <v>1304</v>
      </c>
      <c r="B55">
        <v>1304</v>
      </c>
      <c r="C55" s="56" t="s">
        <v>53</v>
      </c>
      <c r="D55" s="56" t="s">
        <v>569</v>
      </c>
      <c r="E55" s="56" t="s">
        <v>569</v>
      </c>
      <c r="F55" s="56" t="s">
        <v>570</v>
      </c>
      <c r="G55">
        <v>1.1499999999999999</v>
      </c>
      <c r="H55" s="56" t="s">
        <v>571</v>
      </c>
      <c r="I55" s="56" t="s">
        <v>696</v>
      </c>
      <c r="J55">
        <v>0</v>
      </c>
      <c r="K55">
        <v>0</v>
      </c>
      <c r="L55">
        <v>1</v>
      </c>
      <c r="M55">
        <v>1304</v>
      </c>
      <c r="N55" s="56" t="s">
        <v>697</v>
      </c>
      <c r="O55">
        <v>1</v>
      </c>
      <c r="P55" s="59">
        <v>4.3</v>
      </c>
    </row>
    <row r="56" spans="1:16" x14ac:dyDescent="0.25">
      <c r="A56">
        <v>1305</v>
      </c>
      <c r="B56">
        <v>1305</v>
      </c>
      <c r="C56" s="56" t="s">
        <v>56</v>
      </c>
      <c r="D56" s="56" t="s">
        <v>569</v>
      </c>
      <c r="E56" s="56" t="s">
        <v>569</v>
      </c>
      <c r="F56" s="56" t="s">
        <v>570</v>
      </c>
      <c r="G56">
        <v>1.35</v>
      </c>
      <c r="H56" s="56" t="s">
        <v>571</v>
      </c>
      <c r="I56" s="56" t="s">
        <v>698</v>
      </c>
      <c r="J56">
        <v>0</v>
      </c>
      <c r="K56">
        <v>0</v>
      </c>
      <c r="L56">
        <v>1</v>
      </c>
      <c r="M56">
        <v>1305</v>
      </c>
      <c r="N56" s="56" t="s">
        <v>699</v>
      </c>
      <c r="O56">
        <v>1</v>
      </c>
      <c r="P56" s="59">
        <v>4.8</v>
      </c>
    </row>
    <row r="57" spans="1:16" x14ac:dyDescent="0.25">
      <c r="A57">
        <v>1306</v>
      </c>
      <c r="B57">
        <v>1306</v>
      </c>
      <c r="C57" s="56" t="s">
        <v>59</v>
      </c>
      <c r="D57" s="56" t="s">
        <v>569</v>
      </c>
      <c r="E57" s="56" t="s">
        <v>569</v>
      </c>
      <c r="F57" s="56" t="s">
        <v>570</v>
      </c>
      <c r="G57">
        <v>1.35</v>
      </c>
      <c r="H57" s="56" t="s">
        <v>571</v>
      </c>
      <c r="I57" s="56" t="s">
        <v>700</v>
      </c>
      <c r="J57">
        <v>0</v>
      </c>
      <c r="K57">
        <v>0</v>
      </c>
      <c r="L57">
        <v>1</v>
      </c>
      <c r="M57">
        <v>1306</v>
      </c>
      <c r="N57" s="56" t="s">
        <v>701</v>
      </c>
      <c r="O57">
        <v>1</v>
      </c>
      <c r="P57" s="59">
        <v>5.8</v>
      </c>
    </row>
    <row r="58" spans="1:16" x14ac:dyDescent="0.25">
      <c r="A58">
        <v>1307</v>
      </c>
      <c r="B58">
        <v>1307</v>
      </c>
      <c r="C58" s="56" t="s">
        <v>62</v>
      </c>
      <c r="D58" s="56" t="s">
        <v>569</v>
      </c>
      <c r="E58" s="56" t="s">
        <v>569</v>
      </c>
      <c r="F58" s="56" t="s">
        <v>570</v>
      </c>
      <c r="G58">
        <v>1.5</v>
      </c>
      <c r="H58" s="56" t="s">
        <v>571</v>
      </c>
      <c r="I58" s="56" t="s">
        <v>702</v>
      </c>
      <c r="J58">
        <v>0</v>
      </c>
      <c r="K58">
        <v>0</v>
      </c>
      <c r="L58">
        <v>1</v>
      </c>
      <c r="M58">
        <v>1307</v>
      </c>
      <c r="N58" s="56" t="s">
        <v>703</v>
      </c>
      <c r="O58">
        <v>1</v>
      </c>
      <c r="P58" s="59">
        <v>6.05</v>
      </c>
    </row>
    <row r="59" spans="1:16" x14ac:dyDescent="0.25">
      <c r="A59">
        <v>1308</v>
      </c>
      <c r="B59">
        <v>1308</v>
      </c>
      <c r="C59" s="56" t="s">
        <v>65</v>
      </c>
      <c r="D59" s="56" t="s">
        <v>569</v>
      </c>
      <c r="E59" s="56" t="s">
        <v>569</v>
      </c>
      <c r="F59" s="56" t="s">
        <v>570</v>
      </c>
      <c r="G59">
        <v>1.9</v>
      </c>
      <c r="H59" s="56" t="s">
        <v>571</v>
      </c>
      <c r="I59" s="56" t="s">
        <v>704</v>
      </c>
      <c r="J59">
        <v>0</v>
      </c>
      <c r="K59">
        <v>0</v>
      </c>
      <c r="L59">
        <v>1</v>
      </c>
      <c r="M59">
        <v>1308</v>
      </c>
      <c r="N59" s="56" t="s">
        <v>705</v>
      </c>
      <c r="O59">
        <v>1</v>
      </c>
      <c r="P59" s="59">
        <v>6.8</v>
      </c>
    </row>
    <row r="60" spans="1:16" x14ac:dyDescent="0.25">
      <c r="A60">
        <v>1309</v>
      </c>
      <c r="B60">
        <v>1309</v>
      </c>
      <c r="C60" s="56" t="s">
        <v>68</v>
      </c>
      <c r="D60" s="56" t="s">
        <v>569</v>
      </c>
      <c r="E60" s="56" t="s">
        <v>569</v>
      </c>
      <c r="F60" s="56" t="s">
        <v>570</v>
      </c>
      <c r="G60">
        <v>1.9</v>
      </c>
      <c r="H60" s="56" t="s">
        <v>571</v>
      </c>
      <c r="I60" s="56" t="s">
        <v>706</v>
      </c>
      <c r="J60">
        <v>0</v>
      </c>
      <c r="K60">
        <v>0</v>
      </c>
      <c r="L60">
        <v>1</v>
      </c>
      <c r="M60">
        <v>1309</v>
      </c>
      <c r="N60" s="56" t="s">
        <v>707</v>
      </c>
      <c r="O60">
        <v>1</v>
      </c>
      <c r="P60" s="59">
        <v>7.5</v>
      </c>
    </row>
    <row r="61" spans="1:16" x14ac:dyDescent="0.25">
      <c r="A61">
        <v>1400</v>
      </c>
      <c r="B61">
        <v>1400</v>
      </c>
      <c r="C61" s="56" t="s">
        <v>74</v>
      </c>
      <c r="D61" s="56" t="s">
        <v>569</v>
      </c>
      <c r="E61" s="56" t="s">
        <v>569</v>
      </c>
      <c r="F61" s="56" t="s">
        <v>570</v>
      </c>
      <c r="G61">
        <v>0.87</v>
      </c>
      <c r="H61" s="56" t="s">
        <v>571</v>
      </c>
      <c r="I61" s="56" t="s">
        <v>708</v>
      </c>
      <c r="J61">
        <v>0</v>
      </c>
      <c r="K61">
        <v>0</v>
      </c>
      <c r="L61">
        <v>1</v>
      </c>
      <c r="M61">
        <v>1400</v>
      </c>
      <c r="N61" s="56" t="s">
        <v>709</v>
      </c>
      <c r="O61">
        <v>1</v>
      </c>
      <c r="P61" s="59">
        <v>2.95</v>
      </c>
    </row>
    <row r="62" spans="1:16" x14ac:dyDescent="0.25">
      <c r="A62">
        <v>1401</v>
      </c>
      <c r="B62">
        <v>1401</v>
      </c>
      <c r="C62" s="56" t="s">
        <v>76</v>
      </c>
      <c r="D62" s="56" t="s">
        <v>569</v>
      </c>
      <c r="E62" s="56" t="s">
        <v>569</v>
      </c>
      <c r="F62" s="56" t="s">
        <v>570</v>
      </c>
      <c r="G62">
        <v>0.87</v>
      </c>
      <c r="H62" s="56" t="s">
        <v>571</v>
      </c>
      <c r="I62" s="56" t="s">
        <v>710</v>
      </c>
      <c r="J62">
        <v>0</v>
      </c>
      <c r="K62">
        <v>0</v>
      </c>
      <c r="L62">
        <v>1</v>
      </c>
      <c r="M62">
        <v>1401</v>
      </c>
      <c r="N62" s="56" t="s">
        <v>711</v>
      </c>
      <c r="O62">
        <v>1</v>
      </c>
      <c r="P62" s="59">
        <v>2.95</v>
      </c>
    </row>
    <row r="63" spans="1:16" x14ac:dyDescent="0.25">
      <c r="A63">
        <v>1402</v>
      </c>
      <c r="B63">
        <v>1402</v>
      </c>
      <c r="C63" s="56" t="s">
        <v>78</v>
      </c>
      <c r="D63" s="56" t="s">
        <v>569</v>
      </c>
      <c r="E63" s="56" t="s">
        <v>569</v>
      </c>
      <c r="F63" s="56" t="s">
        <v>570</v>
      </c>
      <c r="G63">
        <v>1.43</v>
      </c>
      <c r="H63" s="56" t="s">
        <v>639</v>
      </c>
      <c r="I63" s="56" t="s">
        <v>712</v>
      </c>
      <c r="J63">
        <v>0</v>
      </c>
      <c r="K63">
        <v>0</v>
      </c>
      <c r="L63">
        <v>1</v>
      </c>
      <c r="M63">
        <v>1402</v>
      </c>
      <c r="N63" s="56" t="s">
        <v>713</v>
      </c>
      <c r="O63">
        <v>1</v>
      </c>
      <c r="P63" s="59">
        <v>2.95</v>
      </c>
    </row>
    <row r="64" spans="1:16" x14ac:dyDescent="0.25">
      <c r="A64">
        <v>1403</v>
      </c>
      <c r="B64">
        <v>1403</v>
      </c>
      <c r="C64" s="56" t="s">
        <v>80</v>
      </c>
      <c r="D64" s="56" t="s">
        <v>569</v>
      </c>
      <c r="E64" s="56" t="s">
        <v>569</v>
      </c>
      <c r="F64" s="56" t="s">
        <v>570</v>
      </c>
      <c r="G64">
        <v>1.43</v>
      </c>
      <c r="H64" s="56" t="s">
        <v>714</v>
      </c>
      <c r="I64" s="56" t="s">
        <v>715</v>
      </c>
      <c r="J64">
        <v>0</v>
      </c>
      <c r="K64">
        <v>0</v>
      </c>
      <c r="L64">
        <v>1</v>
      </c>
      <c r="M64">
        <v>1403</v>
      </c>
      <c r="N64" s="56" t="s">
        <v>716</v>
      </c>
      <c r="O64">
        <v>1</v>
      </c>
      <c r="P64" s="59">
        <v>2.95</v>
      </c>
    </row>
    <row r="65" spans="1:16" x14ac:dyDescent="0.25">
      <c r="A65">
        <v>1404</v>
      </c>
      <c r="B65">
        <v>1404</v>
      </c>
      <c r="C65" s="56" t="s">
        <v>82</v>
      </c>
      <c r="D65" s="56" t="s">
        <v>569</v>
      </c>
      <c r="E65" s="56" t="s">
        <v>569</v>
      </c>
      <c r="F65" s="56" t="s">
        <v>570</v>
      </c>
      <c r="G65">
        <v>0.87</v>
      </c>
      <c r="H65" s="56" t="s">
        <v>571</v>
      </c>
      <c r="I65" s="56" t="s">
        <v>717</v>
      </c>
      <c r="J65">
        <v>0</v>
      </c>
      <c r="K65">
        <v>0</v>
      </c>
      <c r="L65">
        <v>1</v>
      </c>
      <c r="M65">
        <v>1404</v>
      </c>
      <c r="N65" s="56" t="s">
        <v>718</v>
      </c>
      <c r="O65">
        <v>1</v>
      </c>
      <c r="P65" s="59">
        <v>3.05</v>
      </c>
    </row>
    <row r="66" spans="1:16" x14ac:dyDescent="0.25">
      <c r="A66">
        <v>1405</v>
      </c>
      <c r="B66">
        <v>1405</v>
      </c>
      <c r="C66" s="56" t="s">
        <v>84</v>
      </c>
      <c r="D66" s="56" t="s">
        <v>569</v>
      </c>
      <c r="E66" s="56" t="s">
        <v>569</v>
      </c>
      <c r="F66" s="56" t="s">
        <v>570</v>
      </c>
      <c r="G66">
        <v>2.4700000000000002</v>
      </c>
      <c r="H66" s="56" t="s">
        <v>639</v>
      </c>
      <c r="I66" s="56" t="s">
        <v>719</v>
      </c>
      <c r="J66">
        <v>0</v>
      </c>
      <c r="K66">
        <v>0</v>
      </c>
      <c r="L66">
        <v>1</v>
      </c>
      <c r="M66">
        <v>1405</v>
      </c>
      <c r="N66" s="56" t="s">
        <v>720</v>
      </c>
      <c r="O66">
        <v>1</v>
      </c>
      <c r="P66" s="59">
        <v>3.3</v>
      </c>
    </row>
    <row r="67" spans="1:16" x14ac:dyDescent="0.25">
      <c r="A67">
        <v>1406</v>
      </c>
      <c r="B67">
        <v>1406</v>
      </c>
      <c r="C67" s="56" t="s">
        <v>1735</v>
      </c>
      <c r="D67" s="56" t="s">
        <v>569</v>
      </c>
      <c r="E67" s="56" t="s">
        <v>569</v>
      </c>
      <c r="F67" s="56" t="s">
        <v>570</v>
      </c>
      <c r="G67">
        <v>1</v>
      </c>
      <c r="H67" s="56" t="s">
        <v>571</v>
      </c>
      <c r="I67" s="56" t="s">
        <v>1736</v>
      </c>
      <c r="J67">
        <v>0</v>
      </c>
      <c r="K67">
        <v>0</v>
      </c>
      <c r="L67">
        <v>1</v>
      </c>
      <c r="M67">
        <v>1406</v>
      </c>
      <c r="N67" s="56" t="s">
        <v>1737</v>
      </c>
      <c r="O67">
        <v>1</v>
      </c>
      <c r="P67" s="59">
        <v>3.3</v>
      </c>
    </row>
    <row r="68" spans="1:16" x14ac:dyDescent="0.25">
      <c r="A68">
        <v>1407</v>
      </c>
      <c r="B68">
        <v>1407</v>
      </c>
      <c r="C68" s="56" t="s">
        <v>87</v>
      </c>
      <c r="D68" s="56" t="s">
        <v>569</v>
      </c>
      <c r="E68" s="56" t="s">
        <v>569</v>
      </c>
      <c r="F68" s="56" t="s">
        <v>570</v>
      </c>
      <c r="G68">
        <v>1</v>
      </c>
      <c r="H68" s="56" t="s">
        <v>571</v>
      </c>
      <c r="I68" s="56" t="s">
        <v>721</v>
      </c>
      <c r="J68">
        <v>0</v>
      </c>
      <c r="K68">
        <v>0</v>
      </c>
      <c r="L68">
        <v>1</v>
      </c>
      <c r="M68">
        <v>1407</v>
      </c>
      <c r="N68" s="56" t="s">
        <v>722</v>
      </c>
      <c r="O68">
        <v>1</v>
      </c>
      <c r="P68" s="59">
        <v>3.3</v>
      </c>
    </row>
    <row r="69" spans="1:16" x14ac:dyDescent="0.25">
      <c r="A69">
        <v>1408</v>
      </c>
      <c r="B69">
        <v>1408</v>
      </c>
      <c r="C69" s="56" t="s">
        <v>89</v>
      </c>
      <c r="D69" s="56" t="s">
        <v>569</v>
      </c>
      <c r="E69" s="56" t="s">
        <v>569</v>
      </c>
      <c r="F69" s="56" t="s">
        <v>570</v>
      </c>
      <c r="G69">
        <v>1.49</v>
      </c>
      <c r="H69" s="56" t="s">
        <v>714</v>
      </c>
      <c r="I69" s="56" t="s">
        <v>723</v>
      </c>
      <c r="J69">
        <v>0</v>
      </c>
      <c r="K69">
        <v>0</v>
      </c>
      <c r="L69">
        <v>1</v>
      </c>
      <c r="M69">
        <v>1408</v>
      </c>
      <c r="N69" s="56" t="s">
        <v>724</v>
      </c>
      <c r="O69">
        <v>1</v>
      </c>
      <c r="P69" s="59">
        <v>4.5</v>
      </c>
    </row>
    <row r="70" spans="1:16" x14ac:dyDescent="0.25">
      <c r="A70">
        <v>1409</v>
      </c>
      <c r="B70">
        <v>1409</v>
      </c>
      <c r="C70" s="56" t="s">
        <v>91</v>
      </c>
      <c r="D70" s="56" t="s">
        <v>569</v>
      </c>
      <c r="E70" s="56" t="s">
        <v>569</v>
      </c>
      <c r="F70" s="56" t="s">
        <v>570</v>
      </c>
      <c r="G70">
        <v>3.98</v>
      </c>
      <c r="H70" s="56" t="s">
        <v>639</v>
      </c>
      <c r="I70" s="56" t="s">
        <v>725</v>
      </c>
      <c r="J70">
        <v>0</v>
      </c>
      <c r="K70">
        <v>0</v>
      </c>
      <c r="L70">
        <v>1</v>
      </c>
      <c r="M70">
        <v>1409</v>
      </c>
      <c r="N70" s="56" t="s">
        <v>726</v>
      </c>
      <c r="O70">
        <v>1</v>
      </c>
      <c r="P70" s="59">
        <v>5.5</v>
      </c>
    </row>
    <row r="71" spans="1:16" x14ac:dyDescent="0.25">
      <c r="A71">
        <v>1500</v>
      </c>
      <c r="B71">
        <v>1500</v>
      </c>
      <c r="C71" s="56" t="s">
        <v>93</v>
      </c>
      <c r="D71" s="56" t="s">
        <v>569</v>
      </c>
      <c r="E71" s="56" t="s">
        <v>569</v>
      </c>
      <c r="F71" s="56" t="s">
        <v>570</v>
      </c>
      <c r="G71">
        <v>2.25</v>
      </c>
      <c r="H71" s="56" t="s">
        <v>571</v>
      </c>
      <c r="I71" s="56" t="s">
        <v>727</v>
      </c>
      <c r="J71">
        <v>0</v>
      </c>
      <c r="K71">
        <v>0</v>
      </c>
      <c r="L71">
        <v>1</v>
      </c>
      <c r="M71">
        <v>1500</v>
      </c>
      <c r="N71" s="56" t="s">
        <v>728</v>
      </c>
      <c r="O71">
        <v>1</v>
      </c>
      <c r="P71" s="59">
        <v>8.3000000000000007</v>
      </c>
    </row>
    <row r="72" spans="1:16" x14ac:dyDescent="0.25">
      <c r="A72">
        <v>1501</v>
      </c>
      <c r="B72">
        <v>1501</v>
      </c>
      <c r="C72" s="56" t="s">
        <v>95</v>
      </c>
      <c r="D72" s="56" t="s">
        <v>569</v>
      </c>
      <c r="E72" s="56" t="s">
        <v>569</v>
      </c>
      <c r="F72" s="56" t="s">
        <v>570</v>
      </c>
      <c r="G72">
        <v>2.25</v>
      </c>
      <c r="H72" s="56" t="s">
        <v>571</v>
      </c>
      <c r="I72" s="56" t="s">
        <v>729</v>
      </c>
      <c r="J72">
        <v>0</v>
      </c>
      <c r="K72">
        <v>0</v>
      </c>
      <c r="L72">
        <v>1</v>
      </c>
      <c r="M72">
        <v>1501</v>
      </c>
      <c r="N72" s="56" t="s">
        <v>730</v>
      </c>
      <c r="O72">
        <v>1</v>
      </c>
      <c r="P72" s="59">
        <v>8.3000000000000007</v>
      </c>
    </row>
    <row r="73" spans="1:16" x14ac:dyDescent="0.25">
      <c r="A73">
        <v>1502</v>
      </c>
      <c r="B73">
        <v>1502</v>
      </c>
      <c r="C73" s="56" t="s">
        <v>96</v>
      </c>
      <c r="D73" s="56" t="s">
        <v>569</v>
      </c>
      <c r="E73" s="56" t="s">
        <v>569</v>
      </c>
      <c r="F73" s="56" t="s">
        <v>570</v>
      </c>
      <c r="G73">
        <v>2.25</v>
      </c>
      <c r="H73" s="56" t="s">
        <v>571</v>
      </c>
      <c r="I73" s="56" t="s">
        <v>731</v>
      </c>
      <c r="J73">
        <v>0</v>
      </c>
      <c r="K73">
        <v>0</v>
      </c>
      <c r="L73">
        <v>1</v>
      </c>
      <c r="M73">
        <v>1502</v>
      </c>
      <c r="N73" s="56" t="s">
        <v>732</v>
      </c>
      <c r="O73">
        <v>1</v>
      </c>
      <c r="P73" s="59">
        <v>8.3000000000000007</v>
      </c>
    </row>
    <row r="74" spans="1:16" x14ac:dyDescent="0.25">
      <c r="A74">
        <v>1503</v>
      </c>
      <c r="B74">
        <v>1503</v>
      </c>
      <c r="C74" s="56" t="s">
        <v>97</v>
      </c>
      <c r="D74" s="56" t="s">
        <v>569</v>
      </c>
      <c r="E74" s="56" t="s">
        <v>569</v>
      </c>
      <c r="F74" s="56" t="s">
        <v>570</v>
      </c>
      <c r="G74">
        <v>2.25</v>
      </c>
      <c r="H74" s="56" t="s">
        <v>571</v>
      </c>
      <c r="I74" s="56" t="s">
        <v>733</v>
      </c>
      <c r="J74">
        <v>0</v>
      </c>
      <c r="K74">
        <v>0</v>
      </c>
      <c r="L74">
        <v>1</v>
      </c>
      <c r="M74">
        <v>1503</v>
      </c>
      <c r="N74" s="56" t="s">
        <v>734</v>
      </c>
      <c r="O74">
        <v>1</v>
      </c>
      <c r="P74" s="59">
        <v>8.3000000000000007</v>
      </c>
    </row>
    <row r="75" spans="1:16" x14ac:dyDescent="0.25">
      <c r="A75">
        <v>1504</v>
      </c>
      <c r="B75">
        <v>1504</v>
      </c>
      <c r="C75" s="56" t="s">
        <v>98</v>
      </c>
      <c r="D75" s="56" t="s">
        <v>569</v>
      </c>
      <c r="E75" s="56" t="s">
        <v>569</v>
      </c>
      <c r="F75" s="56" t="s">
        <v>570</v>
      </c>
      <c r="G75">
        <v>2.25</v>
      </c>
      <c r="H75" s="56" t="s">
        <v>571</v>
      </c>
      <c r="I75" s="56" t="s">
        <v>735</v>
      </c>
      <c r="J75">
        <v>0</v>
      </c>
      <c r="K75">
        <v>0</v>
      </c>
      <c r="L75">
        <v>1</v>
      </c>
      <c r="M75">
        <v>1504</v>
      </c>
      <c r="N75" s="56" t="s">
        <v>736</v>
      </c>
      <c r="O75">
        <v>1</v>
      </c>
      <c r="P75" s="59">
        <v>9.4</v>
      </c>
    </row>
    <row r="76" spans="1:16" x14ac:dyDescent="0.25">
      <c r="A76">
        <v>1506</v>
      </c>
      <c r="B76">
        <v>1506</v>
      </c>
      <c r="C76" s="56" t="s">
        <v>99</v>
      </c>
      <c r="D76" s="56" t="s">
        <v>569</v>
      </c>
      <c r="E76" s="56" t="s">
        <v>569</v>
      </c>
      <c r="F76" s="56" t="s">
        <v>570</v>
      </c>
      <c r="G76">
        <v>2.5499999999999998</v>
      </c>
      <c r="H76" s="56" t="s">
        <v>571</v>
      </c>
      <c r="I76" s="56" t="s">
        <v>737</v>
      </c>
      <c r="J76">
        <v>0</v>
      </c>
      <c r="K76">
        <v>0</v>
      </c>
      <c r="L76">
        <v>1</v>
      </c>
      <c r="M76">
        <v>1506</v>
      </c>
      <c r="N76" s="56" t="s">
        <v>738</v>
      </c>
      <c r="O76">
        <v>1</v>
      </c>
      <c r="P76" s="59">
        <v>9.4</v>
      </c>
    </row>
    <row r="77" spans="1:16" x14ac:dyDescent="0.25">
      <c r="A77">
        <v>1509</v>
      </c>
      <c r="B77">
        <v>1509</v>
      </c>
      <c r="C77" s="56" t="s">
        <v>100</v>
      </c>
      <c r="D77" s="56" t="s">
        <v>569</v>
      </c>
      <c r="E77" s="56" t="s">
        <v>569</v>
      </c>
      <c r="F77" s="56" t="s">
        <v>570</v>
      </c>
      <c r="G77">
        <v>4.78</v>
      </c>
      <c r="H77" s="56" t="s">
        <v>571</v>
      </c>
      <c r="I77" s="56" t="s">
        <v>739</v>
      </c>
      <c r="J77">
        <v>0</v>
      </c>
      <c r="K77">
        <v>0</v>
      </c>
      <c r="L77">
        <v>1</v>
      </c>
      <c r="M77">
        <v>1509</v>
      </c>
      <c r="N77" s="56" t="s">
        <v>740</v>
      </c>
      <c r="O77">
        <v>1</v>
      </c>
      <c r="P77" s="59">
        <v>10.5</v>
      </c>
    </row>
    <row r="78" spans="1:16" x14ac:dyDescent="0.25">
      <c r="A78">
        <v>1602</v>
      </c>
      <c r="B78">
        <v>1602</v>
      </c>
      <c r="C78" s="56" t="s">
        <v>741</v>
      </c>
      <c r="D78" s="56" t="s">
        <v>742</v>
      </c>
      <c r="E78" s="56" t="s">
        <v>742</v>
      </c>
      <c r="F78" s="56" t="s">
        <v>570</v>
      </c>
      <c r="G78">
        <v>4.68</v>
      </c>
      <c r="H78" s="56" t="s">
        <v>571</v>
      </c>
      <c r="I78" s="56" t="s">
        <v>743</v>
      </c>
      <c r="J78">
        <v>0</v>
      </c>
      <c r="K78">
        <v>0</v>
      </c>
      <c r="L78">
        <v>1</v>
      </c>
      <c r="M78">
        <v>1602</v>
      </c>
      <c r="N78" s="56" t="s">
        <v>52</v>
      </c>
      <c r="O78">
        <v>1</v>
      </c>
      <c r="P78" s="59">
        <v>15.55</v>
      </c>
    </row>
    <row r="79" spans="1:16" x14ac:dyDescent="0.25">
      <c r="A79">
        <v>1603</v>
      </c>
      <c r="B79">
        <v>1603</v>
      </c>
      <c r="C79" s="56" t="s">
        <v>744</v>
      </c>
      <c r="D79" s="56" t="s">
        <v>742</v>
      </c>
      <c r="E79" s="56" t="s">
        <v>742</v>
      </c>
      <c r="F79" s="56" t="s">
        <v>570</v>
      </c>
      <c r="G79">
        <v>4.68</v>
      </c>
      <c r="H79" s="56" t="s">
        <v>571</v>
      </c>
      <c r="I79" s="56" t="s">
        <v>745</v>
      </c>
      <c r="J79">
        <v>0</v>
      </c>
      <c r="K79">
        <v>0</v>
      </c>
      <c r="L79">
        <v>1</v>
      </c>
      <c r="M79">
        <v>1603</v>
      </c>
      <c r="N79" s="56" t="s">
        <v>55</v>
      </c>
      <c r="O79">
        <v>1</v>
      </c>
      <c r="P79" s="59">
        <v>15.55</v>
      </c>
    </row>
    <row r="80" spans="1:16" x14ac:dyDescent="0.25">
      <c r="A80">
        <v>1604</v>
      </c>
      <c r="B80">
        <v>1604</v>
      </c>
      <c r="C80" s="56" t="s">
        <v>746</v>
      </c>
      <c r="D80" s="56" t="s">
        <v>742</v>
      </c>
      <c r="E80" s="56" t="s">
        <v>742</v>
      </c>
      <c r="F80" s="56" t="s">
        <v>570</v>
      </c>
      <c r="G80">
        <v>4.68</v>
      </c>
      <c r="H80" s="56" t="s">
        <v>571</v>
      </c>
      <c r="I80" s="56" t="s">
        <v>747</v>
      </c>
      <c r="J80">
        <v>0</v>
      </c>
      <c r="K80">
        <v>0</v>
      </c>
      <c r="L80">
        <v>1</v>
      </c>
      <c r="M80">
        <v>1604</v>
      </c>
      <c r="N80" s="56" t="s">
        <v>58</v>
      </c>
      <c r="O80">
        <v>1</v>
      </c>
      <c r="P80" s="59">
        <v>15.55</v>
      </c>
    </row>
    <row r="81" spans="1:16" x14ac:dyDescent="0.25">
      <c r="A81">
        <v>1605</v>
      </c>
      <c r="B81">
        <v>1605</v>
      </c>
      <c r="C81" s="56" t="s">
        <v>748</v>
      </c>
      <c r="D81" s="56" t="s">
        <v>742</v>
      </c>
      <c r="E81" s="56" t="s">
        <v>742</v>
      </c>
      <c r="F81" s="56" t="s">
        <v>570</v>
      </c>
      <c r="G81">
        <v>4.68</v>
      </c>
      <c r="H81" s="56" t="s">
        <v>571</v>
      </c>
      <c r="I81" s="56" t="s">
        <v>749</v>
      </c>
      <c r="J81">
        <v>0</v>
      </c>
      <c r="K81">
        <v>0</v>
      </c>
      <c r="L81">
        <v>1</v>
      </c>
      <c r="M81">
        <v>1605</v>
      </c>
      <c r="N81" s="56" t="s">
        <v>61</v>
      </c>
      <c r="O81">
        <v>1</v>
      </c>
      <c r="P81" s="59">
        <v>15.55</v>
      </c>
    </row>
    <row r="82" spans="1:16" x14ac:dyDescent="0.25">
      <c r="A82">
        <v>1606</v>
      </c>
      <c r="B82">
        <v>1606</v>
      </c>
      <c r="C82" s="56" t="s">
        <v>750</v>
      </c>
      <c r="D82" s="56" t="s">
        <v>742</v>
      </c>
      <c r="E82" s="56" t="s">
        <v>742</v>
      </c>
      <c r="F82" s="56" t="s">
        <v>570</v>
      </c>
      <c r="G82">
        <v>4.68</v>
      </c>
      <c r="H82" s="56" t="s">
        <v>571</v>
      </c>
      <c r="I82" s="56" t="s">
        <v>751</v>
      </c>
      <c r="J82">
        <v>0</v>
      </c>
      <c r="K82">
        <v>0</v>
      </c>
      <c r="L82">
        <v>1</v>
      </c>
      <c r="M82">
        <v>1606</v>
      </c>
      <c r="N82" s="56" t="s">
        <v>64</v>
      </c>
      <c r="O82">
        <v>1</v>
      </c>
      <c r="P82" s="59">
        <v>15.55</v>
      </c>
    </row>
    <row r="83" spans="1:16" x14ac:dyDescent="0.25">
      <c r="A83">
        <v>1607</v>
      </c>
      <c r="B83">
        <v>1607</v>
      </c>
      <c r="C83" s="56" t="s">
        <v>752</v>
      </c>
      <c r="D83" s="56" t="s">
        <v>742</v>
      </c>
      <c r="E83" s="56" t="s">
        <v>742</v>
      </c>
      <c r="F83" s="56" t="s">
        <v>570</v>
      </c>
      <c r="G83">
        <v>4.68</v>
      </c>
      <c r="H83" s="56" t="s">
        <v>571</v>
      </c>
      <c r="I83" s="56" t="s">
        <v>753</v>
      </c>
      <c r="J83">
        <v>0</v>
      </c>
      <c r="K83">
        <v>0</v>
      </c>
      <c r="L83">
        <v>1</v>
      </c>
      <c r="M83">
        <v>1607</v>
      </c>
      <c r="N83" s="56" t="s">
        <v>67</v>
      </c>
      <c r="O83">
        <v>1</v>
      </c>
      <c r="P83" s="59">
        <v>15.55</v>
      </c>
    </row>
    <row r="84" spans="1:16" x14ac:dyDescent="0.25">
      <c r="A84">
        <v>1608</v>
      </c>
      <c r="B84">
        <v>1608</v>
      </c>
      <c r="C84" s="56" t="s">
        <v>754</v>
      </c>
      <c r="D84" s="56" t="s">
        <v>742</v>
      </c>
      <c r="E84" s="56" t="s">
        <v>742</v>
      </c>
      <c r="F84" s="56" t="s">
        <v>570</v>
      </c>
      <c r="G84">
        <v>4.68</v>
      </c>
      <c r="H84" s="56" t="s">
        <v>571</v>
      </c>
      <c r="I84" s="56" t="s">
        <v>755</v>
      </c>
      <c r="J84">
        <v>0</v>
      </c>
      <c r="K84">
        <v>0</v>
      </c>
      <c r="L84">
        <v>1</v>
      </c>
      <c r="M84">
        <v>1608</v>
      </c>
      <c r="N84" s="56" t="s">
        <v>69</v>
      </c>
      <c r="O84">
        <v>1</v>
      </c>
      <c r="P84" s="59">
        <v>15.55</v>
      </c>
    </row>
    <row r="85" spans="1:16" x14ac:dyDescent="0.25">
      <c r="A85">
        <v>1609</v>
      </c>
      <c r="B85">
        <v>1609</v>
      </c>
      <c r="C85" s="56" t="s">
        <v>756</v>
      </c>
      <c r="D85" s="56" t="s">
        <v>742</v>
      </c>
      <c r="E85" s="56" t="s">
        <v>742</v>
      </c>
      <c r="F85" s="56" t="s">
        <v>570</v>
      </c>
      <c r="G85">
        <v>4.68</v>
      </c>
      <c r="H85" s="56" t="s">
        <v>571</v>
      </c>
      <c r="I85" s="56" t="s">
        <v>757</v>
      </c>
      <c r="J85">
        <v>0</v>
      </c>
      <c r="K85">
        <v>0</v>
      </c>
      <c r="L85">
        <v>1</v>
      </c>
      <c r="M85">
        <v>1609</v>
      </c>
      <c r="N85" s="56" t="s">
        <v>70</v>
      </c>
      <c r="O85">
        <v>1</v>
      </c>
      <c r="P85" s="59">
        <v>15.55</v>
      </c>
    </row>
    <row r="86" spans="1:16" x14ac:dyDescent="0.25">
      <c r="A86">
        <v>1610</v>
      </c>
      <c r="B86">
        <v>1610</v>
      </c>
      <c r="C86" s="56" t="s">
        <v>758</v>
      </c>
      <c r="D86" s="56" t="s">
        <v>742</v>
      </c>
      <c r="E86" s="56" t="s">
        <v>742</v>
      </c>
      <c r="F86" s="56" t="s">
        <v>570</v>
      </c>
      <c r="G86">
        <v>4.68</v>
      </c>
      <c r="H86" s="56" t="s">
        <v>571</v>
      </c>
      <c r="I86" s="56" t="s">
        <v>759</v>
      </c>
      <c r="J86">
        <v>0</v>
      </c>
      <c r="K86">
        <v>0</v>
      </c>
      <c r="L86">
        <v>1</v>
      </c>
      <c r="M86">
        <v>1610</v>
      </c>
      <c r="N86" s="56" t="s">
        <v>71</v>
      </c>
      <c r="O86">
        <v>1</v>
      </c>
      <c r="P86" s="59">
        <v>15.55</v>
      </c>
    </row>
    <row r="87" spans="1:16" x14ac:dyDescent="0.25">
      <c r="A87">
        <v>1622</v>
      </c>
      <c r="B87">
        <v>1622</v>
      </c>
      <c r="C87" s="56" t="s">
        <v>760</v>
      </c>
      <c r="D87" s="56" t="s">
        <v>742</v>
      </c>
      <c r="E87" s="56" t="s">
        <v>742</v>
      </c>
      <c r="F87" s="56" t="s">
        <v>570</v>
      </c>
      <c r="G87">
        <v>4.68</v>
      </c>
      <c r="H87" s="56" t="s">
        <v>571</v>
      </c>
      <c r="I87" s="56" t="s">
        <v>761</v>
      </c>
      <c r="J87">
        <v>0</v>
      </c>
      <c r="K87">
        <v>0</v>
      </c>
      <c r="L87">
        <v>1</v>
      </c>
      <c r="M87">
        <v>1622</v>
      </c>
      <c r="N87" s="56" t="s">
        <v>83</v>
      </c>
      <c r="O87">
        <v>1</v>
      </c>
      <c r="P87" s="59">
        <v>15.55</v>
      </c>
    </row>
    <row r="88" spans="1:16" x14ac:dyDescent="0.25">
      <c r="A88">
        <v>1623</v>
      </c>
      <c r="B88">
        <v>1623</v>
      </c>
      <c r="C88" s="56" t="s">
        <v>762</v>
      </c>
      <c r="D88" s="56" t="s">
        <v>742</v>
      </c>
      <c r="E88" s="56" t="s">
        <v>742</v>
      </c>
      <c r="F88" s="56" t="s">
        <v>570</v>
      </c>
      <c r="G88">
        <v>4.68</v>
      </c>
      <c r="H88" s="56" t="s">
        <v>571</v>
      </c>
      <c r="I88" s="56" t="s">
        <v>763</v>
      </c>
      <c r="J88">
        <v>0</v>
      </c>
      <c r="K88">
        <v>0</v>
      </c>
      <c r="L88">
        <v>1</v>
      </c>
      <c r="M88">
        <v>1623</v>
      </c>
      <c r="N88" s="56" t="s">
        <v>85</v>
      </c>
      <c r="O88">
        <v>1</v>
      </c>
      <c r="P88" s="59">
        <v>15.55</v>
      </c>
    </row>
    <row r="89" spans="1:16" x14ac:dyDescent="0.25">
      <c r="A89">
        <v>1624</v>
      </c>
      <c r="B89">
        <v>1624</v>
      </c>
      <c r="C89" s="56" t="s">
        <v>764</v>
      </c>
      <c r="D89" s="56" t="s">
        <v>742</v>
      </c>
      <c r="E89" s="56" t="s">
        <v>742</v>
      </c>
      <c r="F89" s="56" t="s">
        <v>570</v>
      </c>
      <c r="G89">
        <v>4.68</v>
      </c>
      <c r="H89" s="56" t="s">
        <v>571</v>
      </c>
      <c r="I89" s="56" t="s">
        <v>765</v>
      </c>
      <c r="J89">
        <v>0</v>
      </c>
      <c r="K89">
        <v>0</v>
      </c>
      <c r="L89">
        <v>1</v>
      </c>
      <c r="M89">
        <v>1624</v>
      </c>
      <c r="N89" s="56" t="s">
        <v>86</v>
      </c>
      <c r="O89">
        <v>1</v>
      </c>
      <c r="P89" s="59">
        <v>15.55</v>
      </c>
    </row>
    <row r="90" spans="1:16" x14ac:dyDescent="0.25">
      <c r="A90">
        <v>1625</v>
      </c>
      <c r="B90">
        <v>1625</v>
      </c>
      <c r="C90" s="56" t="s">
        <v>766</v>
      </c>
      <c r="D90" s="56" t="s">
        <v>742</v>
      </c>
      <c r="E90" s="56" t="s">
        <v>742</v>
      </c>
      <c r="F90" s="56" t="s">
        <v>570</v>
      </c>
      <c r="G90">
        <v>4.68</v>
      </c>
      <c r="H90" s="56" t="s">
        <v>571</v>
      </c>
      <c r="I90" s="56" t="s">
        <v>767</v>
      </c>
      <c r="J90">
        <v>0</v>
      </c>
      <c r="K90">
        <v>0</v>
      </c>
      <c r="L90">
        <v>1</v>
      </c>
      <c r="M90">
        <v>1625</v>
      </c>
      <c r="N90" s="56" t="s">
        <v>88</v>
      </c>
      <c r="O90">
        <v>1</v>
      </c>
      <c r="P90" s="59">
        <v>15.55</v>
      </c>
    </row>
    <row r="91" spans="1:16" x14ac:dyDescent="0.25">
      <c r="A91">
        <v>1626</v>
      </c>
      <c r="B91">
        <v>1626</v>
      </c>
      <c r="C91" s="56" t="s">
        <v>768</v>
      </c>
      <c r="D91" s="56" t="s">
        <v>742</v>
      </c>
      <c r="E91" s="56" t="s">
        <v>742</v>
      </c>
      <c r="F91" s="56" t="s">
        <v>570</v>
      </c>
      <c r="G91">
        <v>4.68</v>
      </c>
      <c r="H91" s="56" t="s">
        <v>571</v>
      </c>
      <c r="I91" s="56" t="s">
        <v>769</v>
      </c>
      <c r="J91">
        <v>0</v>
      </c>
      <c r="K91">
        <v>0</v>
      </c>
      <c r="L91">
        <v>1</v>
      </c>
      <c r="M91">
        <v>1626</v>
      </c>
      <c r="N91" s="56" t="s">
        <v>90</v>
      </c>
      <c r="O91">
        <v>1</v>
      </c>
      <c r="P91" s="59">
        <v>15.55</v>
      </c>
    </row>
    <row r="92" spans="1:16" x14ac:dyDescent="0.25">
      <c r="A92">
        <v>1627</v>
      </c>
      <c r="B92">
        <v>1627</v>
      </c>
      <c r="C92" s="56" t="s">
        <v>770</v>
      </c>
      <c r="D92" s="56" t="s">
        <v>742</v>
      </c>
      <c r="E92" s="56" t="s">
        <v>742</v>
      </c>
      <c r="F92" s="56" t="s">
        <v>570</v>
      </c>
      <c r="G92">
        <v>4.68</v>
      </c>
      <c r="H92" s="56" t="s">
        <v>571</v>
      </c>
      <c r="I92" s="56" t="s">
        <v>771</v>
      </c>
      <c r="J92">
        <v>0</v>
      </c>
      <c r="K92">
        <v>0</v>
      </c>
      <c r="L92">
        <v>1</v>
      </c>
      <c r="M92">
        <v>1627</v>
      </c>
      <c r="N92" s="56" t="s">
        <v>92</v>
      </c>
      <c r="O92">
        <v>1</v>
      </c>
      <c r="P92" s="59">
        <v>15.55</v>
      </c>
    </row>
    <row r="93" spans="1:16" x14ac:dyDescent="0.25">
      <c r="A93">
        <v>1628</v>
      </c>
      <c r="B93">
        <v>1628</v>
      </c>
      <c r="C93" s="56" t="s">
        <v>772</v>
      </c>
      <c r="D93" s="56" t="s">
        <v>742</v>
      </c>
      <c r="E93" s="56" t="s">
        <v>742</v>
      </c>
      <c r="F93" s="56" t="s">
        <v>570</v>
      </c>
      <c r="G93">
        <v>4.68</v>
      </c>
      <c r="H93" s="56" t="s">
        <v>571</v>
      </c>
      <c r="I93" s="56" t="s">
        <v>773</v>
      </c>
      <c r="J93">
        <v>0</v>
      </c>
      <c r="K93">
        <v>0</v>
      </c>
      <c r="L93">
        <v>1</v>
      </c>
      <c r="M93">
        <v>1628</v>
      </c>
      <c r="N93" s="56" t="s">
        <v>94</v>
      </c>
      <c r="O93">
        <v>1</v>
      </c>
      <c r="P93" s="59">
        <v>15.55</v>
      </c>
    </row>
    <row r="94" spans="1:16" x14ac:dyDescent="0.25">
      <c r="A94">
        <v>1630</v>
      </c>
      <c r="B94">
        <v>1630</v>
      </c>
      <c r="C94" s="56" t="s">
        <v>774</v>
      </c>
      <c r="D94" s="56" t="s">
        <v>742</v>
      </c>
      <c r="E94" s="56" t="s">
        <v>742</v>
      </c>
      <c r="F94" s="56" t="s">
        <v>570</v>
      </c>
      <c r="G94">
        <v>16</v>
      </c>
      <c r="H94" s="56" t="s">
        <v>571</v>
      </c>
      <c r="I94" s="56" t="s">
        <v>775</v>
      </c>
      <c r="J94">
        <v>0</v>
      </c>
      <c r="K94">
        <v>0</v>
      </c>
      <c r="L94">
        <v>1</v>
      </c>
      <c r="M94">
        <v>1630</v>
      </c>
      <c r="N94" s="56" t="s">
        <v>776</v>
      </c>
      <c r="O94">
        <v>1</v>
      </c>
      <c r="P94" s="59">
        <v>40</v>
      </c>
    </row>
    <row r="95" spans="1:16" x14ac:dyDescent="0.25">
      <c r="A95">
        <v>1632</v>
      </c>
      <c r="B95">
        <v>1632</v>
      </c>
      <c r="C95" s="56" t="s">
        <v>777</v>
      </c>
      <c r="D95" s="56" t="s">
        <v>742</v>
      </c>
      <c r="E95" s="56" t="s">
        <v>742</v>
      </c>
      <c r="F95" s="56" t="s">
        <v>570</v>
      </c>
      <c r="G95">
        <v>16</v>
      </c>
      <c r="H95" s="56" t="s">
        <v>571</v>
      </c>
      <c r="I95" s="56" t="s">
        <v>778</v>
      </c>
      <c r="J95">
        <v>0</v>
      </c>
      <c r="K95">
        <v>0</v>
      </c>
      <c r="L95">
        <v>1</v>
      </c>
      <c r="M95">
        <v>1632</v>
      </c>
      <c r="N95" s="56" t="s">
        <v>779</v>
      </c>
      <c r="O95">
        <v>1</v>
      </c>
      <c r="P95" s="59">
        <v>40</v>
      </c>
    </row>
    <row r="96" spans="1:16" x14ac:dyDescent="0.25">
      <c r="A96">
        <v>1634</v>
      </c>
      <c r="B96">
        <v>1634</v>
      </c>
      <c r="C96" s="56" t="s">
        <v>780</v>
      </c>
      <c r="D96" s="56" t="s">
        <v>742</v>
      </c>
      <c r="E96" s="56" t="s">
        <v>742</v>
      </c>
      <c r="F96" s="56" t="s">
        <v>570</v>
      </c>
      <c r="G96">
        <v>16</v>
      </c>
      <c r="H96" s="56" t="s">
        <v>571</v>
      </c>
      <c r="I96" s="56" t="s">
        <v>781</v>
      </c>
      <c r="J96">
        <v>0</v>
      </c>
      <c r="K96">
        <v>0</v>
      </c>
      <c r="L96">
        <v>1</v>
      </c>
      <c r="M96">
        <v>1634</v>
      </c>
      <c r="N96" s="56" t="s">
        <v>782</v>
      </c>
      <c r="O96">
        <v>1</v>
      </c>
      <c r="P96" s="59">
        <v>40</v>
      </c>
    </row>
    <row r="97" spans="1:16" x14ac:dyDescent="0.25">
      <c r="A97">
        <v>1636</v>
      </c>
      <c r="B97">
        <v>1636</v>
      </c>
      <c r="C97" s="56" t="s">
        <v>783</v>
      </c>
      <c r="D97" s="56" t="s">
        <v>742</v>
      </c>
      <c r="E97" s="56" t="s">
        <v>742</v>
      </c>
      <c r="F97" s="56" t="s">
        <v>570</v>
      </c>
      <c r="G97">
        <v>16</v>
      </c>
      <c r="H97" s="56" t="s">
        <v>571</v>
      </c>
      <c r="I97" s="56" t="s">
        <v>784</v>
      </c>
      <c r="J97">
        <v>0</v>
      </c>
      <c r="K97">
        <v>0</v>
      </c>
      <c r="L97">
        <v>1</v>
      </c>
      <c r="M97">
        <v>1636</v>
      </c>
      <c r="N97" s="56" t="s">
        <v>785</v>
      </c>
      <c r="O97">
        <v>1</v>
      </c>
      <c r="P97" s="59">
        <v>40</v>
      </c>
    </row>
    <row r="98" spans="1:16" x14ac:dyDescent="0.25">
      <c r="A98">
        <v>1638</v>
      </c>
      <c r="B98">
        <v>1638</v>
      </c>
      <c r="C98" s="56" t="s">
        <v>786</v>
      </c>
      <c r="D98" s="56" t="s">
        <v>742</v>
      </c>
      <c r="E98" s="56" t="s">
        <v>742</v>
      </c>
      <c r="F98" s="56" t="s">
        <v>570</v>
      </c>
      <c r="G98">
        <v>16</v>
      </c>
      <c r="H98" s="56" t="s">
        <v>571</v>
      </c>
      <c r="I98" s="56" t="s">
        <v>787</v>
      </c>
      <c r="J98">
        <v>0</v>
      </c>
      <c r="K98">
        <v>0</v>
      </c>
      <c r="L98">
        <v>1</v>
      </c>
      <c r="M98">
        <v>1638</v>
      </c>
      <c r="N98" s="56" t="s">
        <v>788</v>
      </c>
      <c r="O98">
        <v>1</v>
      </c>
      <c r="P98" s="59">
        <v>40</v>
      </c>
    </row>
    <row r="99" spans="1:16" x14ac:dyDescent="0.25">
      <c r="A99">
        <v>1703</v>
      </c>
      <c r="B99">
        <v>1703</v>
      </c>
      <c r="C99" s="56" t="s">
        <v>789</v>
      </c>
      <c r="D99" s="56" t="s">
        <v>742</v>
      </c>
      <c r="E99" s="56" t="s">
        <v>742</v>
      </c>
      <c r="F99" s="56" t="s">
        <v>570</v>
      </c>
      <c r="G99">
        <v>2.59</v>
      </c>
      <c r="H99" s="56" t="s">
        <v>571</v>
      </c>
      <c r="I99" s="56" t="s">
        <v>790</v>
      </c>
      <c r="J99">
        <v>0</v>
      </c>
      <c r="K99">
        <v>0</v>
      </c>
      <c r="L99">
        <v>1</v>
      </c>
      <c r="M99">
        <v>1703</v>
      </c>
      <c r="N99" s="56" t="s">
        <v>73</v>
      </c>
      <c r="O99">
        <v>1</v>
      </c>
      <c r="P99" s="59">
        <v>8</v>
      </c>
    </row>
    <row r="100" spans="1:16" x14ac:dyDescent="0.25">
      <c r="A100">
        <v>1705</v>
      </c>
      <c r="B100">
        <v>1705</v>
      </c>
      <c r="C100" s="56" t="s">
        <v>791</v>
      </c>
      <c r="D100" s="56" t="s">
        <v>742</v>
      </c>
      <c r="E100" s="56" t="s">
        <v>742</v>
      </c>
      <c r="F100" s="56" t="s">
        <v>570</v>
      </c>
      <c r="G100">
        <v>2.59</v>
      </c>
      <c r="H100" s="56" t="s">
        <v>571</v>
      </c>
      <c r="I100" s="56" t="s">
        <v>792</v>
      </c>
      <c r="J100">
        <v>0</v>
      </c>
      <c r="K100">
        <v>0</v>
      </c>
      <c r="L100">
        <v>1</v>
      </c>
      <c r="M100">
        <v>1705</v>
      </c>
      <c r="N100" s="56" t="s">
        <v>75</v>
      </c>
      <c r="O100">
        <v>1</v>
      </c>
      <c r="P100" s="59">
        <v>8</v>
      </c>
    </row>
    <row r="101" spans="1:16" x14ac:dyDescent="0.25">
      <c r="A101">
        <v>1707</v>
      </c>
      <c r="B101">
        <v>1707</v>
      </c>
      <c r="C101" s="56" t="s">
        <v>793</v>
      </c>
      <c r="D101" s="56" t="s">
        <v>742</v>
      </c>
      <c r="E101" s="56" t="s">
        <v>742</v>
      </c>
      <c r="F101" s="56" t="s">
        <v>570</v>
      </c>
      <c r="G101">
        <v>2.59</v>
      </c>
      <c r="H101" s="56" t="s">
        <v>571</v>
      </c>
      <c r="I101" s="56" t="s">
        <v>794</v>
      </c>
      <c r="J101">
        <v>0</v>
      </c>
      <c r="K101">
        <v>0</v>
      </c>
      <c r="L101">
        <v>1</v>
      </c>
      <c r="M101">
        <v>1707</v>
      </c>
      <c r="N101" s="56" t="s">
        <v>77</v>
      </c>
      <c r="O101">
        <v>1</v>
      </c>
      <c r="P101" s="59">
        <v>8</v>
      </c>
    </row>
    <row r="102" spans="1:16" x14ac:dyDescent="0.25">
      <c r="A102">
        <v>1708</v>
      </c>
      <c r="B102">
        <v>1708</v>
      </c>
      <c r="C102" s="56" t="s">
        <v>795</v>
      </c>
      <c r="D102" s="56" t="s">
        <v>742</v>
      </c>
      <c r="E102" s="56" t="s">
        <v>742</v>
      </c>
      <c r="F102" s="56" t="s">
        <v>570</v>
      </c>
      <c r="G102">
        <v>2.59</v>
      </c>
      <c r="H102" s="56" t="s">
        <v>571</v>
      </c>
      <c r="I102" s="56" t="s">
        <v>796</v>
      </c>
      <c r="J102">
        <v>0</v>
      </c>
      <c r="K102">
        <v>0</v>
      </c>
      <c r="L102">
        <v>1</v>
      </c>
      <c r="M102">
        <v>1708</v>
      </c>
      <c r="N102" s="56" t="s">
        <v>79</v>
      </c>
      <c r="O102">
        <v>1</v>
      </c>
      <c r="P102" s="59">
        <v>8</v>
      </c>
    </row>
    <row r="103" spans="1:16" x14ac:dyDescent="0.25">
      <c r="A103">
        <v>1710</v>
      </c>
      <c r="B103">
        <v>1710</v>
      </c>
      <c r="C103" s="56" t="s">
        <v>797</v>
      </c>
      <c r="D103" s="56" t="s">
        <v>742</v>
      </c>
      <c r="E103" s="56" t="s">
        <v>742</v>
      </c>
      <c r="F103" s="56" t="s">
        <v>570</v>
      </c>
      <c r="G103">
        <v>2.59</v>
      </c>
      <c r="H103" s="56" t="s">
        <v>571</v>
      </c>
      <c r="I103" s="56" t="s">
        <v>798</v>
      </c>
      <c r="J103">
        <v>0</v>
      </c>
      <c r="K103">
        <v>0</v>
      </c>
      <c r="L103">
        <v>1</v>
      </c>
      <c r="M103">
        <v>1710</v>
      </c>
      <c r="N103" s="56" t="s">
        <v>81</v>
      </c>
      <c r="O103">
        <v>1</v>
      </c>
      <c r="P103" s="59">
        <v>8</v>
      </c>
    </row>
    <row r="104" spans="1:16" x14ac:dyDescent="0.25">
      <c r="A104">
        <v>1800</v>
      </c>
      <c r="B104">
        <v>1800</v>
      </c>
      <c r="C104" s="56" t="s">
        <v>799</v>
      </c>
      <c r="D104" s="56" t="s">
        <v>800</v>
      </c>
      <c r="E104" s="56" t="s">
        <v>800</v>
      </c>
      <c r="F104" s="56" t="s">
        <v>570</v>
      </c>
      <c r="G104">
        <v>0.24</v>
      </c>
      <c r="H104" s="56" t="s">
        <v>571</v>
      </c>
      <c r="I104" s="56" t="s">
        <v>801</v>
      </c>
      <c r="J104">
        <v>0</v>
      </c>
      <c r="K104">
        <v>0</v>
      </c>
      <c r="L104">
        <v>12</v>
      </c>
      <c r="M104">
        <v>1800</v>
      </c>
      <c r="N104" s="56" t="s">
        <v>57</v>
      </c>
      <c r="O104">
        <v>1</v>
      </c>
      <c r="P104" s="59">
        <v>1</v>
      </c>
    </row>
    <row r="105" spans="1:16" x14ac:dyDescent="0.25">
      <c r="A105">
        <v>1810</v>
      </c>
      <c r="B105">
        <v>1810</v>
      </c>
      <c r="C105" s="56" t="s">
        <v>802</v>
      </c>
      <c r="D105" s="56" t="s">
        <v>800</v>
      </c>
      <c r="E105" s="56" t="s">
        <v>800</v>
      </c>
      <c r="F105" s="56" t="s">
        <v>570</v>
      </c>
      <c r="G105">
        <v>0.74909999999999999</v>
      </c>
      <c r="H105" s="56" t="s">
        <v>803</v>
      </c>
      <c r="I105" s="56" t="s">
        <v>804</v>
      </c>
      <c r="J105">
        <v>0</v>
      </c>
      <c r="K105">
        <v>0</v>
      </c>
      <c r="L105">
        <v>12</v>
      </c>
      <c r="M105">
        <v>1810</v>
      </c>
      <c r="N105" s="56" t="s">
        <v>60</v>
      </c>
      <c r="O105">
        <v>1</v>
      </c>
      <c r="P105" s="59">
        <v>5</v>
      </c>
    </row>
    <row r="106" spans="1:16" x14ac:dyDescent="0.25">
      <c r="A106">
        <v>1820</v>
      </c>
      <c r="B106">
        <v>1820</v>
      </c>
      <c r="C106" s="56" t="s">
        <v>63</v>
      </c>
      <c r="D106" s="56" t="s">
        <v>800</v>
      </c>
      <c r="E106" s="56" t="s">
        <v>800</v>
      </c>
      <c r="F106" s="56" t="s">
        <v>570</v>
      </c>
      <c r="G106">
        <v>0.6</v>
      </c>
      <c r="H106" s="56" t="s">
        <v>571</v>
      </c>
      <c r="I106" s="56" t="s">
        <v>805</v>
      </c>
      <c r="J106">
        <v>0</v>
      </c>
      <c r="K106">
        <v>0</v>
      </c>
      <c r="L106">
        <v>1</v>
      </c>
      <c r="M106">
        <v>1820</v>
      </c>
      <c r="N106" s="56" t="s">
        <v>63</v>
      </c>
      <c r="O106">
        <v>1</v>
      </c>
      <c r="P106" s="59">
        <v>2.1</v>
      </c>
    </row>
    <row r="107" spans="1:16" x14ac:dyDescent="0.25">
      <c r="A107">
        <v>1850</v>
      </c>
      <c r="B107">
        <v>1850</v>
      </c>
      <c r="C107" s="56" t="s">
        <v>806</v>
      </c>
      <c r="D107" s="56" t="s">
        <v>807</v>
      </c>
      <c r="E107" s="56" t="s">
        <v>807</v>
      </c>
      <c r="F107" s="56" t="s">
        <v>570</v>
      </c>
      <c r="G107">
        <v>0.75</v>
      </c>
      <c r="H107" s="56" t="s">
        <v>571</v>
      </c>
      <c r="I107" s="56" t="s">
        <v>808</v>
      </c>
      <c r="J107">
        <v>0</v>
      </c>
      <c r="K107">
        <v>0</v>
      </c>
      <c r="L107">
        <v>12</v>
      </c>
      <c r="M107">
        <v>1850</v>
      </c>
      <c r="N107" s="56" t="s">
        <v>809</v>
      </c>
      <c r="O107">
        <v>1</v>
      </c>
      <c r="P107" s="59">
        <v>2.75</v>
      </c>
    </row>
    <row r="108" spans="1:16" x14ac:dyDescent="0.25">
      <c r="A108">
        <v>1900</v>
      </c>
      <c r="B108">
        <v>1900</v>
      </c>
      <c r="C108" s="56" t="s">
        <v>810</v>
      </c>
      <c r="D108" s="56" t="s">
        <v>800</v>
      </c>
      <c r="E108" s="56" t="s">
        <v>800</v>
      </c>
      <c r="F108" s="56" t="s">
        <v>570</v>
      </c>
      <c r="G108">
        <v>1.4</v>
      </c>
      <c r="H108" s="56" t="s">
        <v>571</v>
      </c>
      <c r="I108" s="56" t="s">
        <v>811</v>
      </c>
      <c r="J108">
        <v>0</v>
      </c>
      <c r="K108">
        <v>0</v>
      </c>
      <c r="L108">
        <v>1</v>
      </c>
      <c r="M108">
        <v>1900</v>
      </c>
      <c r="N108" s="56" t="s">
        <v>46</v>
      </c>
      <c r="O108">
        <v>1</v>
      </c>
      <c r="P108" s="59">
        <v>5.6</v>
      </c>
    </row>
    <row r="109" spans="1:16" x14ac:dyDescent="0.25">
      <c r="A109">
        <v>1901</v>
      </c>
      <c r="B109">
        <v>1901</v>
      </c>
      <c r="C109" s="56" t="s">
        <v>812</v>
      </c>
      <c r="D109" s="56" t="s">
        <v>800</v>
      </c>
      <c r="E109" s="56" t="s">
        <v>800</v>
      </c>
      <c r="F109" s="56" t="s">
        <v>570</v>
      </c>
      <c r="G109">
        <v>1.5</v>
      </c>
      <c r="H109" s="56" t="s">
        <v>571</v>
      </c>
      <c r="I109" s="56" t="s">
        <v>813</v>
      </c>
      <c r="J109">
        <v>0</v>
      </c>
      <c r="K109">
        <v>0</v>
      </c>
      <c r="L109">
        <v>1</v>
      </c>
      <c r="M109">
        <v>1901</v>
      </c>
      <c r="N109" s="56" t="s">
        <v>48</v>
      </c>
      <c r="O109">
        <v>1</v>
      </c>
      <c r="P109" s="59">
        <v>5.8</v>
      </c>
    </row>
    <row r="110" spans="1:16" x14ac:dyDescent="0.25">
      <c r="A110">
        <v>1910</v>
      </c>
      <c r="B110">
        <v>1910</v>
      </c>
      <c r="C110" s="56" t="s">
        <v>814</v>
      </c>
      <c r="D110" s="56" t="s">
        <v>800</v>
      </c>
      <c r="E110" s="56" t="s">
        <v>800</v>
      </c>
      <c r="F110" s="56" t="s">
        <v>570</v>
      </c>
      <c r="G110">
        <v>3.75</v>
      </c>
      <c r="H110" s="56" t="s">
        <v>571</v>
      </c>
      <c r="I110" s="56" t="s">
        <v>815</v>
      </c>
      <c r="J110">
        <v>0</v>
      </c>
      <c r="K110">
        <v>0</v>
      </c>
      <c r="L110">
        <v>1</v>
      </c>
      <c r="M110">
        <v>1910</v>
      </c>
      <c r="N110" s="56" t="s">
        <v>51</v>
      </c>
      <c r="O110">
        <v>1</v>
      </c>
      <c r="P110" s="59">
        <v>11</v>
      </c>
    </row>
    <row r="111" spans="1:16" x14ac:dyDescent="0.25">
      <c r="A111">
        <v>1920</v>
      </c>
      <c r="B111">
        <v>1920</v>
      </c>
      <c r="C111" s="56" t="s">
        <v>816</v>
      </c>
      <c r="D111" s="56" t="s">
        <v>800</v>
      </c>
      <c r="E111" s="56" t="s">
        <v>800</v>
      </c>
      <c r="F111" s="56" t="s">
        <v>570</v>
      </c>
      <c r="G111">
        <v>3</v>
      </c>
      <c r="H111" s="56" t="s">
        <v>571</v>
      </c>
      <c r="I111" s="56" t="s">
        <v>817</v>
      </c>
      <c r="J111">
        <v>0</v>
      </c>
      <c r="K111">
        <v>0</v>
      </c>
      <c r="L111">
        <v>1</v>
      </c>
      <c r="M111">
        <v>1920</v>
      </c>
      <c r="N111" s="56" t="s">
        <v>54</v>
      </c>
      <c r="O111">
        <v>1</v>
      </c>
      <c r="P111" s="59">
        <v>10.5</v>
      </c>
    </row>
    <row r="112" spans="1:16" x14ac:dyDescent="0.25">
      <c r="A112">
        <v>2000</v>
      </c>
      <c r="B112">
        <v>2000</v>
      </c>
      <c r="C112" s="56" t="s">
        <v>818</v>
      </c>
      <c r="D112" s="56" t="s">
        <v>800</v>
      </c>
      <c r="E112" s="56" t="s">
        <v>800</v>
      </c>
      <c r="F112" s="56" t="s">
        <v>570</v>
      </c>
      <c r="G112">
        <v>2.48</v>
      </c>
      <c r="H112" s="56" t="s">
        <v>571</v>
      </c>
      <c r="I112" s="56" t="s">
        <v>819</v>
      </c>
      <c r="J112">
        <v>0</v>
      </c>
      <c r="K112">
        <v>0</v>
      </c>
      <c r="L112">
        <v>1</v>
      </c>
      <c r="M112">
        <v>2000</v>
      </c>
      <c r="N112" s="56" t="s">
        <v>66</v>
      </c>
      <c r="O112">
        <v>1</v>
      </c>
      <c r="P112" s="59">
        <v>7.5</v>
      </c>
    </row>
    <row r="113" spans="1:16" x14ac:dyDescent="0.25">
      <c r="A113">
        <v>2100</v>
      </c>
      <c r="B113">
        <v>2100</v>
      </c>
      <c r="C113" s="56" t="s">
        <v>820</v>
      </c>
      <c r="D113" s="56" t="s">
        <v>821</v>
      </c>
      <c r="E113" s="56" t="s">
        <v>821</v>
      </c>
      <c r="F113" s="56" t="s">
        <v>570</v>
      </c>
      <c r="G113">
        <v>6.82</v>
      </c>
      <c r="H113" s="56" t="s">
        <v>571</v>
      </c>
      <c r="I113" s="56" t="s">
        <v>822</v>
      </c>
      <c r="J113">
        <v>0</v>
      </c>
      <c r="K113">
        <v>0</v>
      </c>
      <c r="L113">
        <v>1</v>
      </c>
      <c r="M113">
        <v>2100</v>
      </c>
      <c r="N113" s="56" t="s">
        <v>270</v>
      </c>
      <c r="O113">
        <v>1</v>
      </c>
      <c r="P113" s="59">
        <v>20</v>
      </c>
    </row>
    <row r="114" spans="1:16" x14ac:dyDescent="0.25">
      <c r="A114">
        <v>2101</v>
      </c>
      <c r="B114">
        <v>2101</v>
      </c>
      <c r="C114" s="56" t="s">
        <v>1724</v>
      </c>
      <c r="D114" s="56" t="s">
        <v>821</v>
      </c>
      <c r="E114" s="56" t="s">
        <v>821</v>
      </c>
      <c r="F114" s="56" t="s">
        <v>570</v>
      </c>
      <c r="G114">
        <v>1.75</v>
      </c>
      <c r="H114" s="56" t="s">
        <v>571</v>
      </c>
      <c r="I114" s="56" t="s">
        <v>1725</v>
      </c>
      <c r="J114">
        <v>0</v>
      </c>
      <c r="K114">
        <v>0</v>
      </c>
      <c r="L114">
        <v>72</v>
      </c>
      <c r="M114">
        <v>2101</v>
      </c>
      <c r="N114" s="56" t="s">
        <v>1726</v>
      </c>
      <c r="O114">
        <v>1</v>
      </c>
      <c r="P114" s="59">
        <v>7</v>
      </c>
    </row>
    <row r="115" spans="1:16" x14ac:dyDescent="0.25">
      <c r="A115">
        <v>2200</v>
      </c>
      <c r="B115">
        <v>2200</v>
      </c>
      <c r="C115" s="56" t="s">
        <v>823</v>
      </c>
      <c r="D115" s="56" t="s">
        <v>824</v>
      </c>
      <c r="E115" s="56" t="s">
        <v>824</v>
      </c>
      <c r="F115" s="56" t="s">
        <v>570</v>
      </c>
      <c r="G115">
        <v>0.41799999999999998</v>
      </c>
      <c r="H115" s="56" t="s">
        <v>571</v>
      </c>
      <c r="I115" s="56" t="s">
        <v>825</v>
      </c>
      <c r="J115">
        <v>0</v>
      </c>
      <c r="K115">
        <v>0</v>
      </c>
      <c r="L115">
        <v>150</v>
      </c>
      <c r="M115">
        <v>2200</v>
      </c>
      <c r="N115" s="56" t="s">
        <v>201</v>
      </c>
      <c r="O115">
        <v>1</v>
      </c>
      <c r="P115" s="59">
        <v>3.15</v>
      </c>
    </row>
    <row r="116" spans="1:16" x14ac:dyDescent="0.25">
      <c r="A116">
        <v>2201</v>
      </c>
      <c r="B116">
        <v>2201</v>
      </c>
      <c r="C116" s="56" t="s">
        <v>826</v>
      </c>
      <c r="D116" s="56" t="s">
        <v>824</v>
      </c>
      <c r="E116" s="56" t="s">
        <v>824</v>
      </c>
      <c r="F116" s="56" t="s">
        <v>570</v>
      </c>
      <c r="G116">
        <v>0.27</v>
      </c>
      <c r="H116" s="56" t="s">
        <v>571</v>
      </c>
      <c r="I116" s="56" t="s">
        <v>827</v>
      </c>
      <c r="J116">
        <v>0</v>
      </c>
      <c r="K116">
        <v>0</v>
      </c>
      <c r="L116">
        <v>100</v>
      </c>
      <c r="M116">
        <v>2201</v>
      </c>
      <c r="N116" s="56" t="s">
        <v>204</v>
      </c>
      <c r="O116">
        <v>1</v>
      </c>
      <c r="P116" s="59">
        <v>0.9</v>
      </c>
    </row>
    <row r="117" spans="1:16" x14ac:dyDescent="0.25">
      <c r="A117">
        <v>2202</v>
      </c>
      <c r="B117">
        <v>2202</v>
      </c>
      <c r="C117" s="56" t="s">
        <v>828</v>
      </c>
      <c r="D117" s="56" t="s">
        <v>824</v>
      </c>
      <c r="E117" s="56" t="s">
        <v>824</v>
      </c>
      <c r="F117" s="56" t="s">
        <v>570</v>
      </c>
      <c r="G117">
        <v>0.5</v>
      </c>
      <c r="H117" s="56" t="s">
        <v>571</v>
      </c>
      <c r="I117" s="56" t="s">
        <v>829</v>
      </c>
      <c r="J117">
        <v>0</v>
      </c>
      <c r="K117">
        <v>0</v>
      </c>
      <c r="L117">
        <v>48</v>
      </c>
      <c r="M117">
        <v>2202</v>
      </c>
      <c r="N117" s="56" t="s">
        <v>207</v>
      </c>
      <c r="O117">
        <v>1</v>
      </c>
      <c r="P117" s="59">
        <v>1.5</v>
      </c>
    </row>
    <row r="118" spans="1:16" x14ac:dyDescent="0.25">
      <c r="A118">
        <v>2230</v>
      </c>
      <c r="B118">
        <v>2230</v>
      </c>
      <c r="C118" s="56" t="s">
        <v>830</v>
      </c>
      <c r="D118" s="56" t="s">
        <v>824</v>
      </c>
      <c r="E118" s="56" t="s">
        <v>824</v>
      </c>
      <c r="F118" s="56" t="s">
        <v>570</v>
      </c>
      <c r="G118">
        <v>9.5000000000000001E-2</v>
      </c>
      <c r="H118" s="56" t="s">
        <v>571</v>
      </c>
      <c r="I118" s="56" t="s">
        <v>831</v>
      </c>
      <c r="J118">
        <v>0</v>
      </c>
      <c r="K118">
        <v>0</v>
      </c>
      <c r="L118">
        <v>144</v>
      </c>
      <c r="M118">
        <v>2230</v>
      </c>
      <c r="N118" s="56" t="s">
        <v>210</v>
      </c>
      <c r="O118">
        <v>1</v>
      </c>
      <c r="P118" s="59">
        <v>0.35</v>
      </c>
    </row>
    <row r="119" spans="1:16" x14ac:dyDescent="0.25">
      <c r="A119">
        <v>2231</v>
      </c>
      <c r="B119">
        <v>2231</v>
      </c>
      <c r="C119" s="56" t="s">
        <v>832</v>
      </c>
      <c r="D119" s="56" t="s">
        <v>824</v>
      </c>
      <c r="E119" s="56" t="s">
        <v>824</v>
      </c>
      <c r="F119" s="56" t="s">
        <v>570</v>
      </c>
      <c r="G119">
        <v>1.7999999999999999E-2</v>
      </c>
      <c r="H119" s="56" t="s">
        <v>571</v>
      </c>
      <c r="I119" s="56" t="s">
        <v>833</v>
      </c>
      <c r="J119">
        <v>0</v>
      </c>
      <c r="K119">
        <v>0</v>
      </c>
      <c r="L119">
        <v>1000</v>
      </c>
      <c r="M119">
        <v>2231</v>
      </c>
      <c r="N119" s="56" t="s">
        <v>212</v>
      </c>
      <c r="O119">
        <v>1</v>
      </c>
      <c r="P119" s="59">
        <v>0.15</v>
      </c>
    </row>
    <row r="120" spans="1:16" x14ac:dyDescent="0.25">
      <c r="A120">
        <v>2240</v>
      </c>
      <c r="B120">
        <v>2240</v>
      </c>
      <c r="C120" s="56" t="s">
        <v>834</v>
      </c>
      <c r="D120" s="56" t="s">
        <v>824</v>
      </c>
      <c r="E120" s="56" t="s">
        <v>824</v>
      </c>
      <c r="F120" s="56" t="s">
        <v>570</v>
      </c>
      <c r="G120">
        <v>18</v>
      </c>
      <c r="H120" s="56" t="s">
        <v>571</v>
      </c>
      <c r="I120" s="56" t="s">
        <v>835</v>
      </c>
      <c r="J120">
        <v>0</v>
      </c>
      <c r="K120">
        <v>0</v>
      </c>
      <c r="L120">
        <v>4</v>
      </c>
      <c r="M120">
        <v>2240</v>
      </c>
      <c r="N120" s="56" t="s">
        <v>836</v>
      </c>
      <c r="O120">
        <v>1</v>
      </c>
      <c r="P120" s="59">
        <v>20</v>
      </c>
    </row>
    <row r="121" spans="1:16" x14ac:dyDescent="0.25">
      <c r="A121">
        <v>2300</v>
      </c>
      <c r="B121">
        <v>2300</v>
      </c>
      <c r="C121" s="56" t="s">
        <v>837</v>
      </c>
      <c r="D121" s="56" t="s">
        <v>838</v>
      </c>
      <c r="E121" s="56" t="s">
        <v>838</v>
      </c>
      <c r="F121" s="56" t="s">
        <v>570</v>
      </c>
      <c r="G121">
        <v>0.34</v>
      </c>
      <c r="H121" s="56" t="s">
        <v>571</v>
      </c>
      <c r="I121" s="56" t="s">
        <v>839</v>
      </c>
      <c r="J121">
        <v>0</v>
      </c>
      <c r="K121">
        <v>0</v>
      </c>
      <c r="L121">
        <v>48</v>
      </c>
      <c r="M121">
        <v>2300</v>
      </c>
      <c r="N121" s="56" t="s">
        <v>220</v>
      </c>
      <c r="O121">
        <v>2</v>
      </c>
      <c r="P121" s="59">
        <v>2.8</v>
      </c>
    </row>
    <row r="122" spans="1:16" x14ac:dyDescent="0.25">
      <c r="A122">
        <v>2301</v>
      </c>
      <c r="B122">
        <v>2301</v>
      </c>
      <c r="C122" s="56" t="s">
        <v>840</v>
      </c>
      <c r="D122" s="56" t="s">
        <v>838</v>
      </c>
      <c r="E122" s="56" t="s">
        <v>838</v>
      </c>
      <c r="F122" s="56" t="s">
        <v>570</v>
      </c>
      <c r="G122">
        <v>1.1000000000000001</v>
      </c>
      <c r="H122" s="56" t="s">
        <v>571</v>
      </c>
      <c r="I122" s="56" t="s">
        <v>841</v>
      </c>
      <c r="J122">
        <v>0</v>
      </c>
      <c r="K122">
        <v>0</v>
      </c>
      <c r="L122">
        <v>12</v>
      </c>
      <c r="M122">
        <v>2301</v>
      </c>
      <c r="N122" s="56" t="s">
        <v>223</v>
      </c>
      <c r="O122">
        <v>1</v>
      </c>
      <c r="P122" s="59">
        <v>3.75</v>
      </c>
    </row>
    <row r="123" spans="1:16" x14ac:dyDescent="0.25">
      <c r="A123">
        <v>2310</v>
      </c>
      <c r="B123">
        <v>2310</v>
      </c>
      <c r="C123" s="56" t="s">
        <v>842</v>
      </c>
      <c r="D123" s="56" t="s">
        <v>838</v>
      </c>
      <c r="E123" s="56" t="s">
        <v>838</v>
      </c>
      <c r="F123" s="56" t="s">
        <v>570</v>
      </c>
      <c r="G123">
        <v>0.34</v>
      </c>
      <c r="H123" s="56" t="s">
        <v>571</v>
      </c>
      <c r="I123" s="56" t="s">
        <v>843</v>
      </c>
      <c r="J123">
        <v>0</v>
      </c>
      <c r="K123">
        <v>0</v>
      </c>
      <c r="L123">
        <v>48</v>
      </c>
      <c r="M123">
        <v>2310</v>
      </c>
      <c r="N123" s="56" t="s">
        <v>225</v>
      </c>
      <c r="O123">
        <v>2</v>
      </c>
      <c r="P123" s="59">
        <v>2.8</v>
      </c>
    </row>
    <row r="124" spans="1:16" x14ac:dyDescent="0.25">
      <c r="A124">
        <v>2400</v>
      </c>
      <c r="B124">
        <v>2400</v>
      </c>
      <c r="C124" s="56" t="s">
        <v>844</v>
      </c>
      <c r="D124" s="56" t="s">
        <v>838</v>
      </c>
      <c r="E124" s="56" t="s">
        <v>838</v>
      </c>
      <c r="F124" s="56" t="s">
        <v>570</v>
      </c>
      <c r="G124">
        <v>13.5</v>
      </c>
      <c r="H124" s="56" t="s">
        <v>571</v>
      </c>
      <c r="I124" s="56" t="s">
        <v>845</v>
      </c>
      <c r="J124">
        <v>0</v>
      </c>
      <c r="K124">
        <v>0</v>
      </c>
      <c r="L124">
        <v>1</v>
      </c>
      <c r="M124">
        <v>2400</v>
      </c>
      <c r="N124" s="56" t="s">
        <v>227</v>
      </c>
      <c r="O124">
        <v>1</v>
      </c>
      <c r="P124" s="59">
        <v>40.5</v>
      </c>
    </row>
    <row r="125" spans="1:16" x14ac:dyDescent="0.25">
      <c r="A125">
        <v>2500</v>
      </c>
      <c r="B125">
        <v>2500</v>
      </c>
      <c r="C125" s="56" t="s">
        <v>846</v>
      </c>
      <c r="D125" s="56" t="s">
        <v>838</v>
      </c>
      <c r="E125" s="56" t="s">
        <v>838</v>
      </c>
      <c r="F125" s="56" t="s">
        <v>570</v>
      </c>
      <c r="G125">
        <v>1.25</v>
      </c>
      <c r="H125" s="56" t="s">
        <v>571</v>
      </c>
      <c r="I125" s="56" t="s">
        <v>847</v>
      </c>
      <c r="J125">
        <v>0</v>
      </c>
      <c r="K125">
        <v>0</v>
      </c>
      <c r="L125">
        <v>1</v>
      </c>
      <c r="M125">
        <v>2500</v>
      </c>
      <c r="N125" s="56" t="s">
        <v>228</v>
      </c>
      <c r="O125">
        <v>1</v>
      </c>
      <c r="P125" s="59">
        <v>4.3</v>
      </c>
    </row>
    <row r="126" spans="1:16" x14ac:dyDescent="0.25">
      <c r="A126">
        <v>2501</v>
      </c>
      <c r="B126">
        <v>2501</v>
      </c>
      <c r="C126" s="56" t="s">
        <v>230</v>
      </c>
      <c r="D126" s="56" t="s">
        <v>838</v>
      </c>
      <c r="E126" s="56" t="s">
        <v>838</v>
      </c>
      <c r="F126" s="56" t="s">
        <v>570</v>
      </c>
      <c r="G126">
        <v>2.75</v>
      </c>
      <c r="H126" s="56" t="s">
        <v>571</v>
      </c>
      <c r="I126" s="56" t="s">
        <v>848</v>
      </c>
      <c r="J126">
        <v>0</v>
      </c>
      <c r="K126">
        <v>0</v>
      </c>
      <c r="L126">
        <v>1</v>
      </c>
      <c r="M126">
        <v>2501</v>
      </c>
      <c r="N126" s="56" t="s">
        <v>230</v>
      </c>
      <c r="O126">
        <v>1</v>
      </c>
      <c r="P126" s="59">
        <v>8.6</v>
      </c>
    </row>
    <row r="127" spans="1:16" x14ac:dyDescent="0.25">
      <c r="A127">
        <v>2510</v>
      </c>
      <c r="B127">
        <v>2510</v>
      </c>
      <c r="C127" s="56" t="s">
        <v>232</v>
      </c>
      <c r="D127" s="56" t="s">
        <v>838</v>
      </c>
      <c r="E127" s="56" t="s">
        <v>838</v>
      </c>
      <c r="F127" s="56" t="s">
        <v>570</v>
      </c>
      <c r="G127">
        <v>0.59</v>
      </c>
      <c r="H127" s="56" t="s">
        <v>849</v>
      </c>
      <c r="I127" s="56" t="s">
        <v>850</v>
      </c>
      <c r="J127">
        <v>0</v>
      </c>
      <c r="K127">
        <v>0</v>
      </c>
      <c r="L127">
        <v>1</v>
      </c>
      <c r="M127">
        <v>2510</v>
      </c>
      <c r="N127" s="56" t="s">
        <v>232</v>
      </c>
      <c r="O127">
        <v>1</v>
      </c>
      <c r="P127" s="59">
        <v>5</v>
      </c>
    </row>
    <row r="128" spans="1:16" x14ac:dyDescent="0.25">
      <c r="A128">
        <v>2520</v>
      </c>
      <c r="B128">
        <v>2520</v>
      </c>
      <c r="C128" s="56" t="s">
        <v>235</v>
      </c>
      <c r="D128" s="56" t="s">
        <v>838</v>
      </c>
      <c r="E128" s="56" t="s">
        <v>838</v>
      </c>
      <c r="F128" s="56" t="s">
        <v>570</v>
      </c>
      <c r="G128">
        <v>6.75</v>
      </c>
      <c r="H128" s="56" t="s">
        <v>571</v>
      </c>
      <c r="I128" s="56" t="s">
        <v>851</v>
      </c>
      <c r="J128">
        <v>0</v>
      </c>
      <c r="K128">
        <v>0</v>
      </c>
      <c r="L128">
        <v>1</v>
      </c>
      <c r="M128">
        <v>2520</v>
      </c>
      <c r="N128" s="56" t="s">
        <v>1723</v>
      </c>
      <c r="O128">
        <v>1</v>
      </c>
      <c r="P128" s="59">
        <v>20</v>
      </c>
    </row>
    <row r="129" spans="1:16" x14ac:dyDescent="0.25">
      <c r="A129">
        <v>2600</v>
      </c>
      <c r="B129">
        <v>2600</v>
      </c>
      <c r="C129" s="56" t="s">
        <v>852</v>
      </c>
      <c r="D129" s="56" t="s">
        <v>853</v>
      </c>
      <c r="E129" s="56" t="s">
        <v>853</v>
      </c>
      <c r="F129" s="56" t="s">
        <v>570</v>
      </c>
      <c r="G129">
        <v>0.43</v>
      </c>
      <c r="H129" s="56" t="s">
        <v>571</v>
      </c>
      <c r="I129" s="56" t="s">
        <v>854</v>
      </c>
      <c r="J129">
        <v>0</v>
      </c>
      <c r="K129">
        <v>0</v>
      </c>
      <c r="L129">
        <v>12</v>
      </c>
      <c r="M129">
        <v>2600</v>
      </c>
      <c r="N129" s="56" t="s">
        <v>239</v>
      </c>
      <c r="O129">
        <v>1</v>
      </c>
      <c r="P129" s="59">
        <v>1.85</v>
      </c>
    </row>
    <row r="130" spans="1:16" x14ac:dyDescent="0.25">
      <c r="A130">
        <v>2601</v>
      </c>
      <c r="B130">
        <v>2601</v>
      </c>
      <c r="C130" s="56" t="s">
        <v>855</v>
      </c>
      <c r="D130" s="56" t="s">
        <v>853</v>
      </c>
      <c r="E130" s="56" t="s">
        <v>853</v>
      </c>
      <c r="F130" s="56" t="s">
        <v>570</v>
      </c>
      <c r="G130">
        <v>1.7050000000000001</v>
      </c>
      <c r="H130" s="56" t="s">
        <v>571</v>
      </c>
      <c r="I130" s="56" t="s">
        <v>856</v>
      </c>
      <c r="J130">
        <v>0</v>
      </c>
      <c r="K130">
        <v>0</v>
      </c>
      <c r="L130">
        <v>12</v>
      </c>
      <c r="M130">
        <v>2601</v>
      </c>
      <c r="N130" s="56" t="s">
        <v>241</v>
      </c>
      <c r="O130">
        <v>1</v>
      </c>
      <c r="P130" s="59">
        <v>5.25</v>
      </c>
    </row>
    <row r="131" spans="1:16" x14ac:dyDescent="0.25">
      <c r="A131">
        <v>2602</v>
      </c>
      <c r="B131">
        <v>2602</v>
      </c>
      <c r="C131" s="56" t="s">
        <v>857</v>
      </c>
      <c r="D131" s="56" t="s">
        <v>853</v>
      </c>
      <c r="E131" s="56" t="s">
        <v>853</v>
      </c>
      <c r="F131" s="56" t="s">
        <v>570</v>
      </c>
      <c r="G131">
        <v>7.99</v>
      </c>
      <c r="H131" s="56" t="s">
        <v>858</v>
      </c>
      <c r="I131" s="56" t="s">
        <v>859</v>
      </c>
      <c r="J131">
        <v>0</v>
      </c>
      <c r="K131">
        <v>0</v>
      </c>
      <c r="L131">
        <v>1</v>
      </c>
      <c r="M131">
        <v>2602</v>
      </c>
      <c r="N131" s="56" t="s">
        <v>250</v>
      </c>
      <c r="O131">
        <v>1</v>
      </c>
      <c r="P131" s="59">
        <v>22</v>
      </c>
    </row>
    <row r="132" spans="1:16" x14ac:dyDescent="0.25">
      <c r="A132">
        <v>2603</v>
      </c>
      <c r="B132">
        <v>2603</v>
      </c>
      <c r="C132" s="56" t="s">
        <v>860</v>
      </c>
      <c r="D132" s="56" t="s">
        <v>853</v>
      </c>
      <c r="E132" s="56" t="s">
        <v>853</v>
      </c>
      <c r="F132" s="56" t="s">
        <v>570</v>
      </c>
      <c r="G132">
        <v>4.3899999999999997</v>
      </c>
      <c r="H132" s="56" t="s">
        <v>858</v>
      </c>
      <c r="I132" s="56" t="s">
        <v>861</v>
      </c>
      <c r="J132">
        <v>0</v>
      </c>
      <c r="K132">
        <v>0</v>
      </c>
      <c r="L132">
        <v>1</v>
      </c>
      <c r="M132">
        <v>2603</v>
      </c>
      <c r="N132" s="56" t="s">
        <v>251</v>
      </c>
      <c r="O132">
        <v>1</v>
      </c>
      <c r="P132" s="59">
        <v>13</v>
      </c>
    </row>
    <row r="133" spans="1:16" x14ac:dyDescent="0.25">
      <c r="A133">
        <v>2604</v>
      </c>
      <c r="B133">
        <v>2604</v>
      </c>
      <c r="C133" s="56" t="s">
        <v>862</v>
      </c>
      <c r="D133" s="56" t="s">
        <v>853</v>
      </c>
      <c r="E133" s="56" t="s">
        <v>853</v>
      </c>
      <c r="F133" s="56" t="s">
        <v>570</v>
      </c>
      <c r="G133">
        <v>5.49</v>
      </c>
      <c r="H133" s="56" t="s">
        <v>858</v>
      </c>
      <c r="I133" s="56" t="s">
        <v>863</v>
      </c>
      <c r="J133">
        <v>0</v>
      </c>
      <c r="K133">
        <v>0</v>
      </c>
      <c r="L133">
        <v>1</v>
      </c>
      <c r="M133">
        <v>2604</v>
      </c>
      <c r="N133" s="56" t="s">
        <v>253</v>
      </c>
      <c r="O133">
        <v>1</v>
      </c>
      <c r="P133" s="59">
        <v>15</v>
      </c>
    </row>
    <row r="134" spans="1:16" x14ac:dyDescent="0.25">
      <c r="A134">
        <v>2605</v>
      </c>
      <c r="B134">
        <v>2605</v>
      </c>
      <c r="C134" s="56" t="s">
        <v>864</v>
      </c>
      <c r="D134" s="56" t="s">
        <v>853</v>
      </c>
      <c r="E134" s="56" t="s">
        <v>853</v>
      </c>
      <c r="F134" s="56" t="s">
        <v>570</v>
      </c>
      <c r="G134">
        <v>6.95</v>
      </c>
      <c r="H134" s="56" t="s">
        <v>858</v>
      </c>
      <c r="I134" s="56" t="s">
        <v>865</v>
      </c>
      <c r="J134">
        <v>0</v>
      </c>
      <c r="K134">
        <v>0</v>
      </c>
      <c r="L134">
        <v>1</v>
      </c>
      <c r="M134">
        <v>2605</v>
      </c>
      <c r="N134" s="56" t="s">
        <v>254</v>
      </c>
      <c r="O134">
        <v>1</v>
      </c>
      <c r="P134" s="59">
        <v>21</v>
      </c>
    </row>
    <row r="135" spans="1:16" x14ac:dyDescent="0.25">
      <c r="A135">
        <v>2606</v>
      </c>
      <c r="B135">
        <v>2606</v>
      </c>
      <c r="C135" s="56" t="s">
        <v>866</v>
      </c>
      <c r="D135" s="56" t="s">
        <v>853</v>
      </c>
      <c r="E135" s="56" t="s">
        <v>853</v>
      </c>
      <c r="F135" s="56" t="s">
        <v>570</v>
      </c>
      <c r="G135">
        <v>6.87</v>
      </c>
      <c r="H135" s="56" t="s">
        <v>858</v>
      </c>
      <c r="I135" s="56" t="s">
        <v>867</v>
      </c>
      <c r="J135">
        <v>0</v>
      </c>
      <c r="K135">
        <v>0</v>
      </c>
      <c r="L135">
        <v>1</v>
      </c>
      <c r="M135">
        <v>2606</v>
      </c>
      <c r="N135" s="56" t="s">
        <v>257</v>
      </c>
      <c r="O135">
        <v>1</v>
      </c>
      <c r="P135" s="59">
        <v>20</v>
      </c>
    </row>
    <row r="136" spans="1:16" x14ac:dyDescent="0.25">
      <c r="A136">
        <v>2610</v>
      </c>
      <c r="B136">
        <v>2610</v>
      </c>
      <c r="C136" s="56" t="s">
        <v>868</v>
      </c>
      <c r="D136" s="56" t="s">
        <v>853</v>
      </c>
      <c r="E136" s="56" t="s">
        <v>853</v>
      </c>
      <c r="F136" s="56" t="s">
        <v>570</v>
      </c>
      <c r="G136">
        <v>2.86</v>
      </c>
      <c r="H136" s="56" t="s">
        <v>571</v>
      </c>
      <c r="I136" s="56" t="s">
        <v>869</v>
      </c>
      <c r="J136">
        <v>0</v>
      </c>
      <c r="K136">
        <v>0</v>
      </c>
      <c r="L136">
        <v>12</v>
      </c>
      <c r="M136">
        <v>2610</v>
      </c>
      <c r="N136" s="56" t="s">
        <v>243</v>
      </c>
      <c r="O136">
        <v>1</v>
      </c>
      <c r="P136" s="59">
        <v>8.75</v>
      </c>
    </row>
    <row r="137" spans="1:16" x14ac:dyDescent="0.25">
      <c r="A137">
        <v>2611</v>
      </c>
      <c r="B137">
        <v>2611</v>
      </c>
      <c r="C137" s="56" t="s">
        <v>870</v>
      </c>
      <c r="D137" s="56" t="s">
        <v>853</v>
      </c>
      <c r="E137" s="56" t="s">
        <v>853</v>
      </c>
      <c r="F137" s="56" t="s">
        <v>570</v>
      </c>
      <c r="G137">
        <v>3.4</v>
      </c>
      <c r="H137" s="56" t="s">
        <v>571</v>
      </c>
      <c r="I137" s="56" t="s">
        <v>871</v>
      </c>
      <c r="J137">
        <v>0</v>
      </c>
      <c r="K137">
        <v>0</v>
      </c>
      <c r="L137">
        <v>12</v>
      </c>
      <c r="M137">
        <v>2611</v>
      </c>
      <c r="N137" s="56" t="s">
        <v>245</v>
      </c>
      <c r="O137">
        <v>1</v>
      </c>
      <c r="P137" s="59">
        <v>10.5</v>
      </c>
    </row>
    <row r="138" spans="1:16" x14ac:dyDescent="0.25">
      <c r="A138">
        <v>2620</v>
      </c>
      <c r="B138">
        <v>2620</v>
      </c>
      <c r="C138" s="56" t="s">
        <v>872</v>
      </c>
      <c r="D138" s="56" t="s">
        <v>853</v>
      </c>
      <c r="E138" s="56" t="s">
        <v>853</v>
      </c>
      <c r="F138" s="56" t="s">
        <v>570</v>
      </c>
      <c r="G138">
        <v>0.95</v>
      </c>
      <c r="H138" s="56" t="s">
        <v>571</v>
      </c>
      <c r="I138" s="56" t="s">
        <v>873</v>
      </c>
      <c r="J138">
        <v>0</v>
      </c>
      <c r="K138">
        <v>0</v>
      </c>
      <c r="L138">
        <v>1</v>
      </c>
      <c r="M138">
        <v>2620</v>
      </c>
      <c r="N138" s="56" t="s">
        <v>247</v>
      </c>
      <c r="O138">
        <v>1</v>
      </c>
      <c r="P138" s="59">
        <v>2.85</v>
      </c>
    </row>
    <row r="139" spans="1:16" x14ac:dyDescent="0.25">
      <c r="A139">
        <v>2621</v>
      </c>
      <c r="B139">
        <v>2621</v>
      </c>
      <c r="C139" s="56" t="s">
        <v>248</v>
      </c>
      <c r="D139" s="56" t="s">
        <v>853</v>
      </c>
      <c r="E139" s="56" t="s">
        <v>853</v>
      </c>
      <c r="F139" s="56" t="s">
        <v>570</v>
      </c>
      <c r="G139">
        <v>0.93</v>
      </c>
      <c r="H139" s="56" t="s">
        <v>571</v>
      </c>
      <c r="I139" s="56" t="s">
        <v>874</v>
      </c>
      <c r="J139">
        <v>0</v>
      </c>
      <c r="K139">
        <v>0</v>
      </c>
      <c r="L139">
        <v>1</v>
      </c>
      <c r="M139">
        <v>2621</v>
      </c>
      <c r="N139" s="56" t="s">
        <v>248</v>
      </c>
      <c r="O139">
        <v>1</v>
      </c>
      <c r="P139" s="59">
        <v>2.85</v>
      </c>
    </row>
    <row r="140" spans="1:16" x14ac:dyDescent="0.25">
      <c r="A140">
        <v>2622</v>
      </c>
      <c r="B140">
        <v>2622</v>
      </c>
      <c r="C140" s="56" t="s">
        <v>875</v>
      </c>
      <c r="D140" s="56" t="s">
        <v>853</v>
      </c>
      <c r="E140" s="56" t="s">
        <v>853</v>
      </c>
      <c r="F140" s="56" t="s">
        <v>570</v>
      </c>
      <c r="G140">
        <v>0.98329999999999995</v>
      </c>
      <c r="H140" s="56" t="s">
        <v>571</v>
      </c>
      <c r="I140" s="56" t="s">
        <v>876</v>
      </c>
      <c r="J140">
        <v>0</v>
      </c>
      <c r="K140">
        <v>0</v>
      </c>
      <c r="L140">
        <v>72</v>
      </c>
      <c r="M140">
        <v>2622</v>
      </c>
      <c r="N140" s="56" t="s">
        <v>262</v>
      </c>
      <c r="O140">
        <v>1</v>
      </c>
      <c r="P140" s="59">
        <v>3.5</v>
      </c>
    </row>
    <row r="141" spans="1:16" x14ac:dyDescent="0.25">
      <c r="A141">
        <v>2650</v>
      </c>
      <c r="B141">
        <v>2650</v>
      </c>
      <c r="C141" s="56" t="s">
        <v>877</v>
      </c>
      <c r="D141" s="56" t="s">
        <v>878</v>
      </c>
      <c r="E141" s="56" t="s">
        <v>878</v>
      </c>
      <c r="F141" s="56" t="s">
        <v>570</v>
      </c>
      <c r="G141">
        <v>0.95</v>
      </c>
      <c r="H141" s="56" t="s">
        <v>571</v>
      </c>
      <c r="I141" s="56" t="s">
        <v>879</v>
      </c>
      <c r="J141">
        <v>0</v>
      </c>
      <c r="K141">
        <v>0</v>
      </c>
      <c r="L141">
        <v>1</v>
      </c>
      <c r="M141">
        <v>2650</v>
      </c>
      <c r="N141" s="56" t="s">
        <v>203</v>
      </c>
      <c r="O141">
        <v>1</v>
      </c>
      <c r="P141" s="59">
        <v>3.5</v>
      </c>
    </row>
    <row r="142" spans="1:16" x14ac:dyDescent="0.25">
      <c r="A142">
        <v>3000</v>
      </c>
      <c r="B142">
        <v>3000</v>
      </c>
      <c r="C142" s="56" t="s">
        <v>880</v>
      </c>
      <c r="D142" s="56" t="s">
        <v>878</v>
      </c>
      <c r="E142" s="56" t="s">
        <v>878</v>
      </c>
      <c r="F142" s="56" t="s">
        <v>570</v>
      </c>
      <c r="G142">
        <v>0.66</v>
      </c>
      <c r="H142" s="56" t="s">
        <v>571</v>
      </c>
      <c r="I142" s="56" t="s">
        <v>881</v>
      </c>
      <c r="J142">
        <v>0</v>
      </c>
      <c r="K142">
        <v>0</v>
      </c>
      <c r="L142">
        <v>72</v>
      </c>
      <c r="M142">
        <v>3000</v>
      </c>
      <c r="N142" s="56" t="s">
        <v>206</v>
      </c>
      <c r="O142">
        <v>1</v>
      </c>
      <c r="P142" s="59">
        <v>2.1</v>
      </c>
    </row>
    <row r="143" spans="1:16" x14ac:dyDescent="0.25">
      <c r="A143">
        <v>3001</v>
      </c>
      <c r="B143">
        <v>3001</v>
      </c>
      <c r="C143" s="56" t="s">
        <v>882</v>
      </c>
      <c r="D143" s="56" t="s">
        <v>878</v>
      </c>
      <c r="E143" s="56" t="s">
        <v>878</v>
      </c>
      <c r="F143" s="56" t="s">
        <v>570</v>
      </c>
      <c r="G143">
        <v>0.82</v>
      </c>
      <c r="H143" s="56" t="s">
        <v>571</v>
      </c>
      <c r="I143" s="56" t="s">
        <v>883</v>
      </c>
      <c r="J143">
        <v>0</v>
      </c>
      <c r="K143">
        <v>0</v>
      </c>
      <c r="L143">
        <v>72</v>
      </c>
      <c r="M143">
        <v>3001</v>
      </c>
      <c r="N143" s="56" t="s">
        <v>209</v>
      </c>
      <c r="O143">
        <v>1</v>
      </c>
      <c r="P143" s="59">
        <v>2.5</v>
      </c>
    </row>
    <row r="144" spans="1:16" x14ac:dyDescent="0.25">
      <c r="A144">
        <v>3020</v>
      </c>
      <c r="B144">
        <v>3020</v>
      </c>
      <c r="C144" s="56" t="s">
        <v>884</v>
      </c>
      <c r="D144" s="56" t="s">
        <v>878</v>
      </c>
      <c r="E144" s="56" t="s">
        <v>878</v>
      </c>
      <c r="F144" s="56" t="s">
        <v>570</v>
      </c>
      <c r="G144">
        <v>0.69</v>
      </c>
      <c r="H144" s="56" t="s">
        <v>571</v>
      </c>
      <c r="I144" s="56" t="s">
        <v>885</v>
      </c>
      <c r="J144">
        <v>0</v>
      </c>
      <c r="K144">
        <v>0</v>
      </c>
      <c r="L144">
        <v>72</v>
      </c>
      <c r="M144">
        <v>3020</v>
      </c>
      <c r="N144" s="56" t="s">
        <v>886</v>
      </c>
      <c r="O144">
        <v>1</v>
      </c>
      <c r="P144" s="59">
        <v>2.8</v>
      </c>
    </row>
    <row r="145" spans="1:16" x14ac:dyDescent="0.25">
      <c r="A145">
        <v>3030</v>
      </c>
      <c r="B145">
        <v>3030</v>
      </c>
      <c r="C145" s="56" t="s">
        <v>214</v>
      </c>
      <c r="D145" s="56" t="s">
        <v>878</v>
      </c>
      <c r="E145" s="56" t="s">
        <v>878</v>
      </c>
      <c r="F145" s="56" t="s">
        <v>570</v>
      </c>
      <c r="G145">
        <v>3.5000000000000003E-2</v>
      </c>
      <c r="H145" s="56" t="s">
        <v>571</v>
      </c>
      <c r="I145" s="56" t="s">
        <v>887</v>
      </c>
      <c r="J145">
        <v>0</v>
      </c>
      <c r="K145">
        <v>0</v>
      </c>
      <c r="L145">
        <v>144</v>
      </c>
      <c r="M145">
        <v>3030</v>
      </c>
      <c r="N145" s="56" t="s">
        <v>214</v>
      </c>
      <c r="O145">
        <v>1</v>
      </c>
      <c r="P145" s="59">
        <v>0.25</v>
      </c>
    </row>
    <row r="146" spans="1:16" x14ac:dyDescent="0.25">
      <c r="A146">
        <v>3031</v>
      </c>
      <c r="B146">
        <v>3031</v>
      </c>
      <c r="C146" s="56" t="s">
        <v>888</v>
      </c>
      <c r="D146" s="56" t="s">
        <v>878</v>
      </c>
      <c r="E146" s="56" t="s">
        <v>878</v>
      </c>
      <c r="F146" s="56" t="s">
        <v>570</v>
      </c>
      <c r="G146">
        <v>0.08</v>
      </c>
      <c r="H146" s="56" t="s">
        <v>571</v>
      </c>
      <c r="I146" s="56" t="s">
        <v>889</v>
      </c>
      <c r="J146">
        <v>0</v>
      </c>
      <c r="K146">
        <v>0</v>
      </c>
      <c r="L146">
        <v>20</v>
      </c>
      <c r="M146">
        <v>3031</v>
      </c>
      <c r="N146" s="56" t="s">
        <v>216</v>
      </c>
      <c r="O146">
        <v>1</v>
      </c>
      <c r="P146" s="59">
        <v>0.5</v>
      </c>
    </row>
    <row r="147" spans="1:16" x14ac:dyDescent="0.25">
      <c r="A147">
        <v>3035</v>
      </c>
      <c r="B147">
        <v>3035</v>
      </c>
      <c r="C147" s="56" t="s">
        <v>890</v>
      </c>
      <c r="D147" s="56" t="s">
        <v>878</v>
      </c>
      <c r="E147" s="56" t="s">
        <v>878</v>
      </c>
      <c r="F147" s="56" t="s">
        <v>570</v>
      </c>
      <c r="G147">
        <v>1.35</v>
      </c>
      <c r="H147" s="56" t="s">
        <v>571</v>
      </c>
      <c r="I147" s="56" t="s">
        <v>891</v>
      </c>
      <c r="J147">
        <v>0</v>
      </c>
      <c r="K147">
        <v>0</v>
      </c>
      <c r="L147">
        <v>12</v>
      </c>
      <c r="M147">
        <v>3035</v>
      </c>
      <c r="N147" s="56" t="s">
        <v>219</v>
      </c>
      <c r="O147">
        <v>1</v>
      </c>
      <c r="P147" s="59">
        <v>5</v>
      </c>
    </row>
    <row r="148" spans="1:16" x14ac:dyDescent="0.25">
      <c r="A148">
        <v>3040</v>
      </c>
      <c r="B148">
        <v>3040</v>
      </c>
      <c r="C148" s="56" t="s">
        <v>892</v>
      </c>
      <c r="D148" s="56" t="s">
        <v>878</v>
      </c>
      <c r="E148" s="56" t="s">
        <v>878</v>
      </c>
      <c r="F148" s="56" t="s">
        <v>570</v>
      </c>
      <c r="G148">
        <v>0.05</v>
      </c>
      <c r="H148" s="56" t="s">
        <v>571</v>
      </c>
      <c r="I148" s="56" t="s">
        <v>893</v>
      </c>
      <c r="J148">
        <v>0</v>
      </c>
      <c r="K148">
        <v>0</v>
      </c>
      <c r="L148">
        <v>50</v>
      </c>
      <c r="M148">
        <v>3040</v>
      </c>
      <c r="N148" s="56" t="s">
        <v>222</v>
      </c>
      <c r="O148">
        <v>1</v>
      </c>
      <c r="P148" s="59">
        <v>0.15</v>
      </c>
    </row>
    <row r="149" spans="1:16" x14ac:dyDescent="0.25">
      <c r="A149">
        <v>3050</v>
      </c>
      <c r="B149">
        <v>3050</v>
      </c>
      <c r="C149" s="56" t="s">
        <v>894</v>
      </c>
      <c r="D149" s="56" t="s">
        <v>878</v>
      </c>
      <c r="E149" s="56" t="s">
        <v>878</v>
      </c>
      <c r="F149" s="56" t="s">
        <v>570</v>
      </c>
      <c r="G149">
        <v>0.14000000000000001</v>
      </c>
      <c r="H149" s="56" t="s">
        <v>571</v>
      </c>
      <c r="I149" s="56" t="s">
        <v>895</v>
      </c>
      <c r="J149">
        <v>0</v>
      </c>
      <c r="K149">
        <v>0</v>
      </c>
      <c r="L149">
        <v>144</v>
      </c>
      <c r="M149">
        <v>3050</v>
      </c>
      <c r="N149" s="56" t="s">
        <v>224</v>
      </c>
      <c r="O149">
        <v>1</v>
      </c>
      <c r="P149" s="59">
        <v>0.55000000000000004</v>
      </c>
    </row>
    <row r="150" spans="1:16" x14ac:dyDescent="0.25">
      <c r="A150">
        <v>3051</v>
      </c>
      <c r="B150">
        <v>3051</v>
      </c>
      <c r="C150" s="56" t="s">
        <v>896</v>
      </c>
      <c r="D150" s="56" t="s">
        <v>878</v>
      </c>
      <c r="E150" s="56" t="s">
        <v>878</v>
      </c>
      <c r="F150" s="56" t="s">
        <v>570</v>
      </c>
      <c r="G150">
        <v>0.09</v>
      </c>
      <c r="H150" s="56" t="s">
        <v>571</v>
      </c>
      <c r="I150" s="56" t="s">
        <v>897</v>
      </c>
      <c r="J150">
        <v>0</v>
      </c>
      <c r="K150">
        <v>0</v>
      </c>
      <c r="L150">
        <v>60</v>
      </c>
      <c r="M150">
        <v>3051</v>
      </c>
      <c r="N150" s="56" t="s">
        <v>898</v>
      </c>
      <c r="O150">
        <v>1</v>
      </c>
      <c r="P150" s="59">
        <v>1</v>
      </c>
    </row>
    <row r="151" spans="1:16" x14ac:dyDescent="0.25">
      <c r="A151">
        <v>3052</v>
      </c>
      <c r="B151">
        <v>3052</v>
      </c>
      <c r="C151" s="56" t="s">
        <v>899</v>
      </c>
      <c r="D151" s="56" t="s">
        <v>878</v>
      </c>
      <c r="E151" s="56" t="s">
        <v>878</v>
      </c>
      <c r="F151" s="56" t="s">
        <v>570</v>
      </c>
      <c r="G151">
        <v>0.21</v>
      </c>
      <c r="H151" s="56" t="s">
        <v>571</v>
      </c>
      <c r="I151" s="56" t="s">
        <v>900</v>
      </c>
      <c r="J151">
        <v>0</v>
      </c>
      <c r="K151">
        <v>0</v>
      </c>
      <c r="L151">
        <v>120</v>
      </c>
      <c r="M151">
        <v>3052</v>
      </c>
      <c r="N151" s="56" t="s">
        <v>901</v>
      </c>
      <c r="O151">
        <v>1</v>
      </c>
      <c r="P151" s="59">
        <v>1</v>
      </c>
    </row>
    <row r="152" spans="1:16" x14ac:dyDescent="0.25">
      <c r="A152">
        <v>3060</v>
      </c>
      <c r="B152">
        <v>3060</v>
      </c>
      <c r="C152" s="56" t="s">
        <v>902</v>
      </c>
      <c r="D152" s="56" t="s">
        <v>878</v>
      </c>
      <c r="E152" s="56" t="s">
        <v>878</v>
      </c>
      <c r="F152" s="56" t="s">
        <v>570</v>
      </c>
      <c r="G152">
        <v>0.1</v>
      </c>
      <c r="H152" s="56" t="s">
        <v>571</v>
      </c>
      <c r="I152" s="56" t="s">
        <v>903</v>
      </c>
      <c r="J152">
        <v>0</v>
      </c>
      <c r="K152">
        <v>0</v>
      </c>
      <c r="L152">
        <v>20</v>
      </c>
      <c r="M152">
        <v>3060</v>
      </c>
      <c r="N152" s="56" t="s">
        <v>229</v>
      </c>
      <c r="O152">
        <v>1</v>
      </c>
      <c r="P152" s="59">
        <v>0.5</v>
      </c>
    </row>
    <row r="153" spans="1:16" x14ac:dyDescent="0.25">
      <c r="A153">
        <v>3100</v>
      </c>
      <c r="B153">
        <v>3100</v>
      </c>
      <c r="C153" s="56" t="s">
        <v>234</v>
      </c>
      <c r="D153" s="56" t="s">
        <v>904</v>
      </c>
      <c r="E153" s="56" t="s">
        <v>904</v>
      </c>
      <c r="F153" s="56" t="s">
        <v>570</v>
      </c>
      <c r="G153">
        <v>0.30330000000000001</v>
      </c>
      <c r="H153" s="56" t="s">
        <v>571</v>
      </c>
      <c r="I153" s="56" t="s">
        <v>905</v>
      </c>
      <c r="J153">
        <v>0</v>
      </c>
      <c r="K153">
        <v>0</v>
      </c>
      <c r="L153">
        <v>6</v>
      </c>
      <c r="M153">
        <v>3100</v>
      </c>
      <c r="N153" s="56" t="s">
        <v>906</v>
      </c>
      <c r="O153">
        <v>1</v>
      </c>
      <c r="P153" s="59">
        <v>1.05</v>
      </c>
    </row>
    <row r="154" spans="1:16" x14ac:dyDescent="0.25">
      <c r="A154">
        <v>3101</v>
      </c>
      <c r="B154">
        <v>3101</v>
      </c>
      <c r="C154" s="56" t="s">
        <v>236</v>
      </c>
      <c r="D154" s="56" t="s">
        <v>904</v>
      </c>
      <c r="E154" s="56" t="s">
        <v>904</v>
      </c>
      <c r="F154" s="56" t="s">
        <v>570</v>
      </c>
      <c r="G154">
        <v>0.30330000000000001</v>
      </c>
      <c r="H154" s="56" t="s">
        <v>571</v>
      </c>
      <c r="I154" s="56" t="s">
        <v>907</v>
      </c>
      <c r="J154">
        <v>0</v>
      </c>
      <c r="K154">
        <v>0</v>
      </c>
      <c r="L154">
        <v>6</v>
      </c>
      <c r="M154">
        <v>3101</v>
      </c>
      <c r="N154" s="56" t="s">
        <v>908</v>
      </c>
      <c r="O154">
        <v>1</v>
      </c>
      <c r="P154" s="59">
        <v>1.05</v>
      </c>
    </row>
    <row r="155" spans="1:16" x14ac:dyDescent="0.25">
      <c r="A155">
        <v>3102</v>
      </c>
      <c r="B155">
        <v>3102</v>
      </c>
      <c r="C155" s="56" t="s">
        <v>237</v>
      </c>
      <c r="D155" s="56" t="s">
        <v>904</v>
      </c>
      <c r="E155" s="56" t="s">
        <v>904</v>
      </c>
      <c r="F155" s="56" t="s">
        <v>570</v>
      </c>
      <c r="G155">
        <v>0.30330000000000001</v>
      </c>
      <c r="H155" s="56" t="s">
        <v>571</v>
      </c>
      <c r="I155" s="56" t="s">
        <v>909</v>
      </c>
      <c r="J155">
        <v>0</v>
      </c>
      <c r="K155">
        <v>0</v>
      </c>
      <c r="L155">
        <v>6</v>
      </c>
      <c r="M155">
        <v>3102</v>
      </c>
      <c r="N155" s="56" t="s">
        <v>910</v>
      </c>
      <c r="O155">
        <v>1</v>
      </c>
      <c r="P155" s="59">
        <v>1.05</v>
      </c>
    </row>
    <row r="156" spans="1:16" x14ac:dyDescent="0.25">
      <c r="A156">
        <v>3103</v>
      </c>
      <c r="B156">
        <v>3103</v>
      </c>
      <c r="C156" s="56" t="s">
        <v>911</v>
      </c>
      <c r="D156" s="56" t="s">
        <v>904</v>
      </c>
      <c r="E156" s="56" t="s">
        <v>904</v>
      </c>
      <c r="F156" s="56" t="s">
        <v>570</v>
      </c>
      <c r="G156">
        <v>0.30330000000000001</v>
      </c>
      <c r="H156" s="56" t="s">
        <v>571</v>
      </c>
      <c r="I156" s="56" t="s">
        <v>912</v>
      </c>
      <c r="J156">
        <v>0</v>
      </c>
      <c r="K156">
        <v>0</v>
      </c>
      <c r="L156">
        <v>6</v>
      </c>
      <c r="M156">
        <v>3103</v>
      </c>
      <c r="N156" s="56" t="s">
        <v>913</v>
      </c>
      <c r="O156">
        <v>1</v>
      </c>
      <c r="P156" s="59">
        <v>1.05</v>
      </c>
    </row>
    <row r="157" spans="1:16" x14ac:dyDescent="0.25">
      <c r="A157">
        <v>3104</v>
      </c>
      <c r="B157">
        <v>3104</v>
      </c>
      <c r="C157" s="56" t="s">
        <v>240</v>
      </c>
      <c r="D157" s="56" t="s">
        <v>904</v>
      </c>
      <c r="E157" s="56" t="s">
        <v>904</v>
      </c>
      <c r="F157" s="56" t="s">
        <v>570</v>
      </c>
      <c r="G157">
        <v>0.67</v>
      </c>
      <c r="H157" s="56" t="s">
        <v>571</v>
      </c>
      <c r="I157" s="56" t="s">
        <v>914</v>
      </c>
      <c r="J157">
        <v>0</v>
      </c>
      <c r="K157">
        <v>0</v>
      </c>
      <c r="L157">
        <v>6</v>
      </c>
      <c r="M157">
        <v>3104</v>
      </c>
      <c r="N157" s="56" t="s">
        <v>915</v>
      </c>
      <c r="O157">
        <v>1</v>
      </c>
      <c r="P157" s="59">
        <v>1.05</v>
      </c>
    </row>
    <row r="158" spans="1:16" x14ac:dyDescent="0.25">
      <c r="A158">
        <v>3105</v>
      </c>
      <c r="B158">
        <v>3105</v>
      </c>
      <c r="C158" s="56" t="s">
        <v>242</v>
      </c>
      <c r="D158" s="56" t="s">
        <v>904</v>
      </c>
      <c r="E158" s="56" t="s">
        <v>904</v>
      </c>
      <c r="F158" s="56" t="s">
        <v>570</v>
      </c>
      <c r="G158">
        <v>0.30330000000000001</v>
      </c>
      <c r="H158" s="56" t="s">
        <v>571</v>
      </c>
      <c r="I158" s="56" t="s">
        <v>916</v>
      </c>
      <c r="J158">
        <v>0</v>
      </c>
      <c r="K158">
        <v>0</v>
      </c>
      <c r="L158">
        <v>6</v>
      </c>
      <c r="M158">
        <v>3105</v>
      </c>
      <c r="N158" s="56" t="s">
        <v>917</v>
      </c>
      <c r="O158">
        <v>1</v>
      </c>
      <c r="P158" s="59">
        <v>1.05</v>
      </c>
    </row>
    <row r="159" spans="1:16" x14ac:dyDescent="0.25">
      <c r="A159">
        <v>3106</v>
      </c>
      <c r="B159">
        <v>3106</v>
      </c>
      <c r="C159" s="56" t="s">
        <v>244</v>
      </c>
      <c r="D159" s="56" t="s">
        <v>904</v>
      </c>
      <c r="E159" s="56" t="s">
        <v>904</v>
      </c>
      <c r="F159" s="56" t="s">
        <v>570</v>
      </c>
      <c r="G159">
        <v>0.30330000000000001</v>
      </c>
      <c r="H159" s="56" t="s">
        <v>571</v>
      </c>
      <c r="I159" s="56" t="s">
        <v>918</v>
      </c>
      <c r="J159">
        <v>0</v>
      </c>
      <c r="K159">
        <v>0</v>
      </c>
      <c r="L159">
        <v>6</v>
      </c>
      <c r="M159">
        <v>3106</v>
      </c>
      <c r="N159" s="56" t="s">
        <v>919</v>
      </c>
      <c r="O159">
        <v>1</v>
      </c>
      <c r="P159" s="59">
        <v>1.05</v>
      </c>
    </row>
    <row r="160" spans="1:16" x14ac:dyDescent="0.25">
      <c r="A160">
        <v>3107</v>
      </c>
      <c r="B160">
        <v>3107</v>
      </c>
      <c r="C160" s="56" t="s">
        <v>246</v>
      </c>
      <c r="D160" s="56" t="s">
        <v>904</v>
      </c>
      <c r="E160" s="56" t="s">
        <v>904</v>
      </c>
      <c r="F160" s="56" t="s">
        <v>570</v>
      </c>
      <c r="G160">
        <v>0.30330000000000001</v>
      </c>
      <c r="H160" s="56" t="s">
        <v>571</v>
      </c>
      <c r="I160" s="56" t="s">
        <v>920</v>
      </c>
      <c r="J160">
        <v>0</v>
      </c>
      <c r="K160">
        <v>0</v>
      </c>
      <c r="L160">
        <v>6</v>
      </c>
      <c r="M160">
        <v>3107</v>
      </c>
      <c r="N160" s="56" t="s">
        <v>921</v>
      </c>
      <c r="O160">
        <v>1</v>
      </c>
      <c r="P160" s="59">
        <v>1.05</v>
      </c>
    </row>
    <row r="161" spans="1:16" x14ac:dyDescent="0.25">
      <c r="A161">
        <v>3108</v>
      </c>
      <c r="B161">
        <v>3108</v>
      </c>
      <c r="C161" s="56" t="s">
        <v>922</v>
      </c>
      <c r="D161" s="56" t="s">
        <v>904</v>
      </c>
      <c r="E161" s="56" t="s">
        <v>904</v>
      </c>
      <c r="F161" s="56" t="s">
        <v>570</v>
      </c>
      <c r="G161">
        <v>0.30330000000000001</v>
      </c>
      <c r="H161" s="56" t="s">
        <v>571</v>
      </c>
      <c r="I161" s="56" t="s">
        <v>923</v>
      </c>
      <c r="J161">
        <v>0</v>
      </c>
      <c r="K161">
        <v>0</v>
      </c>
      <c r="L161">
        <v>6</v>
      </c>
      <c r="M161">
        <v>3108</v>
      </c>
      <c r="N161" s="56" t="s">
        <v>924</v>
      </c>
      <c r="O161">
        <v>1</v>
      </c>
      <c r="P161" s="59">
        <v>1.05</v>
      </c>
    </row>
    <row r="162" spans="1:16" x14ac:dyDescent="0.25">
      <c r="A162">
        <v>3110</v>
      </c>
      <c r="B162">
        <v>3110</v>
      </c>
      <c r="C162" s="56" t="s">
        <v>249</v>
      </c>
      <c r="D162" s="56" t="s">
        <v>904</v>
      </c>
      <c r="E162" s="56" t="s">
        <v>904</v>
      </c>
      <c r="F162" s="56" t="s">
        <v>570</v>
      </c>
      <c r="G162">
        <v>0.30330000000000001</v>
      </c>
      <c r="H162" s="56" t="s">
        <v>571</v>
      </c>
      <c r="I162" s="56" t="s">
        <v>925</v>
      </c>
      <c r="J162">
        <v>0</v>
      </c>
      <c r="K162">
        <v>0</v>
      </c>
      <c r="L162">
        <v>1</v>
      </c>
      <c r="M162">
        <v>3110</v>
      </c>
      <c r="N162" s="56" t="s">
        <v>926</v>
      </c>
      <c r="O162">
        <v>1</v>
      </c>
      <c r="P162" s="59">
        <v>1.05</v>
      </c>
    </row>
    <row r="163" spans="1:16" x14ac:dyDescent="0.25">
      <c r="A163">
        <v>3111</v>
      </c>
      <c r="B163">
        <v>3111</v>
      </c>
      <c r="C163" s="56" t="s">
        <v>927</v>
      </c>
      <c r="D163" s="56" t="s">
        <v>904</v>
      </c>
      <c r="E163" s="56" t="s">
        <v>904</v>
      </c>
      <c r="F163" s="56" t="s">
        <v>570</v>
      </c>
      <c r="G163">
        <v>0.30330000000000001</v>
      </c>
      <c r="H163" s="56" t="s">
        <v>571</v>
      </c>
      <c r="I163" s="56" t="s">
        <v>928</v>
      </c>
      <c r="J163">
        <v>0</v>
      </c>
      <c r="K163">
        <v>0</v>
      </c>
      <c r="L163">
        <v>6</v>
      </c>
      <c r="M163">
        <v>3111</v>
      </c>
      <c r="N163" s="56" t="s">
        <v>929</v>
      </c>
      <c r="O163">
        <v>1</v>
      </c>
      <c r="P163" s="59">
        <v>1.05</v>
      </c>
    </row>
    <row r="164" spans="1:16" x14ac:dyDescent="0.25">
      <c r="A164">
        <v>3112</v>
      </c>
      <c r="B164">
        <v>3112</v>
      </c>
      <c r="C164" s="56" t="s">
        <v>252</v>
      </c>
      <c r="D164" s="56" t="s">
        <v>904</v>
      </c>
      <c r="E164" s="56" t="s">
        <v>904</v>
      </c>
      <c r="F164" s="56" t="s">
        <v>570</v>
      </c>
      <c r="G164">
        <v>0.30330000000000001</v>
      </c>
      <c r="H164" s="56" t="s">
        <v>571</v>
      </c>
      <c r="I164" s="56" t="s">
        <v>930</v>
      </c>
      <c r="J164">
        <v>0</v>
      </c>
      <c r="K164">
        <v>0</v>
      </c>
      <c r="L164">
        <v>6</v>
      </c>
      <c r="M164">
        <v>3112</v>
      </c>
      <c r="N164" s="56" t="s">
        <v>931</v>
      </c>
      <c r="O164">
        <v>1</v>
      </c>
      <c r="P164" s="59">
        <v>1.05</v>
      </c>
    </row>
    <row r="165" spans="1:16" x14ac:dyDescent="0.25">
      <c r="A165">
        <v>3113</v>
      </c>
      <c r="B165">
        <v>3113</v>
      </c>
      <c r="C165" s="56" t="s">
        <v>932</v>
      </c>
      <c r="D165" s="56" t="s">
        <v>904</v>
      </c>
      <c r="E165" s="56" t="s">
        <v>904</v>
      </c>
      <c r="F165" s="56" t="s">
        <v>570</v>
      </c>
      <c r="G165">
        <v>0.30330000000000001</v>
      </c>
      <c r="H165" s="56" t="s">
        <v>571</v>
      </c>
      <c r="I165" s="56" t="s">
        <v>933</v>
      </c>
      <c r="J165">
        <v>0</v>
      </c>
      <c r="K165">
        <v>0</v>
      </c>
      <c r="L165">
        <v>6</v>
      </c>
      <c r="M165">
        <v>3113</v>
      </c>
      <c r="N165" s="56" t="s">
        <v>934</v>
      </c>
      <c r="O165">
        <v>1</v>
      </c>
      <c r="P165" s="59">
        <v>1.05</v>
      </c>
    </row>
    <row r="166" spans="1:16" x14ac:dyDescent="0.25">
      <c r="A166">
        <v>3150</v>
      </c>
      <c r="B166">
        <v>3150</v>
      </c>
      <c r="C166" s="56" t="s">
        <v>935</v>
      </c>
      <c r="D166" s="56" t="s">
        <v>936</v>
      </c>
      <c r="E166" s="56" t="s">
        <v>936</v>
      </c>
      <c r="F166" s="56" t="s">
        <v>570</v>
      </c>
      <c r="G166">
        <v>1.7</v>
      </c>
      <c r="H166" s="56" t="s">
        <v>571</v>
      </c>
      <c r="I166" s="56" t="s">
        <v>937</v>
      </c>
      <c r="J166">
        <v>0</v>
      </c>
      <c r="K166">
        <v>0</v>
      </c>
      <c r="L166">
        <v>24</v>
      </c>
      <c r="M166">
        <v>3150</v>
      </c>
      <c r="N166" s="56" t="s">
        <v>231</v>
      </c>
      <c r="O166">
        <v>1</v>
      </c>
      <c r="P166" s="59">
        <v>5.25</v>
      </c>
    </row>
    <row r="167" spans="1:16" x14ac:dyDescent="0.25">
      <c r="A167">
        <v>3200</v>
      </c>
      <c r="B167">
        <v>3200</v>
      </c>
      <c r="C167" s="56" t="s">
        <v>261</v>
      </c>
      <c r="D167" s="56" t="s">
        <v>878</v>
      </c>
      <c r="E167" s="56" t="s">
        <v>878</v>
      </c>
      <c r="F167" s="56" t="s">
        <v>570</v>
      </c>
      <c r="G167">
        <v>1.9E-2</v>
      </c>
      <c r="H167" s="56" t="s">
        <v>571</v>
      </c>
      <c r="I167" s="56" t="s">
        <v>938</v>
      </c>
      <c r="J167">
        <v>0</v>
      </c>
      <c r="K167">
        <v>0</v>
      </c>
      <c r="L167">
        <v>1200</v>
      </c>
      <c r="M167">
        <v>3200</v>
      </c>
      <c r="N167" s="56" t="s">
        <v>256</v>
      </c>
      <c r="O167">
        <v>50</v>
      </c>
      <c r="P167" s="59">
        <v>3.1</v>
      </c>
    </row>
    <row r="168" spans="1:16" x14ac:dyDescent="0.25">
      <c r="A168">
        <v>3201</v>
      </c>
      <c r="B168">
        <v>3200</v>
      </c>
      <c r="C168" s="56" t="s">
        <v>939</v>
      </c>
      <c r="D168" s="56" t="s">
        <v>878</v>
      </c>
      <c r="E168" s="56" t="s">
        <v>878</v>
      </c>
      <c r="F168" s="56" t="s">
        <v>570</v>
      </c>
      <c r="G168">
        <v>0.04</v>
      </c>
      <c r="H168" s="56" t="s">
        <v>571</v>
      </c>
      <c r="I168" s="56" t="s">
        <v>940</v>
      </c>
      <c r="J168">
        <v>0</v>
      </c>
      <c r="K168">
        <v>0</v>
      </c>
      <c r="L168">
        <v>1</v>
      </c>
      <c r="M168">
        <v>3201</v>
      </c>
      <c r="N168" s="56" t="s">
        <v>261</v>
      </c>
      <c r="O168">
        <v>1</v>
      </c>
      <c r="P168" s="59">
        <v>0.1</v>
      </c>
    </row>
    <row r="169" spans="1:16" x14ac:dyDescent="0.25">
      <c r="A169">
        <v>3210</v>
      </c>
      <c r="B169">
        <v>3210</v>
      </c>
      <c r="C169" s="56" t="s">
        <v>941</v>
      </c>
      <c r="D169" s="56" t="s">
        <v>878</v>
      </c>
      <c r="E169" s="56" t="s">
        <v>878</v>
      </c>
      <c r="F169" s="56" t="s">
        <v>570</v>
      </c>
      <c r="G169">
        <v>0.124</v>
      </c>
      <c r="H169" s="56" t="s">
        <v>571</v>
      </c>
      <c r="I169" s="56" t="s">
        <v>942</v>
      </c>
      <c r="J169">
        <v>0</v>
      </c>
      <c r="K169">
        <v>0</v>
      </c>
      <c r="L169">
        <v>250</v>
      </c>
      <c r="M169">
        <v>3210</v>
      </c>
      <c r="N169" s="56" t="s">
        <v>265</v>
      </c>
      <c r="O169">
        <v>1</v>
      </c>
      <c r="P169" s="59">
        <v>0.55000000000000004</v>
      </c>
    </row>
    <row r="170" spans="1:16" x14ac:dyDescent="0.25">
      <c r="A170">
        <v>3300</v>
      </c>
      <c r="B170">
        <v>3300</v>
      </c>
      <c r="C170" s="56" t="s">
        <v>531</v>
      </c>
      <c r="D170" s="56" t="s">
        <v>943</v>
      </c>
      <c r="E170" s="56" t="s">
        <v>943</v>
      </c>
      <c r="F170" s="56" t="s">
        <v>570</v>
      </c>
      <c r="G170">
        <v>0.69</v>
      </c>
      <c r="H170" s="56" t="s">
        <v>571</v>
      </c>
      <c r="I170" s="56" t="s">
        <v>944</v>
      </c>
      <c r="J170">
        <v>0</v>
      </c>
      <c r="K170">
        <v>0</v>
      </c>
      <c r="L170">
        <v>500</v>
      </c>
      <c r="M170">
        <v>3300</v>
      </c>
      <c r="N170" s="56" t="s">
        <v>945</v>
      </c>
      <c r="O170">
        <v>1</v>
      </c>
      <c r="P170" s="59">
        <v>0.85</v>
      </c>
    </row>
    <row r="171" spans="1:16" x14ac:dyDescent="0.25">
      <c r="A171">
        <v>3310</v>
      </c>
      <c r="B171">
        <v>3310</v>
      </c>
      <c r="C171" s="56" t="s">
        <v>532</v>
      </c>
      <c r="D171" s="56" t="s">
        <v>878</v>
      </c>
      <c r="E171" s="56" t="s">
        <v>878</v>
      </c>
      <c r="F171" s="56" t="s">
        <v>570</v>
      </c>
      <c r="G171">
        <v>0.45</v>
      </c>
      <c r="H171" s="56" t="s">
        <v>571</v>
      </c>
      <c r="I171" s="56" t="s">
        <v>946</v>
      </c>
      <c r="J171">
        <v>0</v>
      </c>
      <c r="K171">
        <v>0</v>
      </c>
      <c r="L171">
        <v>250</v>
      </c>
      <c r="M171">
        <v>3310</v>
      </c>
      <c r="N171" s="56" t="s">
        <v>947</v>
      </c>
      <c r="O171">
        <v>1</v>
      </c>
      <c r="P171" s="59">
        <v>0.6</v>
      </c>
    </row>
    <row r="172" spans="1:16" x14ac:dyDescent="0.25">
      <c r="A172">
        <v>3400</v>
      </c>
      <c r="B172">
        <v>3400</v>
      </c>
      <c r="C172" s="56" t="s">
        <v>948</v>
      </c>
      <c r="D172" s="56" t="s">
        <v>1</v>
      </c>
      <c r="E172" s="56" t="s">
        <v>1</v>
      </c>
      <c r="F172" s="56" t="s">
        <v>570</v>
      </c>
      <c r="G172">
        <v>5.5</v>
      </c>
      <c r="H172" s="56" t="s">
        <v>571</v>
      </c>
      <c r="I172" s="56" t="s">
        <v>949</v>
      </c>
      <c r="J172">
        <v>0</v>
      </c>
      <c r="K172">
        <v>0</v>
      </c>
      <c r="L172">
        <v>100</v>
      </c>
      <c r="M172">
        <v>3400</v>
      </c>
      <c r="N172" s="56" t="s">
        <v>950</v>
      </c>
      <c r="O172">
        <v>1</v>
      </c>
      <c r="P172" s="59">
        <v>5.5</v>
      </c>
    </row>
    <row r="173" spans="1:16" x14ac:dyDescent="0.25">
      <c r="A173">
        <v>3600</v>
      </c>
      <c r="B173">
        <v>3600</v>
      </c>
      <c r="C173" s="56" t="s">
        <v>951</v>
      </c>
      <c r="D173" s="56" t="s">
        <v>952</v>
      </c>
      <c r="E173" s="56" t="s">
        <v>952</v>
      </c>
      <c r="F173" s="56" t="s">
        <v>570</v>
      </c>
      <c r="G173">
        <v>2</v>
      </c>
      <c r="H173" s="56" t="s">
        <v>571</v>
      </c>
      <c r="I173" s="56" t="s">
        <v>953</v>
      </c>
      <c r="J173">
        <v>0</v>
      </c>
      <c r="K173">
        <v>0</v>
      </c>
      <c r="L173">
        <v>24</v>
      </c>
      <c r="M173">
        <v>3600</v>
      </c>
      <c r="N173" s="56" t="s">
        <v>954</v>
      </c>
      <c r="O173">
        <v>1</v>
      </c>
      <c r="P173" s="59">
        <v>2.5</v>
      </c>
    </row>
    <row r="174" spans="1:16" x14ac:dyDescent="0.25">
      <c r="A174">
        <v>3601</v>
      </c>
      <c r="B174">
        <v>3601</v>
      </c>
      <c r="C174" s="56" t="s">
        <v>955</v>
      </c>
      <c r="D174" s="56" t="s">
        <v>952</v>
      </c>
      <c r="E174" s="56" t="s">
        <v>952</v>
      </c>
      <c r="F174" s="56" t="s">
        <v>570</v>
      </c>
      <c r="G174">
        <v>2.75</v>
      </c>
      <c r="H174" s="56" t="s">
        <v>571</v>
      </c>
      <c r="I174" s="56" t="s">
        <v>956</v>
      </c>
      <c r="J174">
        <v>0</v>
      </c>
      <c r="K174">
        <v>0</v>
      </c>
      <c r="L174">
        <v>1</v>
      </c>
      <c r="M174">
        <v>3601</v>
      </c>
      <c r="N174" s="56" t="s">
        <v>957</v>
      </c>
      <c r="O174">
        <v>1</v>
      </c>
      <c r="P174" s="59">
        <v>3.5</v>
      </c>
    </row>
    <row r="175" spans="1:16" x14ac:dyDescent="0.25">
      <c r="A175">
        <v>3602</v>
      </c>
      <c r="B175">
        <v>3602</v>
      </c>
      <c r="C175" s="56" t="s">
        <v>958</v>
      </c>
      <c r="D175" s="56" t="s">
        <v>952</v>
      </c>
      <c r="E175" s="56" t="s">
        <v>952</v>
      </c>
      <c r="F175" s="56" t="s">
        <v>570</v>
      </c>
      <c r="G175">
        <v>10.99</v>
      </c>
      <c r="H175" s="56" t="s">
        <v>959</v>
      </c>
      <c r="I175" s="56" t="s">
        <v>960</v>
      </c>
      <c r="J175">
        <v>0</v>
      </c>
      <c r="K175">
        <v>0</v>
      </c>
      <c r="L175">
        <v>12</v>
      </c>
      <c r="M175">
        <v>3602</v>
      </c>
      <c r="N175" s="56" t="s">
        <v>961</v>
      </c>
      <c r="O175">
        <v>1</v>
      </c>
      <c r="P175" s="59">
        <v>13.5</v>
      </c>
    </row>
    <row r="176" spans="1:16" x14ac:dyDescent="0.25">
      <c r="A176">
        <v>3610</v>
      </c>
      <c r="B176">
        <v>3610</v>
      </c>
      <c r="C176" s="56" t="s">
        <v>962</v>
      </c>
      <c r="D176" s="56" t="s">
        <v>952</v>
      </c>
      <c r="E176" s="56" t="s">
        <v>952</v>
      </c>
      <c r="F176" s="56" t="s">
        <v>570</v>
      </c>
      <c r="G176">
        <v>3.2250000000000001</v>
      </c>
      <c r="H176" s="56" t="s">
        <v>963</v>
      </c>
      <c r="I176" s="56" t="s">
        <v>964</v>
      </c>
      <c r="J176">
        <v>0</v>
      </c>
      <c r="K176">
        <v>0</v>
      </c>
      <c r="L176">
        <v>1</v>
      </c>
      <c r="M176">
        <v>3610</v>
      </c>
      <c r="N176" s="56" t="s">
        <v>965</v>
      </c>
      <c r="O176">
        <v>1</v>
      </c>
      <c r="P176" s="59">
        <v>4.5</v>
      </c>
    </row>
    <row r="177" spans="1:16" x14ac:dyDescent="0.25">
      <c r="A177">
        <v>3650</v>
      </c>
      <c r="B177">
        <v>3650</v>
      </c>
      <c r="C177" s="56" t="s">
        <v>966</v>
      </c>
      <c r="D177" s="56" t="s">
        <v>952</v>
      </c>
      <c r="E177" s="56" t="s">
        <v>952</v>
      </c>
      <c r="F177" s="56" t="s">
        <v>570</v>
      </c>
      <c r="G177">
        <v>5.75</v>
      </c>
      <c r="H177" s="56" t="s">
        <v>571</v>
      </c>
      <c r="I177" s="56" t="s">
        <v>967</v>
      </c>
      <c r="J177">
        <v>0</v>
      </c>
      <c r="K177">
        <v>0</v>
      </c>
      <c r="L177">
        <v>1</v>
      </c>
      <c r="M177">
        <v>3650</v>
      </c>
      <c r="N177" s="56" t="s">
        <v>968</v>
      </c>
      <c r="O177">
        <v>1</v>
      </c>
      <c r="P177" s="59">
        <v>6.5</v>
      </c>
    </row>
    <row r="178" spans="1:16" x14ac:dyDescent="0.25">
      <c r="A178">
        <v>3651</v>
      </c>
      <c r="B178">
        <v>3651</v>
      </c>
      <c r="C178" s="56" t="s">
        <v>969</v>
      </c>
      <c r="D178" s="56" t="s">
        <v>952</v>
      </c>
      <c r="E178" s="56" t="s">
        <v>952</v>
      </c>
      <c r="F178" s="56" t="s">
        <v>570</v>
      </c>
      <c r="G178">
        <v>12</v>
      </c>
      <c r="H178" s="56" t="s">
        <v>571</v>
      </c>
      <c r="I178" s="56" t="s">
        <v>970</v>
      </c>
      <c r="J178">
        <v>0</v>
      </c>
      <c r="K178">
        <v>0</v>
      </c>
      <c r="L178">
        <v>1</v>
      </c>
      <c r="M178">
        <v>3651</v>
      </c>
      <c r="N178" s="56" t="s">
        <v>969</v>
      </c>
      <c r="O178">
        <v>1</v>
      </c>
      <c r="P178" s="59">
        <v>13</v>
      </c>
    </row>
    <row r="179" spans="1:16" x14ac:dyDescent="0.25">
      <c r="A179">
        <v>3660</v>
      </c>
      <c r="B179">
        <v>3660</v>
      </c>
      <c r="C179" s="56" t="s">
        <v>971</v>
      </c>
      <c r="D179" s="56" t="s">
        <v>952</v>
      </c>
      <c r="E179" s="56" t="s">
        <v>952</v>
      </c>
      <c r="F179" s="56" t="s">
        <v>570</v>
      </c>
      <c r="G179">
        <v>13</v>
      </c>
      <c r="H179" s="56" t="s">
        <v>571</v>
      </c>
      <c r="I179" s="56" t="s">
        <v>972</v>
      </c>
      <c r="J179">
        <v>0</v>
      </c>
      <c r="K179">
        <v>0</v>
      </c>
      <c r="L179">
        <v>1</v>
      </c>
      <c r="M179">
        <v>3660</v>
      </c>
      <c r="N179" s="56" t="s">
        <v>973</v>
      </c>
      <c r="O179">
        <v>1</v>
      </c>
      <c r="P179" s="59">
        <v>17</v>
      </c>
    </row>
    <row r="180" spans="1:16" x14ac:dyDescent="0.25">
      <c r="A180">
        <v>3800</v>
      </c>
      <c r="B180">
        <v>3800</v>
      </c>
      <c r="C180" s="56" t="s">
        <v>974</v>
      </c>
      <c r="D180" s="56" t="s">
        <v>975</v>
      </c>
      <c r="E180" s="56" t="s">
        <v>975</v>
      </c>
      <c r="F180" s="56" t="s">
        <v>570</v>
      </c>
      <c r="G180">
        <v>3.25</v>
      </c>
      <c r="H180" s="56" t="s">
        <v>571</v>
      </c>
      <c r="I180" s="56" t="s">
        <v>976</v>
      </c>
      <c r="J180">
        <v>0</v>
      </c>
      <c r="K180">
        <v>0</v>
      </c>
      <c r="L180">
        <v>1</v>
      </c>
      <c r="M180">
        <v>3800</v>
      </c>
      <c r="N180" s="56" t="s">
        <v>272</v>
      </c>
      <c r="O180">
        <v>1</v>
      </c>
      <c r="P180" s="59">
        <v>11</v>
      </c>
    </row>
    <row r="181" spans="1:16" x14ac:dyDescent="0.25">
      <c r="A181">
        <v>3900</v>
      </c>
      <c r="B181">
        <v>3900</v>
      </c>
      <c r="C181" s="56" t="s">
        <v>977</v>
      </c>
      <c r="D181" s="56" t="s">
        <v>978</v>
      </c>
      <c r="E181" s="56" t="s">
        <v>978</v>
      </c>
      <c r="F181" s="56" t="s">
        <v>570</v>
      </c>
      <c r="G181">
        <v>3.8</v>
      </c>
      <c r="H181" s="56" t="s">
        <v>571</v>
      </c>
      <c r="I181" s="56" t="s">
        <v>979</v>
      </c>
      <c r="J181">
        <v>0</v>
      </c>
      <c r="K181">
        <v>0</v>
      </c>
      <c r="L181">
        <v>100</v>
      </c>
      <c r="M181">
        <v>3900</v>
      </c>
      <c r="N181" s="56" t="s">
        <v>977</v>
      </c>
      <c r="O181">
        <v>1</v>
      </c>
      <c r="P181" s="59">
        <v>13</v>
      </c>
    </row>
    <row r="182" spans="1:16" x14ac:dyDescent="0.25">
      <c r="A182">
        <v>3901</v>
      </c>
      <c r="B182">
        <v>3901</v>
      </c>
      <c r="C182" s="56" t="s">
        <v>980</v>
      </c>
      <c r="D182" s="56" t="s">
        <v>978</v>
      </c>
      <c r="E182" s="56" t="s">
        <v>978</v>
      </c>
      <c r="F182" s="56" t="s">
        <v>570</v>
      </c>
      <c r="G182">
        <v>3.8</v>
      </c>
      <c r="H182" s="56" t="s">
        <v>571</v>
      </c>
      <c r="I182" s="56" t="s">
        <v>981</v>
      </c>
      <c r="J182">
        <v>0</v>
      </c>
      <c r="K182">
        <v>0</v>
      </c>
      <c r="L182">
        <v>100</v>
      </c>
      <c r="M182">
        <v>3901</v>
      </c>
      <c r="N182" s="56" t="s">
        <v>980</v>
      </c>
      <c r="O182">
        <v>1</v>
      </c>
      <c r="P182" s="59">
        <v>13</v>
      </c>
    </row>
    <row r="183" spans="1:16" x14ac:dyDescent="0.25">
      <c r="A183">
        <v>3940</v>
      </c>
      <c r="B183">
        <v>3940</v>
      </c>
      <c r="C183" s="56" t="s">
        <v>984</v>
      </c>
      <c r="D183" s="56" t="s">
        <v>982</v>
      </c>
      <c r="E183" s="56" t="s">
        <v>982</v>
      </c>
      <c r="F183" s="56" t="s">
        <v>570</v>
      </c>
      <c r="G183">
        <v>3.6</v>
      </c>
      <c r="H183" s="56" t="s">
        <v>983</v>
      </c>
      <c r="I183" s="56" t="s">
        <v>985</v>
      </c>
      <c r="J183">
        <v>0</v>
      </c>
      <c r="K183">
        <v>0</v>
      </c>
      <c r="L183">
        <v>90</v>
      </c>
      <c r="M183">
        <v>3940</v>
      </c>
      <c r="N183" s="56" t="s">
        <v>984</v>
      </c>
      <c r="O183">
        <v>1</v>
      </c>
      <c r="P183" s="59">
        <v>13</v>
      </c>
    </row>
    <row r="184" spans="1:16" x14ac:dyDescent="0.25">
      <c r="A184">
        <v>3941</v>
      </c>
      <c r="B184">
        <v>3941</v>
      </c>
      <c r="C184" s="56" t="s">
        <v>986</v>
      </c>
      <c r="D184" s="56" t="s">
        <v>982</v>
      </c>
      <c r="E184" s="56" t="s">
        <v>982</v>
      </c>
      <c r="F184" s="56" t="s">
        <v>570</v>
      </c>
      <c r="G184">
        <v>3.6</v>
      </c>
      <c r="H184" s="56" t="s">
        <v>983</v>
      </c>
      <c r="I184" s="56" t="s">
        <v>987</v>
      </c>
      <c r="J184">
        <v>0</v>
      </c>
      <c r="K184">
        <v>0</v>
      </c>
      <c r="L184">
        <v>90</v>
      </c>
      <c r="M184">
        <v>3941</v>
      </c>
      <c r="N184" s="56" t="s">
        <v>986</v>
      </c>
      <c r="O184">
        <v>1</v>
      </c>
      <c r="P184" s="59">
        <v>13</v>
      </c>
    </row>
    <row r="185" spans="1:16" x14ac:dyDescent="0.25">
      <c r="A185">
        <v>3942</v>
      </c>
      <c r="B185">
        <v>3942</v>
      </c>
      <c r="C185" s="56" t="s">
        <v>988</v>
      </c>
      <c r="D185" s="56" t="s">
        <v>982</v>
      </c>
      <c r="E185" s="56" t="s">
        <v>982</v>
      </c>
      <c r="F185" s="56" t="s">
        <v>570</v>
      </c>
      <c r="G185">
        <v>3.88</v>
      </c>
      <c r="H185" s="56" t="s">
        <v>983</v>
      </c>
      <c r="I185" s="56" t="s">
        <v>989</v>
      </c>
      <c r="J185">
        <v>0</v>
      </c>
      <c r="K185">
        <v>0</v>
      </c>
      <c r="L185">
        <v>90</v>
      </c>
      <c r="M185">
        <v>3942</v>
      </c>
      <c r="N185" s="56" t="s">
        <v>988</v>
      </c>
      <c r="O185">
        <v>1</v>
      </c>
      <c r="P185" s="59">
        <v>13</v>
      </c>
    </row>
    <row r="186" spans="1:16" x14ac:dyDescent="0.25">
      <c r="A186">
        <v>3943</v>
      </c>
      <c r="B186">
        <v>3943</v>
      </c>
      <c r="C186" s="56" t="s">
        <v>990</v>
      </c>
      <c r="D186" s="56" t="s">
        <v>982</v>
      </c>
      <c r="E186" s="56" t="s">
        <v>982</v>
      </c>
      <c r="F186" s="56" t="s">
        <v>570</v>
      </c>
      <c r="G186">
        <v>3.88</v>
      </c>
      <c r="H186" s="56" t="s">
        <v>983</v>
      </c>
      <c r="I186" s="56" t="s">
        <v>991</v>
      </c>
      <c r="J186">
        <v>0</v>
      </c>
      <c r="K186">
        <v>0</v>
      </c>
      <c r="L186">
        <v>90</v>
      </c>
      <c r="M186">
        <v>3943</v>
      </c>
      <c r="N186" s="56" t="s">
        <v>990</v>
      </c>
      <c r="O186">
        <v>1</v>
      </c>
      <c r="P186" s="59">
        <v>13</v>
      </c>
    </row>
    <row r="187" spans="1:16" x14ac:dyDescent="0.25">
      <c r="A187">
        <v>3990</v>
      </c>
      <c r="B187">
        <v>3990</v>
      </c>
      <c r="C187" s="56" t="s">
        <v>269</v>
      </c>
      <c r="D187" s="56" t="s">
        <v>992</v>
      </c>
      <c r="E187" s="56" t="s">
        <v>992</v>
      </c>
      <c r="F187" s="56" t="s">
        <v>570</v>
      </c>
      <c r="G187">
        <v>0.16950000000000001</v>
      </c>
      <c r="H187" s="56" t="s">
        <v>858</v>
      </c>
      <c r="I187" s="56" t="s">
        <v>993</v>
      </c>
      <c r="J187">
        <v>0</v>
      </c>
      <c r="K187">
        <v>0</v>
      </c>
      <c r="L187">
        <v>100</v>
      </c>
      <c r="M187">
        <v>3990</v>
      </c>
      <c r="N187" s="56" t="s">
        <v>269</v>
      </c>
      <c r="O187">
        <v>1</v>
      </c>
      <c r="P187" s="59">
        <v>1</v>
      </c>
    </row>
    <row r="188" spans="1:16" x14ac:dyDescent="0.25">
      <c r="A188">
        <v>4100</v>
      </c>
      <c r="B188">
        <v>4100</v>
      </c>
      <c r="C188" s="56" t="s">
        <v>994</v>
      </c>
      <c r="D188" s="56" t="s">
        <v>807</v>
      </c>
      <c r="E188" s="56" t="s">
        <v>807</v>
      </c>
      <c r="F188" s="56" t="s">
        <v>570</v>
      </c>
      <c r="G188">
        <v>0.34</v>
      </c>
      <c r="H188" s="56" t="s">
        <v>571</v>
      </c>
      <c r="I188" s="56" t="s">
        <v>995</v>
      </c>
      <c r="J188">
        <v>0</v>
      </c>
      <c r="K188">
        <v>0</v>
      </c>
      <c r="L188">
        <v>72</v>
      </c>
      <c r="M188">
        <v>4100</v>
      </c>
      <c r="N188" s="56" t="s">
        <v>131</v>
      </c>
      <c r="O188">
        <v>1</v>
      </c>
      <c r="P188" s="59">
        <v>1.65</v>
      </c>
    </row>
    <row r="189" spans="1:16" x14ac:dyDescent="0.25">
      <c r="A189">
        <v>4101</v>
      </c>
      <c r="B189">
        <v>4101</v>
      </c>
      <c r="C189" s="56" t="s">
        <v>996</v>
      </c>
      <c r="D189" s="56" t="s">
        <v>807</v>
      </c>
      <c r="E189" s="56" t="s">
        <v>807</v>
      </c>
      <c r="F189" s="56" t="s">
        <v>570</v>
      </c>
      <c r="G189">
        <v>0.53</v>
      </c>
      <c r="H189" s="56" t="s">
        <v>571</v>
      </c>
      <c r="I189" s="56" t="s">
        <v>997</v>
      </c>
      <c r="J189">
        <v>0</v>
      </c>
      <c r="K189">
        <v>0</v>
      </c>
      <c r="L189">
        <v>96</v>
      </c>
      <c r="M189">
        <v>4101</v>
      </c>
      <c r="N189" s="56" t="s">
        <v>133</v>
      </c>
      <c r="O189">
        <v>1</v>
      </c>
      <c r="P189" s="59">
        <v>1.8</v>
      </c>
    </row>
    <row r="190" spans="1:16" x14ac:dyDescent="0.25">
      <c r="A190">
        <v>4102</v>
      </c>
      <c r="B190">
        <v>4102</v>
      </c>
      <c r="C190" s="56" t="s">
        <v>998</v>
      </c>
      <c r="D190" s="56" t="s">
        <v>807</v>
      </c>
      <c r="E190" s="56" t="s">
        <v>807</v>
      </c>
      <c r="F190" s="56" t="s">
        <v>570</v>
      </c>
      <c r="G190">
        <v>0.58299999999999996</v>
      </c>
      <c r="H190" s="56" t="s">
        <v>571</v>
      </c>
      <c r="I190" s="56" t="s">
        <v>999</v>
      </c>
      <c r="J190">
        <v>0</v>
      </c>
      <c r="K190">
        <v>0</v>
      </c>
      <c r="L190">
        <v>80</v>
      </c>
      <c r="M190">
        <v>4102</v>
      </c>
      <c r="N190" s="56" t="s">
        <v>135</v>
      </c>
      <c r="O190">
        <v>1</v>
      </c>
      <c r="P190" s="59">
        <v>2</v>
      </c>
    </row>
    <row r="191" spans="1:16" x14ac:dyDescent="0.25">
      <c r="A191">
        <v>4103</v>
      </c>
      <c r="B191">
        <v>4103</v>
      </c>
      <c r="C191" s="56" t="s">
        <v>1000</v>
      </c>
      <c r="D191" s="56" t="s">
        <v>807</v>
      </c>
      <c r="E191" s="56" t="s">
        <v>807</v>
      </c>
      <c r="F191" s="56" t="s">
        <v>570</v>
      </c>
      <c r="G191">
        <v>0.25</v>
      </c>
      <c r="H191" s="56" t="s">
        <v>571</v>
      </c>
      <c r="I191" s="56" t="s">
        <v>1001</v>
      </c>
      <c r="J191">
        <v>0</v>
      </c>
      <c r="K191">
        <v>0</v>
      </c>
      <c r="L191">
        <v>72</v>
      </c>
      <c r="M191">
        <v>4103</v>
      </c>
      <c r="N191" s="56" t="s">
        <v>138</v>
      </c>
      <c r="O191">
        <v>1</v>
      </c>
      <c r="P191" s="59">
        <v>1.25</v>
      </c>
    </row>
    <row r="192" spans="1:16" x14ac:dyDescent="0.25">
      <c r="A192">
        <v>4104</v>
      </c>
      <c r="B192">
        <v>4104</v>
      </c>
      <c r="C192" s="56" t="s">
        <v>1002</v>
      </c>
      <c r="D192" s="56" t="s">
        <v>807</v>
      </c>
      <c r="E192" s="56" t="s">
        <v>807</v>
      </c>
      <c r="F192" s="56" t="s">
        <v>570</v>
      </c>
      <c r="G192">
        <v>0.65</v>
      </c>
      <c r="H192" s="56" t="s">
        <v>571</v>
      </c>
      <c r="I192" s="56" t="s">
        <v>1003</v>
      </c>
      <c r="J192">
        <v>0</v>
      </c>
      <c r="K192">
        <v>0</v>
      </c>
      <c r="L192">
        <v>88</v>
      </c>
      <c r="M192">
        <v>4104</v>
      </c>
      <c r="N192" s="56" t="s">
        <v>140</v>
      </c>
      <c r="O192">
        <v>1</v>
      </c>
      <c r="P192" s="59">
        <v>2.4</v>
      </c>
    </row>
    <row r="193" spans="1:16" x14ac:dyDescent="0.25">
      <c r="A193">
        <v>4108</v>
      </c>
      <c r="B193">
        <v>4108</v>
      </c>
      <c r="C193" s="56" t="s">
        <v>1004</v>
      </c>
      <c r="D193" s="56" t="s">
        <v>807</v>
      </c>
      <c r="E193" s="56" t="s">
        <v>807</v>
      </c>
      <c r="F193" s="56" t="s">
        <v>570</v>
      </c>
      <c r="G193">
        <v>1.6</v>
      </c>
      <c r="H193" s="56" t="s">
        <v>571</v>
      </c>
      <c r="I193" s="56" t="s">
        <v>1005</v>
      </c>
      <c r="J193">
        <v>0</v>
      </c>
      <c r="K193">
        <v>0</v>
      </c>
      <c r="L193">
        <v>24</v>
      </c>
      <c r="M193">
        <v>4108</v>
      </c>
      <c r="N193" s="56" t="s">
        <v>143</v>
      </c>
      <c r="O193">
        <v>1</v>
      </c>
      <c r="P193" s="59">
        <v>5.6</v>
      </c>
    </row>
    <row r="194" spans="1:16" x14ac:dyDescent="0.25">
      <c r="A194">
        <v>4150</v>
      </c>
      <c r="B194">
        <v>4150</v>
      </c>
      <c r="C194" s="56" t="s">
        <v>1006</v>
      </c>
      <c r="D194" s="56" t="s">
        <v>807</v>
      </c>
      <c r="E194" s="56" t="s">
        <v>807</v>
      </c>
      <c r="F194" s="56" t="s">
        <v>570</v>
      </c>
      <c r="G194">
        <v>0.18360000000000001</v>
      </c>
      <c r="H194" s="56" t="s">
        <v>571</v>
      </c>
      <c r="I194" s="56" t="s">
        <v>1007</v>
      </c>
      <c r="J194">
        <v>0</v>
      </c>
      <c r="K194">
        <v>0</v>
      </c>
      <c r="L194">
        <v>100</v>
      </c>
      <c r="M194">
        <v>4150</v>
      </c>
      <c r="N194" s="56" t="s">
        <v>1008</v>
      </c>
      <c r="O194">
        <v>1</v>
      </c>
      <c r="P194" s="59">
        <v>0.75</v>
      </c>
    </row>
    <row r="195" spans="1:16" x14ac:dyDescent="0.25">
      <c r="A195">
        <v>4200</v>
      </c>
      <c r="B195">
        <v>4200</v>
      </c>
      <c r="C195" s="56" t="s">
        <v>525</v>
      </c>
      <c r="D195" s="56" t="s">
        <v>807</v>
      </c>
      <c r="E195" s="56" t="s">
        <v>807</v>
      </c>
      <c r="F195" s="56" t="s">
        <v>570</v>
      </c>
      <c r="G195">
        <v>0.87</v>
      </c>
      <c r="H195" s="56" t="s">
        <v>571</v>
      </c>
      <c r="I195" s="56" t="s">
        <v>1009</v>
      </c>
      <c r="J195">
        <v>0</v>
      </c>
      <c r="K195">
        <v>0</v>
      </c>
      <c r="L195">
        <v>48</v>
      </c>
      <c r="M195">
        <v>4200</v>
      </c>
      <c r="N195" s="56" t="s">
        <v>1010</v>
      </c>
      <c r="O195">
        <v>1</v>
      </c>
      <c r="P195" s="59">
        <v>2.8</v>
      </c>
    </row>
    <row r="196" spans="1:16" x14ac:dyDescent="0.25">
      <c r="A196">
        <v>4201</v>
      </c>
      <c r="B196">
        <v>4201</v>
      </c>
      <c r="C196" s="56" t="s">
        <v>526</v>
      </c>
      <c r="D196" s="56" t="s">
        <v>807</v>
      </c>
      <c r="E196" s="56" t="s">
        <v>807</v>
      </c>
      <c r="F196" s="56" t="s">
        <v>570</v>
      </c>
      <c r="G196">
        <v>0.32</v>
      </c>
      <c r="H196" s="56" t="s">
        <v>571</v>
      </c>
      <c r="I196" s="56" t="s">
        <v>1011</v>
      </c>
      <c r="J196">
        <v>0</v>
      </c>
      <c r="K196">
        <v>0</v>
      </c>
      <c r="L196">
        <v>96</v>
      </c>
      <c r="M196">
        <v>4201</v>
      </c>
      <c r="N196" s="56" t="s">
        <v>1012</v>
      </c>
      <c r="O196">
        <v>1</v>
      </c>
      <c r="P196" s="59">
        <v>1.1499999999999999</v>
      </c>
    </row>
    <row r="197" spans="1:16" x14ac:dyDescent="0.25">
      <c r="A197">
        <v>4210</v>
      </c>
      <c r="B197">
        <v>4210</v>
      </c>
      <c r="C197" s="56" t="s">
        <v>1013</v>
      </c>
      <c r="D197" s="56" t="s">
        <v>807</v>
      </c>
      <c r="E197" s="56" t="s">
        <v>807</v>
      </c>
      <c r="F197" s="56" t="s">
        <v>570</v>
      </c>
      <c r="G197">
        <v>1.4741</v>
      </c>
      <c r="H197" s="56" t="s">
        <v>571</v>
      </c>
      <c r="I197" s="56" t="s">
        <v>1014</v>
      </c>
      <c r="J197">
        <v>0</v>
      </c>
      <c r="K197">
        <v>0</v>
      </c>
      <c r="L197">
        <v>12</v>
      </c>
      <c r="M197">
        <v>4210</v>
      </c>
      <c r="N197" s="56" t="s">
        <v>156</v>
      </c>
      <c r="O197">
        <v>1</v>
      </c>
      <c r="P197" s="59">
        <v>4.5</v>
      </c>
    </row>
    <row r="198" spans="1:16" x14ac:dyDescent="0.25">
      <c r="A198">
        <v>4211</v>
      </c>
      <c r="B198">
        <v>4211</v>
      </c>
      <c r="C198" s="56" t="s">
        <v>1015</v>
      </c>
      <c r="D198" s="56" t="s">
        <v>807</v>
      </c>
      <c r="E198" s="56" t="s">
        <v>807</v>
      </c>
      <c r="F198" s="56" t="s">
        <v>570</v>
      </c>
      <c r="G198">
        <v>1.5065999999999999</v>
      </c>
      <c r="H198" s="56" t="s">
        <v>571</v>
      </c>
      <c r="I198" s="56" t="s">
        <v>1016</v>
      </c>
      <c r="J198">
        <v>0</v>
      </c>
      <c r="K198">
        <v>0</v>
      </c>
      <c r="L198">
        <v>12</v>
      </c>
      <c r="M198">
        <v>4211</v>
      </c>
      <c r="N198" s="56" t="s">
        <v>1017</v>
      </c>
      <c r="O198">
        <v>1</v>
      </c>
      <c r="P198" s="59">
        <v>4.8499999999999996</v>
      </c>
    </row>
    <row r="199" spans="1:16" x14ac:dyDescent="0.25">
      <c r="A199">
        <v>4212</v>
      </c>
      <c r="B199">
        <v>4212</v>
      </c>
      <c r="C199" s="56" t="s">
        <v>1018</v>
      </c>
      <c r="D199" s="56" t="s">
        <v>807</v>
      </c>
      <c r="E199" s="56" t="s">
        <v>807</v>
      </c>
      <c r="F199" s="56" t="s">
        <v>570</v>
      </c>
      <c r="G199">
        <v>1.87</v>
      </c>
      <c r="H199" s="56" t="s">
        <v>571</v>
      </c>
      <c r="I199" s="56" t="s">
        <v>1019</v>
      </c>
      <c r="J199">
        <v>0</v>
      </c>
      <c r="K199">
        <v>0</v>
      </c>
      <c r="L199">
        <v>12</v>
      </c>
      <c r="M199">
        <v>4212</v>
      </c>
      <c r="N199" s="56" t="s">
        <v>159</v>
      </c>
      <c r="O199">
        <v>1</v>
      </c>
      <c r="P199" s="59">
        <v>6</v>
      </c>
    </row>
    <row r="200" spans="1:16" x14ac:dyDescent="0.25">
      <c r="A200">
        <v>4213</v>
      </c>
      <c r="B200">
        <v>4213</v>
      </c>
      <c r="C200" s="56" t="s">
        <v>1020</v>
      </c>
      <c r="D200" s="56" t="s">
        <v>807</v>
      </c>
      <c r="E200" s="56" t="s">
        <v>807</v>
      </c>
      <c r="F200" s="56" t="s">
        <v>570</v>
      </c>
      <c r="G200">
        <v>1.3</v>
      </c>
      <c r="H200" s="56" t="s">
        <v>571</v>
      </c>
      <c r="I200" s="56" t="s">
        <v>1021</v>
      </c>
      <c r="J200">
        <v>0</v>
      </c>
      <c r="K200">
        <v>0</v>
      </c>
      <c r="L200">
        <v>12</v>
      </c>
      <c r="M200">
        <v>4213</v>
      </c>
      <c r="N200" s="56" t="s">
        <v>162</v>
      </c>
      <c r="O200">
        <v>1</v>
      </c>
      <c r="P200" s="59">
        <v>4.5</v>
      </c>
    </row>
    <row r="201" spans="1:16" x14ac:dyDescent="0.25">
      <c r="A201">
        <v>4300</v>
      </c>
      <c r="B201">
        <v>4300</v>
      </c>
      <c r="C201" s="56" t="s">
        <v>1022</v>
      </c>
      <c r="D201" s="56" t="s">
        <v>807</v>
      </c>
      <c r="E201" s="56" t="s">
        <v>807</v>
      </c>
      <c r="F201" s="56" t="s">
        <v>570</v>
      </c>
      <c r="G201">
        <v>0.60499999999999998</v>
      </c>
      <c r="H201" s="56" t="s">
        <v>571</v>
      </c>
      <c r="I201" s="56" t="s">
        <v>1023</v>
      </c>
      <c r="J201">
        <v>0</v>
      </c>
      <c r="K201">
        <v>0</v>
      </c>
      <c r="L201">
        <v>12</v>
      </c>
      <c r="M201">
        <v>4300</v>
      </c>
      <c r="N201" s="56" t="s">
        <v>1024</v>
      </c>
      <c r="O201">
        <v>1</v>
      </c>
      <c r="P201" s="59">
        <v>1.85</v>
      </c>
    </row>
    <row r="202" spans="1:16" x14ac:dyDescent="0.25">
      <c r="A202">
        <v>4301</v>
      </c>
      <c r="B202">
        <v>4301</v>
      </c>
      <c r="C202" s="56" t="s">
        <v>1025</v>
      </c>
      <c r="D202" s="56" t="s">
        <v>807</v>
      </c>
      <c r="E202" s="56" t="s">
        <v>807</v>
      </c>
      <c r="F202" s="56" t="s">
        <v>570</v>
      </c>
      <c r="G202">
        <v>3</v>
      </c>
      <c r="H202" s="56" t="s">
        <v>571</v>
      </c>
      <c r="I202" s="56" t="s">
        <v>1026</v>
      </c>
      <c r="J202">
        <v>0</v>
      </c>
      <c r="K202">
        <v>0</v>
      </c>
      <c r="L202">
        <v>6</v>
      </c>
      <c r="M202">
        <v>4301</v>
      </c>
      <c r="N202" s="56" t="s">
        <v>137</v>
      </c>
      <c r="O202">
        <v>1</v>
      </c>
      <c r="P202" s="59">
        <v>9</v>
      </c>
    </row>
    <row r="203" spans="1:16" x14ac:dyDescent="0.25">
      <c r="A203">
        <v>4310</v>
      </c>
      <c r="B203">
        <v>4310</v>
      </c>
      <c r="C203" s="56" t="s">
        <v>1027</v>
      </c>
      <c r="D203" s="56" t="s">
        <v>807</v>
      </c>
      <c r="E203" s="56" t="s">
        <v>807</v>
      </c>
      <c r="F203" s="56" t="s">
        <v>570</v>
      </c>
      <c r="G203">
        <v>0.6</v>
      </c>
      <c r="H203" s="56" t="s">
        <v>571</v>
      </c>
      <c r="I203" s="56" t="s">
        <v>1028</v>
      </c>
      <c r="J203">
        <v>0</v>
      </c>
      <c r="K203">
        <v>0</v>
      </c>
      <c r="L203">
        <v>60</v>
      </c>
      <c r="M203">
        <v>4310</v>
      </c>
      <c r="N203" s="56" t="s">
        <v>1029</v>
      </c>
      <c r="O203">
        <v>1</v>
      </c>
      <c r="P203" s="59">
        <v>1.85</v>
      </c>
    </row>
    <row r="204" spans="1:16" x14ac:dyDescent="0.25">
      <c r="A204">
        <v>4400</v>
      </c>
      <c r="B204">
        <v>4400</v>
      </c>
      <c r="C204" s="56" t="s">
        <v>1030</v>
      </c>
      <c r="D204" s="56" t="s">
        <v>807</v>
      </c>
      <c r="E204" s="56" t="s">
        <v>807</v>
      </c>
      <c r="F204" s="56" t="s">
        <v>570</v>
      </c>
      <c r="G204">
        <v>0.9</v>
      </c>
      <c r="H204" s="56" t="s">
        <v>571</v>
      </c>
      <c r="I204" s="56" t="s">
        <v>1031</v>
      </c>
      <c r="J204">
        <v>0</v>
      </c>
      <c r="K204">
        <v>0</v>
      </c>
      <c r="L204">
        <v>24</v>
      </c>
      <c r="M204">
        <v>4400</v>
      </c>
      <c r="N204" s="56" t="s">
        <v>163</v>
      </c>
      <c r="O204">
        <v>1</v>
      </c>
      <c r="P204" s="59">
        <v>3.15</v>
      </c>
    </row>
    <row r="205" spans="1:16" x14ac:dyDescent="0.25">
      <c r="A205">
        <v>4401</v>
      </c>
      <c r="B205">
        <v>4401</v>
      </c>
      <c r="C205" s="56" t="s">
        <v>1032</v>
      </c>
      <c r="D205" s="56" t="s">
        <v>807</v>
      </c>
      <c r="E205" s="56" t="s">
        <v>807</v>
      </c>
      <c r="F205" s="56" t="s">
        <v>570</v>
      </c>
      <c r="G205">
        <v>1.25</v>
      </c>
      <c r="H205" s="56" t="s">
        <v>571</v>
      </c>
      <c r="I205" s="56" t="s">
        <v>1033</v>
      </c>
      <c r="J205">
        <v>0</v>
      </c>
      <c r="K205">
        <v>0</v>
      </c>
      <c r="L205">
        <v>24</v>
      </c>
      <c r="M205">
        <v>4401</v>
      </c>
      <c r="N205" s="56" t="s">
        <v>165</v>
      </c>
      <c r="O205">
        <v>1</v>
      </c>
      <c r="P205" s="59">
        <v>3.95</v>
      </c>
    </row>
    <row r="206" spans="1:16" x14ac:dyDescent="0.25">
      <c r="A206">
        <v>4402</v>
      </c>
      <c r="B206">
        <v>4402</v>
      </c>
      <c r="C206" s="56" t="s">
        <v>529</v>
      </c>
      <c r="D206" s="56" t="s">
        <v>807</v>
      </c>
      <c r="E206" s="56" t="s">
        <v>807</v>
      </c>
      <c r="F206" s="56" t="s">
        <v>570</v>
      </c>
      <c r="G206">
        <v>0.21</v>
      </c>
      <c r="H206" s="56" t="s">
        <v>571</v>
      </c>
      <c r="I206" s="56" t="s">
        <v>1034</v>
      </c>
      <c r="J206">
        <v>0</v>
      </c>
      <c r="K206">
        <v>0</v>
      </c>
      <c r="L206">
        <v>144</v>
      </c>
      <c r="M206">
        <v>4402</v>
      </c>
      <c r="N206" s="56" t="s">
        <v>168</v>
      </c>
      <c r="O206">
        <v>1</v>
      </c>
      <c r="P206" s="59">
        <v>1</v>
      </c>
    </row>
    <row r="207" spans="1:16" x14ac:dyDescent="0.25">
      <c r="A207">
        <v>4403</v>
      </c>
      <c r="B207">
        <v>4403</v>
      </c>
      <c r="C207" s="56" t="s">
        <v>1035</v>
      </c>
      <c r="D207" s="56" t="s">
        <v>807</v>
      </c>
      <c r="E207" s="56" t="s">
        <v>807</v>
      </c>
      <c r="F207" s="56" t="s">
        <v>570</v>
      </c>
      <c r="G207">
        <v>1.2</v>
      </c>
      <c r="H207" s="56" t="s">
        <v>571</v>
      </c>
      <c r="I207" s="56" t="s">
        <v>1036</v>
      </c>
      <c r="J207">
        <v>0</v>
      </c>
      <c r="K207">
        <v>0</v>
      </c>
      <c r="L207">
        <v>24</v>
      </c>
      <c r="M207">
        <v>4403</v>
      </c>
      <c r="N207" s="56" t="s">
        <v>171</v>
      </c>
      <c r="O207">
        <v>1</v>
      </c>
      <c r="P207" s="59">
        <v>4.25</v>
      </c>
    </row>
    <row r="208" spans="1:16" x14ac:dyDescent="0.25">
      <c r="A208">
        <v>4420</v>
      </c>
      <c r="B208">
        <v>4420</v>
      </c>
      <c r="C208" s="56" t="s">
        <v>1037</v>
      </c>
      <c r="D208" s="56" t="s">
        <v>807</v>
      </c>
      <c r="E208" s="56" t="s">
        <v>807</v>
      </c>
      <c r="F208" s="56" t="s">
        <v>570</v>
      </c>
      <c r="G208">
        <v>4</v>
      </c>
      <c r="H208" s="56" t="s">
        <v>571</v>
      </c>
      <c r="I208" s="56" t="s">
        <v>1038</v>
      </c>
      <c r="J208">
        <v>0</v>
      </c>
      <c r="K208">
        <v>0</v>
      </c>
      <c r="L208">
        <v>24</v>
      </c>
      <c r="M208">
        <v>4420</v>
      </c>
      <c r="N208" s="56" t="s">
        <v>174</v>
      </c>
      <c r="O208">
        <v>1</v>
      </c>
      <c r="P208" s="59">
        <v>12</v>
      </c>
    </row>
    <row r="209" spans="1:16" x14ac:dyDescent="0.25">
      <c r="A209">
        <v>4500</v>
      </c>
      <c r="B209">
        <v>4500</v>
      </c>
      <c r="C209" s="56" t="s">
        <v>1039</v>
      </c>
      <c r="D209" s="56" t="s">
        <v>807</v>
      </c>
      <c r="E209" s="56" t="s">
        <v>807</v>
      </c>
      <c r="F209" s="56" t="s">
        <v>570</v>
      </c>
      <c r="G209">
        <v>0.34</v>
      </c>
      <c r="H209" s="56" t="s">
        <v>571</v>
      </c>
      <c r="I209" s="56" t="s">
        <v>1040</v>
      </c>
      <c r="J209">
        <v>0</v>
      </c>
      <c r="K209">
        <v>0</v>
      </c>
      <c r="L209">
        <v>72</v>
      </c>
      <c r="M209">
        <v>4500</v>
      </c>
      <c r="N209" s="56" t="s">
        <v>176</v>
      </c>
      <c r="O209">
        <v>1</v>
      </c>
      <c r="P209" s="59">
        <v>1.25</v>
      </c>
    </row>
    <row r="210" spans="1:16" x14ac:dyDescent="0.25">
      <c r="A210">
        <v>4501</v>
      </c>
      <c r="B210">
        <v>4501</v>
      </c>
      <c r="C210" s="56" t="s">
        <v>179</v>
      </c>
      <c r="D210" s="56" t="s">
        <v>807</v>
      </c>
      <c r="E210" s="56" t="s">
        <v>807</v>
      </c>
      <c r="F210" s="56" t="s">
        <v>570</v>
      </c>
      <c r="G210">
        <v>0.05</v>
      </c>
      <c r="H210" s="56" t="s">
        <v>571</v>
      </c>
      <c r="I210" s="56" t="s">
        <v>1041</v>
      </c>
      <c r="J210">
        <v>0</v>
      </c>
      <c r="K210">
        <v>0</v>
      </c>
      <c r="L210">
        <v>144</v>
      </c>
      <c r="M210">
        <v>4501</v>
      </c>
      <c r="N210" s="56" t="s">
        <v>179</v>
      </c>
      <c r="O210">
        <v>1</v>
      </c>
      <c r="P210" s="59">
        <v>0.2</v>
      </c>
    </row>
    <row r="211" spans="1:16" x14ac:dyDescent="0.25">
      <c r="A211">
        <v>4502</v>
      </c>
      <c r="B211">
        <v>4502</v>
      </c>
      <c r="C211" s="56" t="s">
        <v>1042</v>
      </c>
      <c r="D211" s="56" t="s">
        <v>807</v>
      </c>
      <c r="E211" s="56" t="s">
        <v>807</v>
      </c>
      <c r="F211" s="56" t="s">
        <v>570</v>
      </c>
      <c r="G211">
        <v>0.15</v>
      </c>
      <c r="H211" s="56" t="s">
        <v>571</v>
      </c>
      <c r="I211" s="56" t="s">
        <v>1043</v>
      </c>
      <c r="J211">
        <v>0</v>
      </c>
      <c r="K211">
        <v>0</v>
      </c>
      <c r="L211">
        <v>72</v>
      </c>
      <c r="M211">
        <v>4502</v>
      </c>
      <c r="N211" s="56" t="s">
        <v>182</v>
      </c>
      <c r="O211">
        <v>1</v>
      </c>
      <c r="P211" s="59">
        <v>1</v>
      </c>
    </row>
    <row r="212" spans="1:16" x14ac:dyDescent="0.25">
      <c r="A212">
        <v>4503</v>
      </c>
      <c r="B212">
        <v>4503</v>
      </c>
      <c r="C212" s="56" t="s">
        <v>1044</v>
      </c>
      <c r="D212" s="56" t="s">
        <v>807</v>
      </c>
      <c r="E212" s="56" t="s">
        <v>807</v>
      </c>
      <c r="F212" s="56" t="s">
        <v>570</v>
      </c>
      <c r="G212">
        <v>0.59</v>
      </c>
      <c r="H212" s="56" t="s">
        <v>571</v>
      </c>
      <c r="I212" s="56" t="s">
        <v>1045</v>
      </c>
      <c r="J212">
        <v>0</v>
      </c>
      <c r="K212">
        <v>0</v>
      </c>
      <c r="L212">
        <v>72</v>
      </c>
      <c r="M212">
        <v>4503</v>
      </c>
      <c r="N212" s="56" t="s">
        <v>185</v>
      </c>
      <c r="O212">
        <v>1</v>
      </c>
      <c r="P212" s="59">
        <v>2.6</v>
      </c>
    </row>
    <row r="213" spans="1:16" x14ac:dyDescent="0.25">
      <c r="A213">
        <v>4520</v>
      </c>
      <c r="B213">
        <v>4520</v>
      </c>
      <c r="C213" s="56" t="s">
        <v>1046</v>
      </c>
      <c r="D213" s="56" t="s">
        <v>807</v>
      </c>
      <c r="E213" s="56" t="s">
        <v>807</v>
      </c>
      <c r="F213" s="56" t="s">
        <v>570</v>
      </c>
      <c r="G213">
        <v>0.18</v>
      </c>
      <c r="H213" s="56" t="s">
        <v>571</v>
      </c>
      <c r="I213" s="56" t="s">
        <v>1047</v>
      </c>
      <c r="J213">
        <v>0</v>
      </c>
      <c r="K213">
        <v>0</v>
      </c>
      <c r="L213">
        <v>100</v>
      </c>
      <c r="M213">
        <v>4520</v>
      </c>
      <c r="N213" s="56" t="s">
        <v>1048</v>
      </c>
      <c r="O213">
        <v>1</v>
      </c>
      <c r="P213" s="59">
        <v>0.55000000000000004</v>
      </c>
    </row>
    <row r="214" spans="1:16" x14ac:dyDescent="0.25">
      <c r="A214">
        <v>4530</v>
      </c>
      <c r="B214">
        <v>4530</v>
      </c>
      <c r="C214" s="56" t="s">
        <v>1049</v>
      </c>
      <c r="D214" s="56" t="s">
        <v>807</v>
      </c>
      <c r="E214" s="56" t="s">
        <v>807</v>
      </c>
      <c r="F214" s="56" t="s">
        <v>570</v>
      </c>
      <c r="G214">
        <v>2.5499999999999998</v>
      </c>
      <c r="H214" s="56" t="s">
        <v>571</v>
      </c>
      <c r="I214" s="56" t="s">
        <v>1050</v>
      </c>
      <c r="J214">
        <v>0</v>
      </c>
      <c r="K214">
        <v>0</v>
      </c>
      <c r="L214">
        <v>144</v>
      </c>
      <c r="M214">
        <v>4530</v>
      </c>
      <c r="N214" s="56" t="s">
        <v>1051</v>
      </c>
      <c r="O214">
        <v>1</v>
      </c>
      <c r="P214" s="59">
        <v>7</v>
      </c>
    </row>
    <row r="215" spans="1:16" x14ac:dyDescent="0.25">
      <c r="A215">
        <v>4600</v>
      </c>
      <c r="B215">
        <v>4600</v>
      </c>
      <c r="C215" s="56" t="s">
        <v>1052</v>
      </c>
      <c r="D215" s="56" t="s">
        <v>807</v>
      </c>
      <c r="E215" s="56" t="s">
        <v>807</v>
      </c>
      <c r="F215" s="56" t="s">
        <v>570</v>
      </c>
      <c r="G215">
        <v>0.32</v>
      </c>
      <c r="H215" s="56" t="s">
        <v>571</v>
      </c>
      <c r="I215" s="56" t="s">
        <v>1053</v>
      </c>
      <c r="J215">
        <v>0</v>
      </c>
      <c r="K215">
        <v>0</v>
      </c>
      <c r="L215">
        <v>60</v>
      </c>
      <c r="M215">
        <v>4600</v>
      </c>
      <c r="N215" s="56" t="s">
        <v>1054</v>
      </c>
      <c r="O215">
        <v>1</v>
      </c>
      <c r="P215" s="59">
        <v>1.5</v>
      </c>
    </row>
    <row r="216" spans="1:16" x14ac:dyDescent="0.25">
      <c r="A216">
        <v>4700</v>
      </c>
      <c r="B216">
        <v>4700</v>
      </c>
      <c r="C216" s="56" t="s">
        <v>1055</v>
      </c>
      <c r="D216" s="56" t="s">
        <v>807</v>
      </c>
      <c r="E216" s="56" t="s">
        <v>807</v>
      </c>
      <c r="F216" s="56" t="s">
        <v>570</v>
      </c>
      <c r="G216">
        <v>1.69</v>
      </c>
      <c r="H216" s="56" t="s">
        <v>571</v>
      </c>
      <c r="I216" s="56" t="s">
        <v>1056</v>
      </c>
      <c r="J216">
        <v>0</v>
      </c>
      <c r="K216">
        <v>0</v>
      </c>
      <c r="L216">
        <v>12</v>
      </c>
      <c r="M216">
        <v>4700</v>
      </c>
      <c r="N216" s="56" t="s">
        <v>1057</v>
      </c>
      <c r="O216">
        <v>1</v>
      </c>
      <c r="P216" s="59">
        <v>5.95</v>
      </c>
    </row>
    <row r="217" spans="1:16" x14ac:dyDescent="0.25">
      <c r="A217">
        <v>4701</v>
      </c>
      <c r="B217">
        <v>4701</v>
      </c>
      <c r="C217" s="56" t="s">
        <v>1058</v>
      </c>
      <c r="D217" s="56" t="s">
        <v>807</v>
      </c>
      <c r="E217" s="56" t="s">
        <v>807</v>
      </c>
      <c r="F217" s="56" t="s">
        <v>570</v>
      </c>
      <c r="G217">
        <v>3.3300000000000003E-2</v>
      </c>
      <c r="H217" s="56" t="s">
        <v>571</v>
      </c>
      <c r="I217" s="56" t="s">
        <v>1059</v>
      </c>
      <c r="J217">
        <v>0</v>
      </c>
      <c r="K217">
        <v>0</v>
      </c>
      <c r="L217">
        <v>960</v>
      </c>
      <c r="M217">
        <v>4701</v>
      </c>
      <c r="N217" s="56" t="s">
        <v>1060</v>
      </c>
      <c r="O217">
        <v>1</v>
      </c>
      <c r="P217" s="59">
        <v>0.25</v>
      </c>
    </row>
    <row r="218" spans="1:16" x14ac:dyDescent="0.25">
      <c r="A218">
        <v>4710</v>
      </c>
      <c r="B218">
        <v>4710</v>
      </c>
      <c r="C218" s="56" t="s">
        <v>1061</v>
      </c>
      <c r="D218" s="56" t="s">
        <v>1062</v>
      </c>
      <c r="E218" s="56" t="s">
        <v>1062</v>
      </c>
      <c r="F218" s="56" t="s">
        <v>570</v>
      </c>
      <c r="G218">
        <v>0.88</v>
      </c>
      <c r="H218" s="56" t="s">
        <v>571</v>
      </c>
      <c r="I218" s="56" t="s">
        <v>1063</v>
      </c>
      <c r="J218">
        <v>0</v>
      </c>
      <c r="K218">
        <v>0</v>
      </c>
      <c r="L218">
        <v>24</v>
      </c>
      <c r="M218">
        <v>4710</v>
      </c>
      <c r="N218" s="56" t="s">
        <v>195</v>
      </c>
      <c r="O218">
        <v>1</v>
      </c>
      <c r="P218" s="59">
        <v>3.5</v>
      </c>
    </row>
    <row r="219" spans="1:16" x14ac:dyDescent="0.25">
      <c r="A219">
        <v>4800</v>
      </c>
      <c r="B219">
        <v>4800</v>
      </c>
      <c r="C219" s="56" t="s">
        <v>1064</v>
      </c>
      <c r="D219" s="56" t="s">
        <v>807</v>
      </c>
      <c r="E219" s="56" t="s">
        <v>807</v>
      </c>
      <c r="F219" s="56" t="s">
        <v>570</v>
      </c>
      <c r="G219">
        <v>0.75</v>
      </c>
      <c r="H219" s="56" t="s">
        <v>571</v>
      </c>
      <c r="I219" s="56" t="s">
        <v>1065</v>
      </c>
      <c r="J219">
        <v>0</v>
      </c>
      <c r="K219">
        <v>0</v>
      </c>
      <c r="L219">
        <v>288</v>
      </c>
      <c r="M219">
        <v>4800</v>
      </c>
      <c r="N219" s="56" t="s">
        <v>177</v>
      </c>
      <c r="O219">
        <v>1</v>
      </c>
      <c r="P219" s="59">
        <v>2.2999999999999998</v>
      </c>
    </row>
    <row r="220" spans="1:16" x14ac:dyDescent="0.25">
      <c r="A220">
        <v>4801</v>
      </c>
      <c r="B220">
        <v>4801</v>
      </c>
      <c r="C220" s="56" t="s">
        <v>1066</v>
      </c>
      <c r="D220" s="56" t="s">
        <v>807</v>
      </c>
      <c r="E220" s="56" t="s">
        <v>807</v>
      </c>
      <c r="F220" s="56" t="s">
        <v>570</v>
      </c>
      <c r="G220">
        <v>0.73080000000000001</v>
      </c>
      <c r="H220" s="56" t="s">
        <v>571</v>
      </c>
      <c r="I220" s="56" t="s">
        <v>1067</v>
      </c>
      <c r="J220">
        <v>0</v>
      </c>
      <c r="K220">
        <v>0</v>
      </c>
      <c r="L220">
        <v>24</v>
      </c>
      <c r="M220">
        <v>4801</v>
      </c>
      <c r="N220" s="56" t="s">
        <v>180</v>
      </c>
      <c r="O220">
        <v>1</v>
      </c>
      <c r="P220" s="59">
        <v>2.25</v>
      </c>
    </row>
    <row r="221" spans="1:16" x14ac:dyDescent="0.25">
      <c r="A221">
        <v>4802</v>
      </c>
      <c r="B221">
        <v>4802</v>
      </c>
      <c r="C221" s="56" t="s">
        <v>1068</v>
      </c>
      <c r="D221" s="56" t="s">
        <v>807</v>
      </c>
      <c r="E221" s="56" t="s">
        <v>807</v>
      </c>
      <c r="F221" s="56" t="s">
        <v>570</v>
      </c>
      <c r="G221">
        <v>0.12</v>
      </c>
      <c r="H221" s="56" t="s">
        <v>571</v>
      </c>
      <c r="I221" s="56" t="s">
        <v>1069</v>
      </c>
      <c r="J221">
        <v>0</v>
      </c>
      <c r="K221">
        <v>0</v>
      </c>
      <c r="L221">
        <v>200</v>
      </c>
      <c r="M221">
        <v>4802</v>
      </c>
      <c r="N221" s="56" t="s">
        <v>183</v>
      </c>
      <c r="O221">
        <v>1</v>
      </c>
      <c r="P221" s="59">
        <v>0.55000000000000004</v>
      </c>
    </row>
    <row r="222" spans="1:16" x14ac:dyDescent="0.25">
      <c r="A222">
        <v>4830</v>
      </c>
      <c r="B222">
        <v>4830</v>
      </c>
      <c r="C222" s="56" t="s">
        <v>1070</v>
      </c>
      <c r="D222" s="56" t="s">
        <v>807</v>
      </c>
      <c r="E222" s="56" t="s">
        <v>807</v>
      </c>
      <c r="F222" s="56" t="s">
        <v>570</v>
      </c>
      <c r="G222">
        <v>0.432</v>
      </c>
      <c r="H222" s="56" t="s">
        <v>571</v>
      </c>
      <c r="I222" s="56" t="s">
        <v>1071</v>
      </c>
      <c r="J222">
        <v>0</v>
      </c>
      <c r="K222">
        <v>0</v>
      </c>
      <c r="L222">
        <v>96</v>
      </c>
      <c r="M222">
        <v>4830</v>
      </c>
      <c r="N222" s="56" t="s">
        <v>186</v>
      </c>
      <c r="O222">
        <v>1</v>
      </c>
      <c r="P222" s="59">
        <v>1.3</v>
      </c>
    </row>
    <row r="223" spans="1:16" x14ac:dyDescent="0.25">
      <c r="A223">
        <v>4840</v>
      </c>
      <c r="B223">
        <v>4840</v>
      </c>
      <c r="C223" s="56" t="s">
        <v>1072</v>
      </c>
      <c r="D223" s="56" t="s">
        <v>807</v>
      </c>
      <c r="E223" s="56" t="s">
        <v>807</v>
      </c>
      <c r="F223" s="56" t="s">
        <v>570</v>
      </c>
      <c r="G223">
        <v>0.31909999999999999</v>
      </c>
      <c r="H223" s="56" t="s">
        <v>571</v>
      </c>
      <c r="I223" s="56" t="s">
        <v>1073</v>
      </c>
      <c r="J223">
        <v>0</v>
      </c>
      <c r="K223">
        <v>0</v>
      </c>
      <c r="L223">
        <v>12</v>
      </c>
      <c r="M223">
        <v>4840</v>
      </c>
      <c r="N223" s="56" t="s">
        <v>1074</v>
      </c>
      <c r="O223">
        <v>1</v>
      </c>
      <c r="P223" s="59">
        <v>1</v>
      </c>
    </row>
    <row r="224" spans="1:16" x14ac:dyDescent="0.25">
      <c r="A224">
        <v>4841</v>
      </c>
      <c r="B224">
        <v>4841</v>
      </c>
      <c r="C224" s="56" t="s">
        <v>1075</v>
      </c>
      <c r="D224" s="56" t="s">
        <v>807</v>
      </c>
      <c r="E224" s="56" t="s">
        <v>807</v>
      </c>
      <c r="F224" s="56" t="s">
        <v>570</v>
      </c>
      <c r="G224">
        <v>3.3000000000000002E-2</v>
      </c>
      <c r="H224" s="56" t="s">
        <v>571</v>
      </c>
      <c r="I224" s="56" t="s">
        <v>1076</v>
      </c>
      <c r="J224">
        <v>0</v>
      </c>
      <c r="K224">
        <v>0</v>
      </c>
      <c r="L224">
        <v>100</v>
      </c>
      <c r="M224">
        <v>4841</v>
      </c>
      <c r="N224" s="56" t="s">
        <v>189</v>
      </c>
      <c r="O224">
        <v>1</v>
      </c>
      <c r="P224" s="59">
        <v>0.1</v>
      </c>
    </row>
    <row r="225" spans="1:16" x14ac:dyDescent="0.25">
      <c r="A225">
        <v>4842</v>
      </c>
      <c r="B225">
        <v>4842</v>
      </c>
      <c r="C225" s="56" t="s">
        <v>1077</v>
      </c>
      <c r="D225" s="56" t="s">
        <v>807</v>
      </c>
      <c r="E225" s="56" t="s">
        <v>807</v>
      </c>
      <c r="F225" s="56" t="s">
        <v>570</v>
      </c>
      <c r="G225">
        <v>0.6</v>
      </c>
      <c r="H225" s="56" t="s">
        <v>571</v>
      </c>
      <c r="I225" s="56" t="s">
        <v>1078</v>
      </c>
      <c r="J225">
        <v>0</v>
      </c>
      <c r="K225">
        <v>0</v>
      </c>
      <c r="L225">
        <v>12</v>
      </c>
      <c r="M225">
        <v>4842</v>
      </c>
      <c r="N225" s="56" t="s">
        <v>1079</v>
      </c>
      <c r="O225">
        <v>1</v>
      </c>
      <c r="P225" s="59">
        <v>2.1</v>
      </c>
    </row>
    <row r="226" spans="1:16" x14ac:dyDescent="0.25">
      <c r="A226">
        <v>4863</v>
      </c>
      <c r="B226">
        <v>4863</v>
      </c>
      <c r="C226" s="56" t="s">
        <v>1080</v>
      </c>
      <c r="D226" s="56" t="s">
        <v>807</v>
      </c>
      <c r="E226" s="56" t="s">
        <v>807</v>
      </c>
      <c r="F226" s="56" t="s">
        <v>570</v>
      </c>
      <c r="G226">
        <v>0.06</v>
      </c>
      <c r="H226" s="56" t="s">
        <v>571</v>
      </c>
      <c r="I226" s="56" t="s">
        <v>1081</v>
      </c>
      <c r="J226">
        <v>0</v>
      </c>
      <c r="K226">
        <v>0</v>
      </c>
      <c r="L226">
        <v>1000</v>
      </c>
      <c r="M226">
        <v>4863</v>
      </c>
      <c r="N226" s="56" t="s">
        <v>274</v>
      </c>
      <c r="O226">
        <v>1</v>
      </c>
      <c r="P226" s="59">
        <v>1.05</v>
      </c>
    </row>
    <row r="227" spans="1:16" x14ac:dyDescent="0.25">
      <c r="A227">
        <v>4900</v>
      </c>
      <c r="B227">
        <v>4900</v>
      </c>
      <c r="C227" s="56" t="s">
        <v>1082</v>
      </c>
      <c r="D227" s="56" t="s">
        <v>807</v>
      </c>
      <c r="E227" s="56" t="s">
        <v>807</v>
      </c>
      <c r="F227" s="56" t="s">
        <v>1083</v>
      </c>
      <c r="G227">
        <v>1.25</v>
      </c>
      <c r="H227" s="56" t="s">
        <v>571</v>
      </c>
      <c r="I227" s="56" t="s">
        <v>1084</v>
      </c>
      <c r="J227">
        <v>0</v>
      </c>
      <c r="K227">
        <v>0</v>
      </c>
      <c r="L227">
        <v>12</v>
      </c>
      <c r="M227">
        <v>4900</v>
      </c>
      <c r="N227" s="56" t="s">
        <v>192</v>
      </c>
      <c r="O227">
        <v>1</v>
      </c>
      <c r="P227" s="59">
        <v>3.75</v>
      </c>
    </row>
    <row r="228" spans="1:16" x14ac:dyDescent="0.25">
      <c r="A228">
        <v>4910</v>
      </c>
      <c r="B228">
        <v>4910</v>
      </c>
      <c r="C228" s="56" t="s">
        <v>1085</v>
      </c>
      <c r="D228" s="56" t="s">
        <v>807</v>
      </c>
      <c r="E228" s="56" t="s">
        <v>807</v>
      </c>
      <c r="F228" s="56" t="s">
        <v>1083</v>
      </c>
      <c r="G228">
        <v>0.95</v>
      </c>
      <c r="H228" s="56" t="s">
        <v>571</v>
      </c>
      <c r="I228" s="56" t="s">
        <v>1086</v>
      </c>
      <c r="J228">
        <v>0</v>
      </c>
      <c r="K228">
        <v>0</v>
      </c>
      <c r="L228">
        <v>24</v>
      </c>
      <c r="M228">
        <v>4910</v>
      </c>
      <c r="N228" s="56" t="s">
        <v>194</v>
      </c>
      <c r="O228">
        <v>1</v>
      </c>
      <c r="P228" s="59">
        <v>2.65</v>
      </c>
    </row>
    <row r="229" spans="1:16" x14ac:dyDescent="0.25">
      <c r="A229">
        <v>4920</v>
      </c>
      <c r="B229">
        <v>4920</v>
      </c>
      <c r="C229" s="56" t="s">
        <v>1087</v>
      </c>
      <c r="D229" s="56" t="s">
        <v>807</v>
      </c>
      <c r="E229" s="56" t="s">
        <v>807</v>
      </c>
      <c r="F229" s="56" t="s">
        <v>1083</v>
      </c>
      <c r="G229">
        <v>0.1</v>
      </c>
      <c r="H229" s="56" t="s">
        <v>571</v>
      </c>
      <c r="I229" s="56" t="s">
        <v>1088</v>
      </c>
      <c r="J229">
        <v>0</v>
      </c>
      <c r="K229">
        <v>0</v>
      </c>
      <c r="L229">
        <v>480</v>
      </c>
      <c r="M229">
        <v>4920</v>
      </c>
      <c r="N229" s="56" t="s">
        <v>196</v>
      </c>
      <c r="O229">
        <v>10</v>
      </c>
      <c r="P229" s="59">
        <v>3.3</v>
      </c>
    </row>
    <row r="230" spans="1:16" x14ac:dyDescent="0.25">
      <c r="A230">
        <v>5000</v>
      </c>
      <c r="B230">
        <v>5000</v>
      </c>
      <c r="C230" s="56" t="s">
        <v>1089</v>
      </c>
      <c r="D230" s="56" t="s">
        <v>807</v>
      </c>
      <c r="E230" s="56" t="s">
        <v>807</v>
      </c>
      <c r="F230" s="56" t="s">
        <v>570</v>
      </c>
      <c r="G230">
        <v>1.1599999999999999</v>
      </c>
      <c r="H230" s="56" t="s">
        <v>571</v>
      </c>
      <c r="I230" s="56" t="s">
        <v>1090</v>
      </c>
      <c r="J230">
        <v>0</v>
      </c>
      <c r="K230">
        <v>0</v>
      </c>
      <c r="L230">
        <v>6</v>
      </c>
      <c r="M230">
        <v>5000</v>
      </c>
      <c r="N230" s="56" t="s">
        <v>170</v>
      </c>
      <c r="O230">
        <v>1</v>
      </c>
      <c r="P230" s="59">
        <v>3.5</v>
      </c>
    </row>
    <row r="231" spans="1:16" x14ac:dyDescent="0.25">
      <c r="A231">
        <v>5001</v>
      </c>
      <c r="B231">
        <v>5001</v>
      </c>
      <c r="C231" s="56" t="s">
        <v>1091</v>
      </c>
      <c r="D231" s="56" t="s">
        <v>807</v>
      </c>
      <c r="E231" s="56" t="s">
        <v>807</v>
      </c>
      <c r="F231" s="56" t="s">
        <v>570</v>
      </c>
      <c r="G231">
        <v>0.97909999999999997</v>
      </c>
      <c r="H231" s="56" t="s">
        <v>571</v>
      </c>
      <c r="I231" s="56" t="s">
        <v>1092</v>
      </c>
      <c r="J231">
        <v>0</v>
      </c>
      <c r="K231">
        <v>0</v>
      </c>
      <c r="L231">
        <v>12</v>
      </c>
      <c r="M231">
        <v>5001</v>
      </c>
      <c r="N231" s="56" t="s">
        <v>173</v>
      </c>
      <c r="O231">
        <v>1</v>
      </c>
      <c r="P231" s="59">
        <v>3</v>
      </c>
    </row>
    <row r="232" spans="1:16" x14ac:dyDescent="0.25">
      <c r="A232">
        <v>5002</v>
      </c>
      <c r="B232">
        <v>5002</v>
      </c>
      <c r="C232" s="56" t="s">
        <v>1093</v>
      </c>
      <c r="D232" s="56" t="s">
        <v>807</v>
      </c>
      <c r="E232" s="56" t="s">
        <v>807</v>
      </c>
      <c r="F232" s="56" t="s">
        <v>570</v>
      </c>
      <c r="G232">
        <v>1.1599999999999999</v>
      </c>
      <c r="H232" s="56" t="s">
        <v>571</v>
      </c>
      <c r="I232" s="56" t="s">
        <v>1094</v>
      </c>
      <c r="J232">
        <v>0</v>
      </c>
      <c r="K232">
        <v>0</v>
      </c>
      <c r="L232">
        <v>6</v>
      </c>
      <c r="M232">
        <v>5002</v>
      </c>
      <c r="N232" s="56" t="s">
        <v>175</v>
      </c>
      <c r="O232">
        <v>1</v>
      </c>
      <c r="P232" s="59">
        <v>3.5</v>
      </c>
    </row>
    <row r="233" spans="1:16" x14ac:dyDescent="0.25">
      <c r="A233">
        <v>5040</v>
      </c>
      <c r="B233">
        <v>5040</v>
      </c>
      <c r="C233" s="56" t="s">
        <v>1095</v>
      </c>
      <c r="D233" s="56" t="s">
        <v>807</v>
      </c>
      <c r="E233" s="56" t="s">
        <v>807</v>
      </c>
      <c r="F233" s="56" t="s">
        <v>570</v>
      </c>
      <c r="G233">
        <v>0.99</v>
      </c>
      <c r="H233" s="56" t="s">
        <v>571</v>
      </c>
      <c r="I233" s="56" t="s">
        <v>1096</v>
      </c>
      <c r="J233">
        <v>0</v>
      </c>
      <c r="K233">
        <v>0</v>
      </c>
      <c r="L233">
        <v>12</v>
      </c>
      <c r="M233">
        <v>5040</v>
      </c>
      <c r="N233" s="56" t="s">
        <v>178</v>
      </c>
      <c r="O233">
        <v>1</v>
      </c>
      <c r="P233" s="59">
        <v>3</v>
      </c>
    </row>
    <row r="234" spans="1:16" x14ac:dyDescent="0.25">
      <c r="A234">
        <v>5041</v>
      </c>
      <c r="B234">
        <v>5041</v>
      </c>
      <c r="C234" s="56" t="s">
        <v>1097</v>
      </c>
      <c r="D234" s="56" t="s">
        <v>807</v>
      </c>
      <c r="E234" s="56" t="s">
        <v>807</v>
      </c>
      <c r="F234" s="56" t="s">
        <v>570</v>
      </c>
      <c r="G234">
        <v>4.18</v>
      </c>
      <c r="H234" s="56" t="s">
        <v>571</v>
      </c>
      <c r="I234" s="56" t="s">
        <v>1098</v>
      </c>
      <c r="J234">
        <v>0</v>
      </c>
      <c r="K234">
        <v>0</v>
      </c>
      <c r="L234">
        <v>12</v>
      </c>
      <c r="M234">
        <v>5041</v>
      </c>
      <c r="N234" s="56" t="s">
        <v>181</v>
      </c>
      <c r="O234">
        <v>1</v>
      </c>
      <c r="P234" s="59">
        <v>8.4</v>
      </c>
    </row>
    <row r="235" spans="1:16" x14ac:dyDescent="0.25">
      <c r="A235">
        <v>5042</v>
      </c>
      <c r="B235">
        <v>5042</v>
      </c>
      <c r="C235" s="56" t="s">
        <v>1099</v>
      </c>
      <c r="D235" s="56" t="s">
        <v>807</v>
      </c>
      <c r="E235" s="56" t="s">
        <v>807</v>
      </c>
      <c r="F235" s="56" t="s">
        <v>570</v>
      </c>
      <c r="G235">
        <v>2.8</v>
      </c>
      <c r="H235" s="56" t="s">
        <v>571</v>
      </c>
      <c r="I235" s="56" t="s">
        <v>1100</v>
      </c>
      <c r="J235">
        <v>0</v>
      </c>
      <c r="K235">
        <v>0</v>
      </c>
      <c r="L235">
        <v>12</v>
      </c>
      <c r="M235">
        <v>5042</v>
      </c>
      <c r="N235" s="56" t="s">
        <v>184</v>
      </c>
      <c r="O235">
        <v>1</v>
      </c>
      <c r="P235" s="59">
        <v>9</v>
      </c>
    </row>
    <row r="236" spans="1:16" x14ac:dyDescent="0.25">
      <c r="A236">
        <v>5050</v>
      </c>
      <c r="B236">
        <v>5050</v>
      </c>
      <c r="C236" s="56" t="s">
        <v>1101</v>
      </c>
      <c r="D236" s="56" t="s">
        <v>807</v>
      </c>
      <c r="E236" s="56" t="s">
        <v>807</v>
      </c>
      <c r="F236" s="56" t="s">
        <v>570</v>
      </c>
      <c r="G236">
        <v>1.1599999999999999</v>
      </c>
      <c r="H236" s="56" t="s">
        <v>571</v>
      </c>
      <c r="I236" s="56" t="s">
        <v>1102</v>
      </c>
      <c r="J236">
        <v>0</v>
      </c>
      <c r="K236">
        <v>0</v>
      </c>
      <c r="L236">
        <v>6</v>
      </c>
      <c r="M236">
        <v>5050</v>
      </c>
      <c r="N236" s="56" t="s">
        <v>187</v>
      </c>
      <c r="O236">
        <v>1</v>
      </c>
      <c r="P236" s="59">
        <v>3.5</v>
      </c>
    </row>
    <row r="237" spans="1:16" x14ac:dyDescent="0.25">
      <c r="A237">
        <v>5051</v>
      </c>
      <c r="B237">
        <v>5051</v>
      </c>
      <c r="C237" s="56" t="s">
        <v>1103</v>
      </c>
      <c r="D237" s="56" t="s">
        <v>807</v>
      </c>
      <c r="E237" s="56" t="s">
        <v>807</v>
      </c>
      <c r="F237" s="56" t="s">
        <v>570</v>
      </c>
      <c r="G237">
        <v>0.97909999999999997</v>
      </c>
      <c r="H237" s="56" t="s">
        <v>571</v>
      </c>
      <c r="I237" s="56" t="s">
        <v>1104</v>
      </c>
      <c r="J237">
        <v>0</v>
      </c>
      <c r="K237">
        <v>0</v>
      </c>
      <c r="L237">
        <v>12</v>
      </c>
      <c r="M237">
        <v>5051</v>
      </c>
      <c r="N237" s="56" t="s">
        <v>188</v>
      </c>
      <c r="O237">
        <v>1</v>
      </c>
      <c r="P237" s="59">
        <v>3</v>
      </c>
    </row>
    <row r="238" spans="1:16" x14ac:dyDescent="0.25">
      <c r="A238">
        <v>5052</v>
      </c>
      <c r="B238">
        <v>5052</v>
      </c>
      <c r="C238" s="56" t="s">
        <v>1105</v>
      </c>
      <c r="D238" s="56" t="s">
        <v>807</v>
      </c>
      <c r="E238" s="56" t="s">
        <v>807</v>
      </c>
      <c r="F238" s="56" t="s">
        <v>570</v>
      </c>
      <c r="G238">
        <v>1.1599999999999999</v>
      </c>
      <c r="H238" s="56" t="s">
        <v>571</v>
      </c>
      <c r="I238" s="56" t="s">
        <v>1106</v>
      </c>
      <c r="J238">
        <v>0</v>
      </c>
      <c r="K238">
        <v>0</v>
      </c>
      <c r="L238">
        <v>6</v>
      </c>
      <c r="M238">
        <v>5052</v>
      </c>
      <c r="N238" s="56" t="s">
        <v>190</v>
      </c>
      <c r="O238">
        <v>1</v>
      </c>
      <c r="P238" s="59">
        <v>3.5</v>
      </c>
    </row>
    <row r="239" spans="1:16" x14ac:dyDescent="0.25">
      <c r="A239">
        <v>5060</v>
      </c>
      <c r="B239">
        <v>5060</v>
      </c>
      <c r="C239" s="56" t="s">
        <v>1107</v>
      </c>
      <c r="D239" s="56" t="s">
        <v>807</v>
      </c>
      <c r="E239" s="56" t="s">
        <v>807</v>
      </c>
      <c r="F239" s="56" t="s">
        <v>570</v>
      </c>
      <c r="G239">
        <v>0.32</v>
      </c>
      <c r="H239" s="56" t="s">
        <v>571</v>
      </c>
      <c r="I239" s="56" t="s">
        <v>1108</v>
      </c>
      <c r="J239">
        <v>0</v>
      </c>
      <c r="K239">
        <v>0</v>
      </c>
      <c r="L239">
        <v>60</v>
      </c>
      <c r="M239">
        <v>5060</v>
      </c>
      <c r="N239" s="56" t="s">
        <v>191</v>
      </c>
      <c r="O239">
        <v>1</v>
      </c>
      <c r="P239" s="59">
        <v>1.5</v>
      </c>
    </row>
    <row r="240" spans="1:16" x14ac:dyDescent="0.25">
      <c r="A240">
        <v>5070</v>
      </c>
      <c r="B240">
        <v>5070</v>
      </c>
      <c r="C240" s="56" t="s">
        <v>1109</v>
      </c>
      <c r="D240" s="56" t="s">
        <v>807</v>
      </c>
      <c r="E240" s="56" t="s">
        <v>807</v>
      </c>
      <c r="F240" s="56" t="s">
        <v>570</v>
      </c>
      <c r="G240">
        <v>1.1599999999999999</v>
      </c>
      <c r="H240" s="56" t="s">
        <v>571</v>
      </c>
      <c r="I240" s="56" t="s">
        <v>1110</v>
      </c>
      <c r="J240">
        <v>0</v>
      </c>
      <c r="K240">
        <v>0</v>
      </c>
      <c r="L240">
        <v>6</v>
      </c>
      <c r="M240">
        <v>5070</v>
      </c>
      <c r="N240" s="56" t="s">
        <v>193</v>
      </c>
      <c r="O240">
        <v>1</v>
      </c>
      <c r="P240" s="59">
        <v>4</v>
      </c>
    </row>
    <row r="241" spans="1:16" x14ac:dyDescent="0.25">
      <c r="A241">
        <v>5082</v>
      </c>
      <c r="B241">
        <v>5082</v>
      </c>
      <c r="C241" s="56" t="s">
        <v>1111</v>
      </c>
      <c r="D241" s="56" t="s">
        <v>807</v>
      </c>
      <c r="E241" s="56" t="s">
        <v>807</v>
      </c>
      <c r="F241" s="56" t="s">
        <v>570</v>
      </c>
      <c r="G241">
        <v>2.2000000000000002</v>
      </c>
      <c r="H241" s="56" t="s">
        <v>571</v>
      </c>
      <c r="I241" s="56" t="s">
        <v>1112</v>
      </c>
      <c r="J241">
        <v>0</v>
      </c>
      <c r="K241">
        <v>0</v>
      </c>
      <c r="L241">
        <v>6</v>
      </c>
      <c r="M241">
        <v>5082</v>
      </c>
      <c r="N241" s="56" t="s">
        <v>1113</v>
      </c>
      <c r="O241">
        <v>1</v>
      </c>
      <c r="P241" s="59">
        <v>7.7</v>
      </c>
    </row>
    <row r="242" spans="1:16" x14ac:dyDescent="0.25">
      <c r="A242">
        <v>5100</v>
      </c>
      <c r="B242">
        <v>5100</v>
      </c>
      <c r="C242" s="56" t="s">
        <v>1114</v>
      </c>
      <c r="D242" s="56" t="s">
        <v>1115</v>
      </c>
      <c r="E242" s="56" t="s">
        <v>1115</v>
      </c>
      <c r="F242" s="56" t="s">
        <v>570</v>
      </c>
      <c r="G242">
        <v>3.2899999999999999E-2</v>
      </c>
      <c r="H242" s="56" t="s">
        <v>571</v>
      </c>
      <c r="I242" s="56" t="s">
        <v>1116</v>
      </c>
      <c r="J242">
        <v>0</v>
      </c>
      <c r="K242">
        <v>0</v>
      </c>
      <c r="L242">
        <v>144</v>
      </c>
      <c r="M242">
        <v>5100</v>
      </c>
      <c r="N242" s="56" t="s">
        <v>132</v>
      </c>
      <c r="O242">
        <v>1</v>
      </c>
      <c r="P242" s="59">
        <v>0.25</v>
      </c>
    </row>
    <row r="243" spans="1:16" x14ac:dyDescent="0.25">
      <c r="A243">
        <v>5101</v>
      </c>
      <c r="B243">
        <v>5101</v>
      </c>
      <c r="C243" s="56" t="s">
        <v>1117</v>
      </c>
      <c r="D243" s="56" t="s">
        <v>1115</v>
      </c>
      <c r="E243" s="56" t="s">
        <v>1115</v>
      </c>
      <c r="F243" s="56" t="s">
        <v>570</v>
      </c>
      <c r="G243">
        <v>0.17</v>
      </c>
      <c r="H243" s="56" t="s">
        <v>571</v>
      </c>
      <c r="I243" s="56" t="s">
        <v>1118</v>
      </c>
      <c r="J243">
        <v>0</v>
      </c>
      <c r="K243">
        <v>0</v>
      </c>
      <c r="L243">
        <v>12</v>
      </c>
      <c r="M243">
        <v>5101</v>
      </c>
      <c r="N243" s="56" t="s">
        <v>134</v>
      </c>
      <c r="O243">
        <v>1</v>
      </c>
      <c r="P243" s="59">
        <v>0.5</v>
      </c>
    </row>
    <row r="244" spans="1:16" x14ac:dyDescent="0.25">
      <c r="A244">
        <v>5110</v>
      </c>
      <c r="B244">
        <v>5110</v>
      </c>
      <c r="C244" s="56" t="s">
        <v>1119</v>
      </c>
      <c r="D244" s="56" t="s">
        <v>1115</v>
      </c>
      <c r="E244" s="56" t="s">
        <v>1115</v>
      </c>
      <c r="F244" s="56" t="s">
        <v>570</v>
      </c>
      <c r="G244">
        <v>0.67410000000000003</v>
      </c>
      <c r="H244" s="56" t="s">
        <v>571</v>
      </c>
      <c r="I244" s="56" t="s">
        <v>1120</v>
      </c>
      <c r="J244">
        <v>0</v>
      </c>
      <c r="K244">
        <v>0</v>
      </c>
      <c r="L244">
        <v>12</v>
      </c>
      <c r="M244">
        <v>5110</v>
      </c>
      <c r="N244" s="56" t="s">
        <v>136</v>
      </c>
      <c r="O244">
        <v>1</v>
      </c>
      <c r="P244" s="59">
        <v>2.65</v>
      </c>
    </row>
    <row r="245" spans="1:16" x14ac:dyDescent="0.25">
      <c r="A245">
        <v>5120</v>
      </c>
      <c r="B245">
        <v>5120</v>
      </c>
      <c r="C245" s="56" t="s">
        <v>1121</v>
      </c>
      <c r="D245" s="56" t="s">
        <v>1115</v>
      </c>
      <c r="E245" s="56" t="s">
        <v>1115</v>
      </c>
      <c r="F245" s="56" t="s">
        <v>570</v>
      </c>
      <c r="G245">
        <v>0.73</v>
      </c>
      <c r="H245" s="56" t="s">
        <v>571</v>
      </c>
      <c r="I245" s="56" t="s">
        <v>1122</v>
      </c>
      <c r="J245">
        <v>0</v>
      </c>
      <c r="K245">
        <v>0</v>
      </c>
      <c r="L245">
        <v>12</v>
      </c>
      <c r="M245">
        <v>5120</v>
      </c>
      <c r="N245" s="56" t="s">
        <v>139</v>
      </c>
      <c r="O245">
        <v>1</v>
      </c>
      <c r="P245" s="59">
        <v>2.8</v>
      </c>
    </row>
    <row r="246" spans="1:16" x14ac:dyDescent="0.25">
      <c r="A246">
        <v>5121</v>
      </c>
      <c r="B246">
        <v>5121</v>
      </c>
      <c r="C246" s="56" t="s">
        <v>1123</v>
      </c>
      <c r="D246" s="56" t="s">
        <v>1115</v>
      </c>
      <c r="E246" s="56" t="s">
        <v>1115</v>
      </c>
      <c r="F246" s="56" t="s">
        <v>570</v>
      </c>
      <c r="G246">
        <v>0.75</v>
      </c>
      <c r="H246" s="56" t="s">
        <v>571</v>
      </c>
      <c r="I246" s="56" t="s">
        <v>1124</v>
      </c>
      <c r="J246">
        <v>0</v>
      </c>
      <c r="K246">
        <v>0</v>
      </c>
      <c r="L246">
        <v>24</v>
      </c>
      <c r="M246">
        <v>5121</v>
      </c>
      <c r="N246" s="56" t="s">
        <v>141</v>
      </c>
      <c r="O246">
        <v>1</v>
      </c>
      <c r="P246" s="59">
        <v>2.25</v>
      </c>
    </row>
    <row r="247" spans="1:16" x14ac:dyDescent="0.25">
      <c r="A247">
        <v>5130</v>
      </c>
      <c r="B247">
        <v>5130</v>
      </c>
      <c r="C247" s="56" t="s">
        <v>1125</v>
      </c>
      <c r="D247" s="56" t="s">
        <v>1115</v>
      </c>
      <c r="E247" s="56" t="s">
        <v>1115</v>
      </c>
      <c r="F247" s="56" t="s">
        <v>570</v>
      </c>
      <c r="G247">
        <v>1.1000000000000001</v>
      </c>
      <c r="H247" s="56" t="s">
        <v>571</v>
      </c>
      <c r="I247" s="56" t="s">
        <v>1126</v>
      </c>
      <c r="J247">
        <v>0</v>
      </c>
      <c r="K247">
        <v>0</v>
      </c>
      <c r="L247">
        <v>6</v>
      </c>
      <c r="M247">
        <v>5130</v>
      </c>
      <c r="N247" s="56" t="s">
        <v>144</v>
      </c>
      <c r="O247">
        <v>1</v>
      </c>
      <c r="P247" s="59">
        <v>5</v>
      </c>
    </row>
    <row r="248" spans="1:16" x14ac:dyDescent="0.25">
      <c r="A248">
        <v>5200</v>
      </c>
      <c r="B248">
        <v>5200</v>
      </c>
      <c r="C248" s="56" t="s">
        <v>1127</v>
      </c>
      <c r="D248" s="56" t="s">
        <v>1115</v>
      </c>
      <c r="E248" s="56" t="s">
        <v>1115</v>
      </c>
      <c r="F248" s="56" t="s">
        <v>570</v>
      </c>
      <c r="G248">
        <v>1.97</v>
      </c>
      <c r="H248" s="56" t="s">
        <v>571</v>
      </c>
      <c r="I248" s="56" t="s">
        <v>1128</v>
      </c>
      <c r="J248">
        <v>0</v>
      </c>
      <c r="K248">
        <v>0</v>
      </c>
      <c r="L248">
        <v>24</v>
      </c>
      <c r="M248">
        <v>5200</v>
      </c>
      <c r="N248" s="56" t="s">
        <v>146</v>
      </c>
      <c r="O248">
        <v>1</v>
      </c>
      <c r="P248" s="59">
        <v>6</v>
      </c>
    </row>
    <row r="249" spans="1:16" x14ac:dyDescent="0.25">
      <c r="A249">
        <v>5201</v>
      </c>
      <c r="B249">
        <v>5201</v>
      </c>
      <c r="C249" s="56" t="s">
        <v>1129</v>
      </c>
      <c r="D249" s="56" t="s">
        <v>1115</v>
      </c>
      <c r="E249" s="56" t="s">
        <v>1115</v>
      </c>
      <c r="F249" s="56" t="s">
        <v>570</v>
      </c>
      <c r="G249">
        <v>1.5</v>
      </c>
      <c r="H249" s="56" t="s">
        <v>571</v>
      </c>
      <c r="I249" s="56" t="s">
        <v>1130</v>
      </c>
      <c r="J249">
        <v>0</v>
      </c>
      <c r="K249">
        <v>0</v>
      </c>
      <c r="L249">
        <v>12</v>
      </c>
      <c r="M249">
        <v>5201</v>
      </c>
      <c r="N249" s="56" t="s">
        <v>148</v>
      </c>
      <c r="O249">
        <v>1</v>
      </c>
      <c r="P249" s="59">
        <v>4.55</v>
      </c>
    </row>
    <row r="250" spans="1:16" x14ac:dyDescent="0.25">
      <c r="A250">
        <v>5202</v>
      </c>
      <c r="B250">
        <v>5202</v>
      </c>
      <c r="C250" s="56" t="s">
        <v>1131</v>
      </c>
      <c r="D250" s="56" t="s">
        <v>1115</v>
      </c>
      <c r="E250" s="56" t="s">
        <v>1115</v>
      </c>
      <c r="F250" s="56" t="s">
        <v>570</v>
      </c>
      <c r="G250">
        <v>0.7</v>
      </c>
      <c r="H250" s="56" t="s">
        <v>571</v>
      </c>
      <c r="I250" s="56" t="s">
        <v>1132</v>
      </c>
      <c r="J250">
        <v>0</v>
      </c>
      <c r="K250">
        <v>0</v>
      </c>
      <c r="L250">
        <v>36</v>
      </c>
      <c r="M250">
        <v>5202</v>
      </c>
      <c r="N250" s="56" t="s">
        <v>151</v>
      </c>
      <c r="O250">
        <v>1</v>
      </c>
      <c r="P250" s="59">
        <v>2.5</v>
      </c>
    </row>
    <row r="251" spans="1:16" x14ac:dyDescent="0.25">
      <c r="A251">
        <v>5210</v>
      </c>
      <c r="B251">
        <v>5210</v>
      </c>
      <c r="C251" s="56" t="s">
        <v>1133</v>
      </c>
      <c r="D251" s="56" t="s">
        <v>1115</v>
      </c>
      <c r="E251" s="56" t="s">
        <v>1115</v>
      </c>
      <c r="F251" s="56" t="s">
        <v>570</v>
      </c>
      <c r="G251">
        <v>6.3333000000000004</v>
      </c>
      <c r="H251" s="56" t="s">
        <v>571</v>
      </c>
      <c r="I251" s="56" t="s">
        <v>1134</v>
      </c>
      <c r="J251">
        <v>0</v>
      </c>
      <c r="K251">
        <v>0</v>
      </c>
      <c r="L251">
        <v>6</v>
      </c>
      <c r="M251">
        <v>5210</v>
      </c>
      <c r="N251" s="56" t="s">
        <v>153</v>
      </c>
      <c r="O251">
        <v>1</v>
      </c>
      <c r="P251" s="59">
        <v>19</v>
      </c>
    </row>
    <row r="252" spans="1:16" x14ac:dyDescent="0.25">
      <c r="A252">
        <v>5211</v>
      </c>
      <c r="B252">
        <v>5211</v>
      </c>
      <c r="C252" s="56" t="s">
        <v>1135</v>
      </c>
      <c r="D252" s="56" t="s">
        <v>1115</v>
      </c>
      <c r="E252" s="56" t="s">
        <v>1115</v>
      </c>
      <c r="F252" s="56" t="s">
        <v>570</v>
      </c>
      <c r="G252">
        <v>0.84</v>
      </c>
      <c r="H252" s="56" t="s">
        <v>571</v>
      </c>
      <c r="I252" s="56" t="s">
        <v>1136</v>
      </c>
      <c r="J252">
        <v>0</v>
      </c>
      <c r="K252">
        <v>0</v>
      </c>
      <c r="L252">
        <v>24</v>
      </c>
      <c r="M252">
        <v>5211</v>
      </c>
      <c r="N252" s="56" t="s">
        <v>154</v>
      </c>
      <c r="O252">
        <v>1</v>
      </c>
      <c r="P252" s="59">
        <v>2.5</v>
      </c>
    </row>
    <row r="253" spans="1:16" x14ac:dyDescent="0.25">
      <c r="A253">
        <v>5212</v>
      </c>
      <c r="B253">
        <v>5212</v>
      </c>
      <c r="C253" s="56" t="s">
        <v>1137</v>
      </c>
      <c r="D253" s="56" t="s">
        <v>1115</v>
      </c>
      <c r="E253" s="56" t="s">
        <v>1115</v>
      </c>
      <c r="F253" s="56" t="s">
        <v>570</v>
      </c>
      <c r="G253">
        <v>4.5999999999999996</v>
      </c>
      <c r="H253" s="56" t="s">
        <v>571</v>
      </c>
      <c r="I253" s="56" t="s">
        <v>1138</v>
      </c>
      <c r="J253">
        <v>0</v>
      </c>
      <c r="K253">
        <v>0</v>
      </c>
      <c r="L253">
        <v>12</v>
      </c>
      <c r="M253">
        <v>5212</v>
      </c>
      <c r="N253" s="56" t="s">
        <v>1139</v>
      </c>
      <c r="O253">
        <v>1</v>
      </c>
      <c r="P253" s="59">
        <v>12</v>
      </c>
    </row>
    <row r="254" spans="1:16" x14ac:dyDescent="0.25">
      <c r="A254">
        <v>5300</v>
      </c>
      <c r="B254">
        <v>5300</v>
      </c>
      <c r="C254" s="56" t="s">
        <v>1140</v>
      </c>
      <c r="D254" s="56" t="s">
        <v>1115</v>
      </c>
      <c r="E254" s="56" t="s">
        <v>1115</v>
      </c>
      <c r="F254" s="56" t="s">
        <v>570</v>
      </c>
      <c r="G254">
        <v>11.47</v>
      </c>
      <c r="H254" s="56" t="s">
        <v>1141</v>
      </c>
      <c r="I254" s="56" t="s">
        <v>1142</v>
      </c>
      <c r="J254">
        <v>0</v>
      </c>
      <c r="K254">
        <v>0</v>
      </c>
      <c r="L254">
        <v>1</v>
      </c>
      <c r="M254">
        <v>5300</v>
      </c>
      <c r="N254" s="56" t="s">
        <v>1143</v>
      </c>
      <c r="O254">
        <v>1</v>
      </c>
      <c r="P254" s="59">
        <v>38</v>
      </c>
    </row>
    <row r="255" spans="1:16" x14ac:dyDescent="0.25">
      <c r="A255">
        <v>5400</v>
      </c>
      <c r="B255">
        <v>5400</v>
      </c>
      <c r="C255" s="56" t="s">
        <v>1144</v>
      </c>
      <c r="D255" s="56" t="s">
        <v>1145</v>
      </c>
      <c r="E255" s="56" t="s">
        <v>1145</v>
      </c>
      <c r="F255" s="56" t="s">
        <v>570</v>
      </c>
      <c r="G255">
        <v>0.68</v>
      </c>
      <c r="H255" s="56" t="s">
        <v>571</v>
      </c>
      <c r="I255" s="56" t="s">
        <v>1146</v>
      </c>
      <c r="J255">
        <v>0</v>
      </c>
      <c r="K255">
        <v>0</v>
      </c>
      <c r="L255">
        <v>12</v>
      </c>
      <c r="M255">
        <v>5400</v>
      </c>
      <c r="N255" s="56" t="s">
        <v>142</v>
      </c>
      <c r="O255">
        <v>1</v>
      </c>
      <c r="P255" s="59">
        <v>2.1</v>
      </c>
    </row>
    <row r="256" spans="1:16" x14ac:dyDescent="0.25">
      <c r="A256">
        <v>5410</v>
      </c>
      <c r="B256">
        <v>5410</v>
      </c>
      <c r="C256" s="56" t="s">
        <v>1147</v>
      </c>
      <c r="D256" s="56" t="s">
        <v>1145</v>
      </c>
      <c r="E256" s="56" t="s">
        <v>1145</v>
      </c>
      <c r="F256" s="56" t="s">
        <v>570</v>
      </c>
      <c r="G256">
        <v>0.63</v>
      </c>
      <c r="H256" s="56" t="s">
        <v>571</v>
      </c>
      <c r="I256" s="56" t="s">
        <v>1148</v>
      </c>
      <c r="J256">
        <v>0</v>
      </c>
      <c r="K256">
        <v>0</v>
      </c>
      <c r="L256">
        <v>60</v>
      </c>
      <c r="M256">
        <v>5410</v>
      </c>
      <c r="N256" s="56" t="s">
        <v>145</v>
      </c>
      <c r="O256">
        <v>1</v>
      </c>
      <c r="P256" s="59">
        <v>1.9</v>
      </c>
    </row>
    <row r="257" spans="1:16" x14ac:dyDescent="0.25">
      <c r="A257">
        <v>5420</v>
      </c>
      <c r="B257">
        <v>5420</v>
      </c>
      <c r="C257" s="56" t="s">
        <v>1149</v>
      </c>
      <c r="D257" s="56" t="s">
        <v>1145</v>
      </c>
      <c r="E257" s="56" t="s">
        <v>1145</v>
      </c>
      <c r="F257" s="56" t="s">
        <v>570</v>
      </c>
      <c r="G257">
        <v>0.99</v>
      </c>
      <c r="H257" s="56" t="s">
        <v>571</v>
      </c>
      <c r="I257" s="56" t="s">
        <v>1150</v>
      </c>
      <c r="J257">
        <v>0</v>
      </c>
      <c r="K257">
        <v>0</v>
      </c>
      <c r="L257">
        <v>12</v>
      </c>
      <c r="M257">
        <v>5420</v>
      </c>
      <c r="N257" s="56" t="s">
        <v>147</v>
      </c>
      <c r="O257">
        <v>1</v>
      </c>
      <c r="P257" s="59">
        <v>3.05</v>
      </c>
    </row>
    <row r="258" spans="1:16" x14ac:dyDescent="0.25">
      <c r="A258">
        <v>5421</v>
      </c>
      <c r="B258">
        <v>5421</v>
      </c>
      <c r="C258" s="56" t="s">
        <v>1151</v>
      </c>
      <c r="D258" s="56" t="s">
        <v>807</v>
      </c>
      <c r="E258" s="56" t="s">
        <v>807</v>
      </c>
      <c r="F258" s="56" t="s">
        <v>570</v>
      </c>
      <c r="G258">
        <v>1</v>
      </c>
      <c r="H258" s="56" t="s">
        <v>571</v>
      </c>
      <c r="I258" s="56" t="s">
        <v>1152</v>
      </c>
      <c r="J258">
        <v>0</v>
      </c>
      <c r="K258">
        <v>0</v>
      </c>
      <c r="L258">
        <v>12</v>
      </c>
      <c r="M258">
        <v>5421</v>
      </c>
      <c r="N258" s="56" t="s">
        <v>149</v>
      </c>
      <c r="O258">
        <v>1</v>
      </c>
      <c r="P258" s="59">
        <v>3.05</v>
      </c>
    </row>
    <row r="259" spans="1:16" x14ac:dyDescent="0.25">
      <c r="A259">
        <v>5422</v>
      </c>
      <c r="B259">
        <v>5422</v>
      </c>
      <c r="C259" s="56" t="s">
        <v>1153</v>
      </c>
      <c r="D259" s="56" t="s">
        <v>807</v>
      </c>
      <c r="E259" s="56" t="s">
        <v>807</v>
      </c>
      <c r="F259" s="56" t="s">
        <v>570</v>
      </c>
      <c r="G259">
        <v>1</v>
      </c>
      <c r="H259" s="56" t="s">
        <v>571</v>
      </c>
      <c r="I259" s="56" t="s">
        <v>1154</v>
      </c>
      <c r="J259">
        <v>0</v>
      </c>
      <c r="K259">
        <v>0</v>
      </c>
      <c r="L259">
        <v>12</v>
      </c>
      <c r="M259">
        <v>5422</v>
      </c>
      <c r="N259" s="56" t="s">
        <v>152</v>
      </c>
      <c r="O259">
        <v>1</v>
      </c>
      <c r="P259" s="59">
        <v>3.05</v>
      </c>
    </row>
    <row r="260" spans="1:16" x14ac:dyDescent="0.25">
      <c r="A260">
        <v>5423</v>
      </c>
      <c r="B260">
        <v>5423</v>
      </c>
      <c r="C260" s="56" t="s">
        <v>1155</v>
      </c>
      <c r="D260" s="56" t="s">
        <v>1145</v>
      </c>
      <c r="E260" s="56" t="s">
        <v>1145</v>
      </c>
      <c r="F260" s="56" t="s">
        <v>570</v>
      </c>
      <c r="G260">
        <v>2.4500000000000002</v>
      </c>
      <c r="H260" s="56" t="s">
        <v>571</v>
      </c>
      <c r="I260" s="56" t="s">
        <v>1156</v>
      </c>
      <c r="J260">
        <v>0</v>
      </c>
      <c r="K260">
        <v>0</v>
      </c>
      <c r="L260">
        <v>12</v>
      </c>
      <c r="M260">
        <v>5423</v>
      </c>
      <c r="N260" s="56" t="s">
        <v>1157</v>
      </c>
      <c r="O260">
        <v>1</v>
      </c>
      <c r="P260" s="59">
        <v>8</v>
      </c>
    </row>
    <row r="261" spans="1:16" x14ac:dyDescent="0.25">
      <c r="A261">
        <v>5424</v>
      </c>
      <c r="B261">
        <v>5424</v>
      </c>
      <c r="C261" s="56" t="s">
        <v>1158</v>
      </c>
      <c r="D261" s="56" t="s">
        <v>1145</v>
      </c>
      <c r="E261" s="56" t="s">
        <v>1145</v>
      </c>
      <c r="F261" s="56" t="s">
        <v>570</v>
      </c>
      <c r="G261">
        <v>3.08</v>
      </c>
      <c r="H261" s="56" t="s">
        <v>571</v>
      </c>
      <c r="I261" s="56" t="s">
        <v>1159</v>
      </c>
      <c r="J261">
        <v>0</v>
      </c>
      <c r="K261">
        <v>0</v>
      </c>
      <c r="L261">
        <v>6</v>
      </c>
      <c r="M261">
        <v>5424</v>
      </c>
      <c r="N261" s="56" t="s">
        <v>155</v>
      </c>
      <c r="O261">
        <v>1</v>
      </c>
      <c r="P261" s="59">
        <v>11</v>
      </c>
    </row>
    <row r="262" spans="1:16" x14ac:dyDescent="0.25">
      <c r="A262">
        <v>5430</v>
      </c>
      <c r="B262">
        <v>5430</v>
      </c>
      <c r="C262" s="56" t="s">
        <v>1160</v>
      </c>
      <c r="D262" s="56" t="s">
        <v>1145</v>
      </c>
      <c r="E262" s="56" t="s">
        <v>1145</v>
      </c>
      <c r="F262" s="56" t="s">
        <v>570</v>
      </c>
      <c r="G262">
        <v>0.4975</v>
      </c>
      <c r="H262" s="56" t="s">
        <v>571</v>
      </c>
      <c r="I262" s="56" t="s">
        <v>1161</v>
      </c>
      <c r="J262">
        <v>0</v>
      </c>
      <c r="K262">
        <v>0</v>
      </c>
      <c r="L262">
        <v>48</v>
      </c>
      <c r="M262">
        <v>5430</v>
      </c>
      <c r="N262" s="56" t="s">
        <v>157</v>
      </c>
      <c r="O262">
        <v>1</v>
      </c>
      <c r="P262" s="59">
        <v>1.6</v>
      </c>
    </row>
    <row r="263" spans="1:16" x14ac:dyDescent="0.25">
      <c r="A263">
        <v>5440</v>
      </c>
      <c r="B263">
        <v>5440</v>
      </c>
      <c r="C263" s="56" t="s">
        <v>1162</v>
      </c>
      <c r="D263" s="56" t="s">
        <v>1145</v>
      </c>
      <c r="E263" s="56" t="s">
        <v>1145</v>
      </c>
      <c r="F263" s="56" t="s">
        <v>570</v>
      </c>
      <c r="G263">
        <v>0.5081</v>
      </c>
      <c r="H263" s="56" t="s">
        <v>571</v>
      </c>
      <c r="I263" s="56" t="s">
        <v>1163</v>
      </c>
      <c r="J263">
        <v>0</v>
      </c>
      <c r="K263">
        <v>0</v>
      </c>
      <c r="L263">
        <v>32</v>
      </c>
      <c r="M263">
        <v>5440</v>
      </c>
      <c r="N263" s="56" t="s">
        <v>158</v>
      </c>
      <c r="O263">
        <v>1</v>
      </c>
      <c r="P263" s="59">
        <v>1.5</v>
      </c>
    </row>
    <row r="264" spans="1:16" x14ac:dyDescent="0.25">
      <c r="A264">
        <v>5500</v>
      </c>
      <c r="B264">
        <v>5500</v>
      </c>
      <c r="C264" s="56" t="s">
        <v>1164</v>
      </c>
      <c r="D264" s="56" t="s">
        <v>1145</v>
      </c>
      <c r="E264" s="56" t="s">
        <v>1145</v>
      </c>
      <c r="F264" s="56" t="s">
        <v>570</v>
      </c>
      <c r="G264">
        <v>1.35</v>
      </c>
      <c r="H264" s="56" t="s">
        <v>571</v>
      </c>
      <c r="I264" s="56" t="s">
        <v>1165</v>
      </c>
      <c r="J264">
        <v>0</v>
      </c>
      <c r="K264">
        <v>0</v>
      </c>
      <c r="L264">
        <v>24</v>
      </c>
      <c r="M264">
        <v>5500</v>
      </c>
      <c r="N264" s="56" t="s">
        <v>161</v>
      </c>
      <c r="O264">
        <v>1</v>
      </c>
      <c r="P264" s="59">
        <v>4.2</v>
      </c>
    </row>
    <row r="265" spans="1:16" x14ac:dyDescent="0.25">
      <c r="A265">
        <v>5510</v>
      </c>
      <c r="B265">
        <v>5510</v>
      </c>
      <c r="C265" s="56" t="s">
        <v>1166</v>
      </c>
      <c r="D265" s="56" t="s">
        <v>1145</v>
      </c>
      <c r="E265" s="56" t="s">
        <v>1145</v>
      </c>
      <c r="F265" s="56" t="s">
        <v>570</v>
      </c>
      <c r="G265">
        <v>0.94</v>
      </c>
      <c r="H265" s="56" t="s">
        <v>571</v>
      </c>
      <c r="I265" s="56" t="s">
        <v>1167</v>
      </c>
      <c r="J265">
        <v>0</v>
      </c>
      <c r="K265">
        <v>0</v>
      </c>
      <c r="L265">
        <v>12</v>
      </c>
      <c r="M265">
        <v>5510</v>
      </c>
      <c r="N265" s="56" t="s">
        <v>164</v>
      </c>
      <c r="O265">
        <v>1</v>
      </c>
      <c r="P265" s="59">
        <v>2.85</v>
      </c>
    </row>
    <row r="266" spans="1:16" x14ac:dyDescent="0.25">
      <c r="A266">
        <v>5520</v>
      </c>
      <c r="B266">
        <v>5520</v>
      </c>
      <c r="C266" s="56" t="s">
        <v>1168</v>
      </c>
      <c r="D266" s="56" t="s">
        <v>1145</v>
      </c>
      <c r="E266" s="56" t="s">
        <v>1145</v>
      </c>
      <c r="F266" s="56" t="s">
        <v>570</v>
      </c>
      <c r="G266">
        <v>1.0207999999999999</v>
      </c>
      <c r="H266" s="56" t="s">
        <v>571</v>
      </c>
      <c r="I266" s="56" t="s">
        <v>1169</v>
      </c>
      <c r="J266">
        <v>0</v>
      </c>
      <c r="K266">
        <v>0</v>
      </c>
      <c r="L266">
        <v>24</v>
      </c>
      <c r="M266">
        <v>5520</v>
      </c>
      <c r="N266" s="56" t="s">
        <v>166</v>
      </c>
      <c r="O266">
        <v>1</v>
      </c>
      <c r="P266" s="59">
        <v>3.95</v>
      </c>
    </row>
    <row r="267" spans="1:16" x14ac:dyDescent="0.25">
      <c r="A267">
        <v>5530</v>
      </c>
      <c r="B267">
        <v>5530</v>
      </c>
      <c r="C267" s="56" t="s">
        <v>1170</v>
      </c>
      <c r="D267" s="56" t="s">
        <v>1145</v>
      </c>
      <c r="E267" s="56" t="s">
        <v>1145</v>
      </c>
      <c r="F267" s="56" t="s">
        <v>570</v>
      </c>
      <c r="G267">
        <v>0.88</v>
      </c>
      <c r="H267" s="56" t="s">
        <v>571</v>
      </c>
      <c r="I267" s="56" t="s">
        <v>1171</v>
      </c>
      <c r="J267">
        <v>0</v>
      </c>
      <c r="K267">
        <v>0</v>
      </c>
      <c r="L267">
        <v>24</v>
      </c>
      <c r="M267">
        <v>5530</v>
      </c>
      <c r="N267" s="56" t="s">
        <v>169</v>
      </c>
      <c r="O267">
        <v>1</v>
      </c>
      <c r="P267" s="59">
        <v>3.05</v>
      </c>
    </row>
    <row r="268" spans="1:16" x14ac:dyDescent="0.25">
      <c r="A268">
        <v>5540</v>
      </c>
      <c r="B268">
        <v>5540</v>
      </c>
      <c r="C268" s="56" t="s">
        <v>1172</v>
      </c>
      <c r="D268" s="56" t="s">
        <v>1145</v>
      </c>
      <c r="E268" s="56" t="s">
        <v>1145</v>
      </c>
      <c r="F268" s="56" t="s">
        <v>570</v>
      </c>
      <c r="G268">
        <v>0.76</v>
      </c>
      <c r="H268" s="56" t="s">
        <v>571</v>
      </c>
      <c r="I268" s="56" t="s">
        <v>1173</v>
      </c>
      <c r="J268">
        <v>0</v>
      </c>
      <c r="K268">
        <v>0</v>
      </c>
      <c r="L268">
        <v>24</v>
      </c>
      <c r="M268">
        <v>5540</v>
      </c>
      <c r="N268" s="56" t="s">
        <v>172</v>
      </c>
      <c r="O268">
        <v>1</v>
      </c>
      <c r="P268" s="59">
        <v>2.2999999999999998</v>
      </c>
    </row>
    <row r="269" spans="1:16" x14ac:dyDescent="0.25">
      <c r="A269">
        <v>5541</v>
      </c>
      <c r="B269">
        <v>5541</v>
      </c>
      <c r="C269" s="56" t="s">
        <v>1174</v>
      </c>
      <c r="D269" s="56" t="s">
        <v>1062</v>
      </c>
      <c r="E269" s="56" t="s">
        <v>1062</v>
      </c>
      <c r="F269" s="56" t="s">
        <v>570</v>
      </c>
      <c r="G269">
        <v>2.25</v>
      </c>
      <c r="H269" s="56" t="s">
        <v>571</v>
      </c>
      <c r="I269" s="56" t="s">
        <v>1175</v>
      </c>
      <c r="J269">
        <v>0</v>
      </c>
      <c r="K269">
        <v>0</v>
      </c>
      <c r="L269">
        <v>24</v>
      </c>
      <c r="M269">
        <v>5541</v>
      </c>
      <c r="N269" s="56" t="s">
        <v>1176</v>
      </c>
      <c r="O269">
        <v>1</v>
      </c>
      <c r="P269" s="59">
        <v>3.5</v>
      </c>
    </row>
    <row r="270" spans="1:16" x14ac:dyDescent="0.25">
      <c r="A270">
        <v>5542</v>
      </c>
      <c r="B270">
        <v>5542</v>
      </c>
      <c r="C270" s="56" t="s">
        <v>1733</v>
      </c>
      <c r="D270" s="56" t="s">
        <v>1145</v>
      </c>
      <c r="E270" s="56" t="s">
        <v>1145</v>
      </c>
      <c r="F270" s="56" t="s">
        <v>570</v>
      </c>
      <c r="G270">
        <v>3.75</v>
      </c>
      <c r="H270" s="56" t="s">
        <v>714</v>
      </c>
      <c r="I270" s="56" t="s">
        <v>1734</v>
      </c>
      <c r="J270">
        <v>0</v>
      </c>
      <c r="K270">
        <v>0</v>
      </c>
      <c r="L270">
        <v>1</v>
      </c>
      <c r="M270">
        <v>5542</v>
      </c>
      <c r="N270" s="56" t="s">
        <v>1733</v>
      </c>
      <c r="O270">
        <v>1</v>
      </c>
      <c r="P270" s="59">
        <v>7.5</v>
      </c>
    </row>
    <row r="271" spans="1:16" x14ac:dyDescent="0.25">
      <c r="A271">
        <v>5600</v>
      </c>
      <c r="B271">
        <v>5600</v>
      </c>
      <c r="C271" s="56" t="s">
        <v>1177</v>
      </c>
      <c r="D271" s="56" t="s">
        <v>1178</v>
      </c>
      <c r="E271" s="56" t="s">
        <v>1178</v>
      </c>
      <c r="F271" s="56" t="s">
        <v>570</v>
      </c>
      <c r="G271">
        <v>0.65</v>
      </c>
      <c r="H271" s="56" t="s">
        <v>571</v>
      </c>
      <c r="I271" s="56" t="s">
        <v>1179</v>
      </c>
      <c r="J271">
        <v>0</v>
      </c>
      <c r="K271">
        <v>0</v>
      </c>
      <c r="L271">
        <v>30</v>
      </c>
      <c r="M271">
        <v>5600</v>
      </c>
      <c r="N271" s="56" t="s">
        <v>105</v>
      </c>
      <c r="O271">
        <v>1</v>
      </c>
      <c r="P271" s="59">
        <v>3.65</v>
      </c>
    </row>
    <row r="272" spans="1:16" x14ac:dyDescent="0.25">
      <c r="A272">
        <v>5610</v>
      </c>
      <c r="B272">
        <v>5610</v>
      </c>
      <c r="C272" s="56" t="s">
        <v>1180</v>
      </c>
      <c r="D272" s="56" t="s">
        <v>1178</v>
      </c>
      <c r="E272" s="56" t="s">
        <v>1178</v>
      </c>
      <c r="F272" s="56" t="s">
        <v>570</v>
      </c>
      <c r="G272">
        <v>1.75</v>
      </c>
      <c r="H272" s="56" t="s">
        <v>571</v>
      </c>
      <c r="I272" s="56" t="s">
        <v>1181</v>
      </c>
      <c r="J272">
        <v>0</v>
      </c>
      <c r="K272">
        <v>0</v>
      </c>
      <c r="L272">
        <v>24</v>
      </c>
      <c r="M272">
        <v>5610</v>
      </c>
      <c r="N272" s="56" t="s">
        <v>108</v>
      </c>
      <c r="O272">
        <v>1</v>
      </c>
      <c r="P272" s="59">
        <v>5.5</v>
      </c>
    </row>
    <row r="273" spans="1:16" x14ac:dyDescent="0.25">
      <c r="A273">
        <v>5620</v>
      </c>
      <c r="B273">
        <v>5620</v>
      </c>
      <c r="C273" s="56" t="s">
        <v>1182</v>
      </c>
      <c r="D273" s="56" t="s">
        <v>1178</v>
      </c>
      <c r="E273" s="56" t="s">
        <v>1178</v>
      </c>
      <c r="F273" s="56" t="s">
        <v>570</v>
      </c>
      <c r="G273">
        <v>24.96</v>
      </c>
      <c r="H273" s="56" t="s">
        <v>571</v>
      </c>
      <c r="I273" s="56" t="s">
        <v>1183</v>
      </c>
      <c r="J273">
        <v>0</v>
      </c>
      <c r="K273">
        <v>0</v>
      </c>
      <c r="L273">
        <v>1</v>
      </c>
      <c r="M273">
        <v>5620</v>
      </c>
      <c r="N273" s="56" t="s">
        <v>1184</v>
      </c>
      <c r="O273">
        <v>1</v>
      </c>
      <c r="P273" s="59">
        <v>3.2</v>
      </c>
    </row>
    <row r="274" spans="1:16" x14ac:dyDescent="0.25">
      <c r="A274">
        <v>5630</v>
      </c>
      <c r="B274">
        <v>5630</v>
      </c>
      <c r="C274" s="56" t="s">
        <v>1185</v>
      </c>
      <c r="D274" s="56" t="s">
        <v>1178</v>
      </c>
      <c r="E274" s="56" t="s">
        <v>1178</v>
      </c>
      <c r="F274" s="56" t="s">
        <v>570</v>
      </c>
      <c r="G274">
        <v>1.3</v>
      </c>
      <c r="H274" s="56" t="s">
        <v>571</v>
      </c>
      <c r="I274" s="56" t="s">
        <v>1186</v>
      </c>
      <c r="J274">
        <v>0</v>
      </c>
      <c r="K274">
        <v>0</v>
      </c>
      <c r="L274">
        <v>1</v>
      </c>
      <c r="M274">
        <v>5630</v>
      </c>
      <c r="N274" s="56" t="s">
        <v>113</v>
      </c>
      <c r="O274">
        <v>1</v>
      </c>
      <c r="P274" s="59">
        <v>8.6999999999999993</v>
      </c>
    </row>
    <row r="275" spans="1:16" x14ac:dyDescent="0.25">
      <c r="A275">
        <v>5631</v>
      </c>
      <c r="B275">
        <v>5631</v>
      </c>
      <c r="C275" s="56" t="s">
        <v>1187</v>
      </c>
      <c r="D275" s="56" t="s">
        <v>1178</v>
      </c>
      <c r="E275" s="56" t="s">
        <v>1178</v>
      </c>
      <c r="F275" s="56" t="s">
        <v>570</v>
      </c>
      <c r="G275">
        <v>1.3</v>
      </c>
      <c r="H275" s="56" t="s">
        <v>571</v>
      </c>
      <c r="I275" s="56" t="s">
        <v>1188</v>
      </c>
      <c r="J275">
        <v>0</v>
      </c>
      <c r="K275">
        <v>0</v>
      </c>
      <c r="L275">
        <v>1</v>
      </c>
      <c r="M275">
        <v>5631</v>
      </c>
      <c r="N275" s="56" t="s">
        <v>116</v>
      </c>
      <c r="O275">
        <v>1</v>
      </c>
      <c r="P275" s="59">
        <v>8.6999999999999993</v>
      </c>
    </row>
    <row r="276" spans="1:16" x14ac:dyDescent="0.25">
      <c r="A276">
        <v>5632</v>
      </c>
      <c r="B276">
        <v>5632</v>
      </c>
      <c r="C276" s="56" t="s">
        <v>1189</v>
      </c>
      <c r="D276" s="56" t="s">
        <v>1178</v>
      </c>
      <c r="E276" s="56" t="s">
        <v>1178</v>
      </c>
      <c r="F276" s="56" t="s">
        <v>570</v>
      </c>
      <c r="G276">
        <v>1.3</v>
      </c>
      <c r="H276" s="56" t="s">
        <v>571</v>
      </c>
      <c r="I276" s="56" t="s">
        <v>1190</v>
      </c>
      <c r="J276">
        <v>0</v>
      </c>
      <c r="K276">
        <v>0</v>
      </c>
      <c r="L276">
        <v>1</v>
      </c>
      <c r="M276">
        <v>5632</v>
      </c>
      <c r="N276" s="56" t="s">
        <v>118</v>
      </c>
      <c r="O276">
        <v>1</v>
      </c>
      <c r="P276" s="59">
        <v>8.6999999999999993</v>
      </c>
    </row>
    <row r="277" spans="1:16" x14ac:dyDescent="0.25">
      <c r="A277">
        <v>5633</v>
      </c>
      <c r="B277">
        <v>5633</v>
      </c>
      <c r="C277" s="56" t="s">
        <v>1191</v>
      </c>
      <c r="D277" s="56" t="s">
        <v>1178</v>
      </c>
      <c r="E277" s="56" t="s">
        <v>1178</v>
      </c>
      <c r="F277" s="56" t="s">
        <v>570</v>
      </c>
      <c r="G277">
        <v>1.3</v>
      </c>
      <c r="H277" s="56" t="s">
        <v>571</v>
      </c>
      <c r="I277" s="56" t="s">
        <v>1192</v>
      </c>
      <c r="J277">
        <v>0</v>
      </c>
      <c r="K277">
        <v>0</v>
      </c>
      <c r="L277">
        <v>1</v>
      </c>
      <c r="M277">
        <v>5633</v>
      </c>
      <c r="N277" s="56" t="s">
        <v>119</v>
      </c>
      <c r="O277">
        <v>1</v>
      </c>
      <c r="P277" s="59">
        <v>8.6999999999999993</v>
      </c>
    </row>
    <row r="278" spans="1:16" x14ac:dyDescent="0.25">
      <c r="A278">
        <v>5634</v>
      </c>
      <c r="B278">
        <v>5634</v>
      </c>
      <c r="C278" s="56" t="s">
        <v>1193</v>
      </c>
      <c r="D278" s="56" t="s">
        <v>1178</v>
      </c>
      <c r="E278" s="56" t="s">
        <v>1178</v>
      </c>
      <c r="F278" s="56" t="s">
        <v>570</v>
      </c>
      <c r="G278">
        <v>1.3</v>
      </c>
      <c r="H278" s="56" t="s">
        <v>571</v>
      </c>
      <c r="I278" s="56" t="s">
        <v>1194</v>
      </c>
      <c r="J278">
        <v>0</v>
      </c>
      <c r="K278">
        <v>0</v>
      </c>
      <c r="L278">
        <v>1</v>
      </c>
      <c r="M278">
        <v>5634</v>
      </c>
      <c r="N278" s="56" t="s">
        <v>120</v>
      </c>
      <c r="O278">
        <v>1</v>
      </c>
      <c r="P278" s="59">
        <v>8.6999999999999993</v>
      </c>
    </row>
    <row r="279" spans="1:16" x14ac:dyDescent="0.25">
      <c r="A279">
        <v>5635</v>
      </c>
      <c r="B279">
        <v>5635</v>
      </c>
      <c r="C279" s="56" t="s">
        <v>1195</v>
      </c>
      <c r="D279" s="56" t="s">
        <v>1178</v>
      </c>
      <c r="E279" s="56" t="s">
        <v>1178</v>
      </c>
      <c r="F279" s="56" t="s">
        <v>570</v>
      </c>
      <c r="G279">
        <v>1.3</v>
      </c>
      <c r="H279" s="56" t="s">
        <v>571</v>
      </c>
      <c r="I279" s="56" t="s">
        <v>1196</v>
      </c>
      <c r="J279">
        <v>0</v>
      </c>
      <c r="K279">
        <v>0</v>
      </c>
      <c r="L279">
        <v>1</v>
      </c>
      <c r="M279">
        <v>5635</v>
      </c>
      <c r="N279" s="56" t="s">
        <v>121</v>
      </c>
      <c r="O279">
        <v>1</v>
      </c>
      <c r="P279" s="59">
        <v>8.6999999999999993</v>
      </c>
    </row>
    <row r="280" spans="1:16" x14ac:dyDescent="0.25">
      <c r="A280">
        <v>5636</v>
      </c>
      <c r="B280">
        <v>5636</v>
      </c>
      <c r="C280" s="56" t="s">
        <v>1197</v>
      </c>
      <c r="D280" s="56" t="s">
        <v>1178</v>
      </c>
      <c r="E280" s="56" t="s">
        <v>1178</v>
      </c>
      <c r="F280" s="56" t="s">
        <v>570</v>
      </c>
      <c r="G280">
        <v>1.3</v>
      </c>
      <c r="H280" s="56" t="s">
        <v>571</v>
      </c>
      <c r="I280" s="56" t="s">
        <v>1198</v>
      </c>
      <c r="J280">
        <v>0</v>
      </c>
      <c r="K280">
        <v>0</v>
      </c>
      <c r="L280">
        <v>1</v>
      </c>
      <c r="M280">
        <v>5636</v>
      </c>
      <c r="N280" s="56" t="s">
        <v>122</v>
      </c>
      <c r="O280">
        <v>1</v>
      </c>
      <c r="P280" s="59">
        <v>8.6999999999999993</v>
      </c>
    </row>
    <row r="281" spans="1:16" x14ac:dyDescent="0.25">
      <c r="A281">
        <v>5637</v>
      </c>
      <c r="B281">
        <v>5637</v>
      </c>
      <c r="C281" s="56" t="s">
        <v>1199</v>
      </c>
      <c r="D281" s="56" t="s">
        <v>1178</v>
      </c>
      <c r="E281" s="56" t="s">
        <v>1178</v>
      </c>
      <c r="F281" s="56" t="s">
        <v>570</v>
      </c>
      <c r="G281">
        <v>1.3</v>
      </c>
      <c r="H281" s="56" t="s">
        <v>571</v>
      </c>
      <c r="I281" s="56" t="s">
        <v>1200</v>
      </c>
      <c r="J281">
        <v>0</v>
      </c>
      <c r="K281">
        <v>0</v>
      </c>
      <c r="L281">
        <v>1</v>
      </c>
      <c r="M281">
        <v>5637</v>
      </c>
      <c r="N281" s="56" t="s">
        <v>123</v>
      </c>
      <c r="O281">
        <v>1</v>
      </c>
      <c r="P281" s="59">
        <v>8.6999999999999993</v>
      </c>
    </row>
    <row r="282" spans="1:16" x14ac:dyDescent="0.25">
      <c r="A282">
        <v>5638</v>
      </c>
      <c r="B282">
        <v>5638</v>
      </c>
      <c r="C282" s="56" t="s">
        <v>1201</v>
      </c>
      <c r="D282" s="56" t="s">
        <v>1178</v>
      </c>
      <c r="E282" s="56" t="s">
        <v>1178</v>
      </c>
      <c r="F282" s="56" t="s">
        <v>570</v>
      </c>
      <c r="G282">
        <v>1.3</v>
      </c>
      <c r="H282" s="56" t="s">
        <v>571</v>
      </c>
      <c r="I282" s="56" t="s">
        <v>1202</v>
      </c>
      <c r="J282">
        <v>0</v>
      </c>
      <c r="K282">
        <v>0</v>
      </c>
      <c r="L282">
        <v>1</v>
      </c>
      <c r="M282">
        <v>5638</v>
      </c>
      <c r="N282" s="56" t="s">
        <v>124</v>
      </c>
      <c r="O282">
        <v>1</v>
      </c>
      <c r="P282" s="59">
        <v>8.6999999999999993</v>
      </c>
    </row>
    <row r="283" spans="1:16" x14ac:dyDescent="0.25">
      <c r="A283">
        <v>5639</v>
      </c>
      <c r="B283">
        <v>5639</v>
      </c>
      <c r="C283" s="56" t="s">
        <v>1203</v>
      </c>
      <c r="D283" s="56" t="s">
        <v>1178</v>
      </c>
      <c r="E283" s="56" t="s">
        <v>1178</v>
      </c>
      <c r="F283" s="56" t="s">
        <v>570</v>
      </c>
      <c r="G283">
        <v>1.3</v>
      </c>
      <c r="H283" s="56" t="s">
        <v>571</v>
      </c>
      <c r="I283" s="56" t="s">
        <v>1204</v>
      </c>
      <c r="J283">
        <v>0</v>
      </c>
      <c r="K283">
        <v>0</v>
      </c>
      <c r="L283">
        <v>1</v>
      </c>
      <c r="M283">
        <v>5639</v>
      </c>
      <c r="N283" s="56" t="s">
        <v>125</v>
      </c>
      <c r="O283">
        <v>1</v>
      </c>
      <c r="P283" s="59">
        <v>8.6999999999999993</v>
      </c>
    </row>
    <row r="284" spans="1:16" x14ac:dyDescent="0.25">
      <c r="A284">
        <v>5640</v>
      </c>
      <c r="B284">
        <v>5640</v>
      </c>
      <c r="C284" s="56" t="s">
        <v>1205</v>
      </c>
      <c r="D284" s="56" t="s">
        <v>1178</v>
      </c>
      <c r="E284" s="56" t="s">
        <v>1178</v>
      </c>
      <c r="F284" s="56" t="s">
        <v>570</v>
      </c>
      <c r="G284">
        <v>1.3</v>
      </c>
      <c r="H284" s="56" t="s">
        <v>571</v>
      </c>
      <c r="I284" s="56" t="s">
        <v>1206</v>
      </c>
      <c r="J284">
        <v>0</v>
      </c>
      <c r="K284">
        <v>0</v>
      </c>
      <c r="L284">
        <v>1</v>
      </c>
      <c r="M284">
        <v>5640</v>
      </c>
      <c r="N284" s="56" t="s">
        <v>126</v>
      </c>
      <c r="O284">
        <v>1</v>
      </c>
      <c r="P284" s="59">
        <v>8.6999999999999993</v>
      </c>
    </row>
    <row r="285" spans="1:16" x14ac:dyDescent="0.25">
      <c r="A285">
        <v>5700</v>
      </c>
      <c r="B285">
        <v>5700</v>
      </c>
      <c r="C285" s="56" t="s">
        <v>1207</v>
      </c>
      <c r="D285" s="56" t="s">
        <v>1062</v>
      </c>
      <c r="E285" s="56" t="s">
        <v>1062</v>
      </c>
      <c r="F285" s="56" t="s">
        <v>570</v>
      </c>
      <c r="G285">
        <v>0.09</v>
      </c>
      <c r="H285" s="56" t="s">
        <v>571</v>
      </c>
      <c r="I285" s="56" t="s">
        <v>1208</v>
      </c>
      <c r="J285">
        <v>0</v>
      </c>
      <c r="K285">
        <v>0</v>
      </c>
      <c r="L285">
        <v>250</v>
      </c>
      <c r="M285">
        <v>5700</v>
      </c>
      <c r="N285" s="56" t="s">
        <v>106</v>
      </c>
      <c r="O285">
        <v>1</v>
      </c>
      <c r="P285" s="59">
        <v>1</v>
      </c>
    </row>
    <row r="286" spans="1:16" x14ac:dyDescent="0.25">
      <c r="A286">
        <v>5701</v>
      </c>
      <c r="B286">
        <v>5701</v>
      </c>
      <c r="C286" s="56" t="s">
        <v>1209</v>
      </c>
      <c r="D286" s="56" t="s">
        <v>1062</v>
      </c>
      <c r="E286" s="56" t="s">
        <v>1062</v>
      </c>
      <c r="F286" s="56" t="s">
        <v>570</v>
      </c>
      <c r="G286">
        <v>0.1</v>
      </c>
      <c r="H286" s="56" t="s">
        <v>571</v>
      </c>
      <c r="I286" s="56" t="s">
        <v>1210</v>
      </c>
      <c r="J286">
        <v>0</v>
      </c>
      <c r="K286">
        <v>0</v>
      </c>
      <c r="L286">
        <v>250</v>
      </c>
      <c r="M286">
        <v>5701</v>
      </c>
      <c r="N286" s="56" t="s">
        <v>109</v>
      </c>
      <c r="O286">
        <v>1</v>
      </c>
      <c r="P286" s="59">
        <v>0.7</v>
      </c>
    </row>
    <row r="287" spans="1:16" x14ac:dyDescent="0.25">
      <c r="A287">
        <v>5710</v>
      </c>
      <c r="B287">
        <v>5710</v>
      </c>
      <c r="C287" s="56" t="s">
        <v>1211</v>
      </c>
      <c r="D287" s="56" t="s">
        <v>1062</v>
      </c>
      <c r="E287" s="56" t="s">
        <v>1062</v>
      </c>
      <c r="F287" s="56" t="s">
        <v>570</v>
      </c>
      <c r="G287">
        <v>0.28000000000000003</v>
      </c>
      <c r="H287" s="56" t="s">
        <v>571</v>
      </c>
      <c r="I287" s="56" t="s">
        <v>1212</v>
      </c>
      <c r="J287">
        <v>0</v>
      </c>
      <c r="K287">
        <v>0</v>
      </c>
      <c r="L287">
        <v>50</v>
      </c>
      <c r="M287">
        <v>5710</v>
      </c>
      <c r="N287" s="56" t="s">
        <v>111</v>
      </c>
      <c r="O287">
        <v>1</v>
      </c>
      <c r="P287" s="59">
        <v>0.9</v>
      </c>
    </row>
    <row r="288" spans="1:16" x14ac:dyDescent="0.25">
      <c r="A288">
        <v>5711</v>
      </c>
      <c r="B288">
        <v>5711</v>
      </c>
      <c r="C288" s="56" t="s">
        <v>1213</v>
      </c>
      <c r="D288" s="56" t="s">
        <v>1062</v>
      </c>
      <c r="E288" s="56" t="s">
        <v>1062</v>
      </c>
      <c r="F288" s="56" t="s">
        <v>570</v>
      </c>
      <c r="G288">
        <v>7.3999999999999996E-2</v>
      </c>
      <c r="H288" s="56" t="s">
        <v>571</v>
      </c>
      <c r="I288" s="56" t="s">
        <v>1214</v>
      </c>
      <c r="J288">
        <v>0</v>
      </c>
      <c r="K288">
        <v>0</v>
      </c>
      <c r="L288">
        <v>250</v>
      </c>
      <c r="M288">
        <v>5711</v>
      </c>
      <c r="N288" s="56" t="s">
        <v>114</v>
      </c>
      <c r="O288">
        <v>1</v>
      </c>
      <c r="P288" s="59">
        <v>0.7</v>
      </c>
    </row>
    <row r="289" spans="1:16" x14ac:dyDescent="0.25">
      <c r="A289">
        <v>5712</v>
      </c>
      <c r="B289">
        <v>5712</v>
      </c>
      <c r="C289" s="56" t="s">
        <v>1215</v>
      </c>
      <c r="D289" s="56" t="s">
        <v>1062</v>
      </c>
      <c r="E289" s="56" t="s">
        <v>1062</v>
      </c>
      <c r="F289" s="56" t="s">
        <v>570</v>
      </c>
      <c r="G289">
        <v>0.104</v>
      </c>
      <c r="H289" s="56" t="s">
        <v>571</v>
      </c>
      <c r="I289" s="56" t="s">
        <v>1216</v>
      </c>
      <c r="J289">
        <v>0</v>
      </c>
      <c r="K289">
        <v>0</v>
      </c>
      <c r="L289">
        <v>100</v>
      </c>
      <c r="M289">
        <v>5712</v>
      </c>
      <c r="N289" s="56" t="s">
        <v>117</v>
      </c>
      <c r="O289">
        <v>1</v>
      </c>
      <c r="P289" s="59">
        <v>0.7</v>
      </c>
    </row>
    <row r="290" spans="1:16" x14ac:dyDescent="0.25">
      <c r="A290">
        <v>5720</v>
      </c>
      <c r="B290">
        <v>5720</v>
      </c>
      <c r="C290" s="56" t="s">
        <v>1217</v>
      </c>
      <c r="D290" s="56" t="s">
        <v>1062</v>
      </c>
      <c r="E290" s="56" t="s">
        <v>1062</v>
      </c>
      <c r="F290" s="56" t="s">
        <v>570</v>
      </c>
      <c r="G290">
        <v>0.67079999999999995</v>
      </c>
      <c r="H290" s="56" t="s">
        <v>571</v>
      </c>
      <c r="I290" s="56" t="s">
        <v>1218</v>
      </c>
      <c r="J290">
        <v>0</v>
      </c>
      <c r="K290">
        <v>0</v>
      </c>
      <c r="L290">
        <v>12</v>
      </c>
      <c r="M290">
        <v>5720</v>
      </c>
      <c r="N290" s="56" t="s">
        <v>107</v>
      </c>
      <c r="O290">
        <v>1</v>
      </c>
      <c r="P290" s="59">
        <v>2.0499999999999998</v>
      </c>
    </row>
    <row r="291" spans="1:16" x14ac:dyDescent="0.25">
      <c r="A291">
        <v>5730</v>
      </c>
      <c r="B291">
        <v>5730</v>
      </c>
      <c r="C291" s="56" t="s">
        <v>1219</v>
      </c>
      <c r="D291" s="56" t="s">
        <v>1062</v>
      </c>
      <c r="E291" s="56" t="s">
        <v>1062</v>
      </c>
      <c r="F291" s="56" t="s">
        <v>570</v>
      </c>
      <c r="G291">
        <v>0.74250000000000005</v>
      </c>
      <c r="H291" s="56" t="s">
        <v>571</v>
      </c>
      <c r="I291" s="56" t="s">
        <v>1220</v>
      </c>
      <c r="J291">
        <v>0</v>
      </c>
      <c r="K291">
        <v>0</v>
      </c>
      <c r="L291">
        <v>20</v>
      </c>
      <c r="M291">
        <v>5730</v>
      </c>
      <c r="N291" s="56" t="s">
        <v>110</v>
      </c>
      <c r="O291">
        <v>1</v>
      </c>
      <c r="P291" s="59">
        <v>2.25</v>
      </c>
    </row>
    <row r="292" spans="1:16" x14ac:dyDescent="0.25">
      <c r="A292">
        <v>5731</v>
      </c>
      <c r="B292">
        <v>5731</v>
      </c>
      <c r="C292" s="56" t="s">
        <v>1221</v>
      </c>
      <c r="D292" s="56" t="s">
        <v>1062</v>
      </c>
      <c r="E292" s="56" t="s">
        <v>1062</v>
      </c>
      <c r="F292" s="56" t="s">
        <v>570</v>
      </c>
      <c r="G292">
        <v>0.74250000000000005</v>
      </c>
      <c r="H292" s="56" t="s">
        <v>571</v>
      </c>
      <c r="I292" s="56" t="s">
        <v>1222</v>
      </c>
      <c r="J292">
        <v>0</v>
      </c>
      <c r="K292">
        <v>0</v>
      </c>
      <c r="L292">
        <v>20</v>
      </c>
      <c r="M292">
        <v>5731</v>
      </c>
      <c r="N292" s="56" t="s">
        <v>112</v>
      </c>
      <c r="O292">
        <v>1</v>
      </c>
      <c r="P292" s="59">
        <v>2.25</v>
      </c>
    </row>
    <row r="293" spans="1:16" x14ac:dyDescent="0.25">
      <c r="A293">
        <v>5800</v>
      </c>
      <c r="B293">
        <v>5800</v>
      </c>
      <c r="C293" s="56" t="s">
        <v>1223</v>
      </c>
      <c r="D293" s="56" t="s">
        <v>1062</v>
      </c>
      <c r="E293" s="56" t="s">
        <v>1062</v>
      </c>
      <c r="F293" s="56" t="s">
        <v>570</v>
      </c>
      <c r="G293">
        <v>2.0499999999999998</v>
      </c>
      <c r="H293" s="56" t="s">
        <v>571</v>
      </c>
      <c r="I293" s="56" t="s">
        <v>1224</v>
      </c>
      <c r="J293">
        <v>0</v>
      </c>
      <c r="K293">
        <v>0</v>
      </c>
      <c r="L293">
        <v>12</v>
      </c>
      <c r="M293">
        <v>5800</v>
      </c>
      <c r="N293" s="56" t="s">
        <v>115</v>
      </c>
      <c r="O293">
        <v>1</v>
      </c>
      <c r="P293" s="59">
        <v>6</v>
      </c>
    </row>
    <row r="294" spans="1:16" x14ac:dyDescent="0.25">
      <c r="A294">
        <v>6000</v>
      </c>
      <c r="B294">
        <v>6000</v>
      </c>
      <c r="C294" s="56" t="s">
        <v>1225</v>
      </c>
      <c r="D294" s="56" t="s">
        <v>1226</v>
      </c>
      <c r="E294" s="56" t="s">
        <v>1226</v>
      </c>
      <c r="F294" s="56" t="s">
        <v>570</v>
      </c>
      <c r="G294">
        <v>0.1641</v>
      </c>
      <c r="H294" s="56" t="s">
        <v>1227</v>
      </c>
      <c r="I294" s="56" t="s">
        <v>1228</v>
      </c>
      <c r="J294">
        <v>0</v>
      </c>
      <c r="K294">
        <v>0</v>
      </c>
      <c r="L294">
        <v>24</v>
      </c>
      <c r="M294">
        <v>6000</v>
      </c>
      <c r="N294" s="56" t="s">
        <v>282</v>
      </c>
      <c r="O294">
        <v>1</v>
      </c>
      <c r="P294" s="59">
        <v>1.1000000000000001</v>
      </c>
    </row>
    <row r="295" spans="1:16" x14ac:dyDescent="0.25">
      <c r="A295">
        <v>6100</v>
      </c>
      <c r="B295">
        <v>6100</v>
      </c>
      <c r="C295" s="56" t="s">
        <v>1229</v>
      </c>
      <c r="D295" s="56" t="s">
        <v>1226</v>
      </c>
      <c r="E295" s="56" t="s">
        <v>1226</v>
      </c>
      <c r="F295" s="56" t="s">
        <v>570</v>
      </c>
      <c r="G295">
        <v>1.1208</v>
      </c>
      <c r="H295" s="56" t="s">
        <v>1230</v>
      </c>
      <c r="I295" s="56" t="s">
        <v>1231</v>
      </c>
      <c r="J295">
        <v>0</v>
      </c>
      <c r="K295">
        <v>0</v>
      </c>
      <c r="L295">
        <v>24</v>
      </c>
      <c r="M295">
        <v>6100</v>
      </c>
      <c r="N295" s="56" t="s">
        <v>283</v>
      </c>
      <c r="O295">
        <v>1</v>
      </c>
      <c r="P295" s="59">
        <v>3.25</v>
      </c>
    </row>
    <row r="296" spans="1:16" x14ac:dyDescent="0.25">
      <c r="A296">
        <v>6101</v>
      </c>
      <c r="B296">
        <v>6101</v>
      </c>
      <c r="C296" s="56" t="s">
        <v>1232</v>
      </c>
      <c r="D296" s="56" t="s">
        <v>1226</v>
      </c>
      <c r="E296" s="56" t="s">
        <v>1226</v>
      </c>
      <c r="F296" s="56" t="s">
        <v>570</v>
      </c>
      <c r="G296">
        <v>1.1208</v>
      </c>
      <c r="H296" s="56" t="s">
        <v>1230</v>
      </c>
      <c r="I296" s="56" t="s">
        <v>1233</v>
      </c>
      <c r="J296">
        <v>0</v>
      </c>
      <c r="K296">
        <v>0</v>
      </c>
      <c r="L296">
        <v>24</v>
      </c>
      <c r="M296">
        <v>6101</v>
      </c>
      <c r="N296" s="56" t="s">
        <v>284</v>
      </c>
      <c r="O296">
        <v>1</v>
      </c>
      <c r="P296" s="59">
        <v>3.25</v>
      </c>
    </row>
    <row r="297" spans="1:16" x14ac:dyDescent="0.25">
      <c r="A297">
        <v>6102</v>
      </c>
      <c r="B297">
        <v>6102</v>
      </c>
      <c r="C297" s="56" t="s">
        <v>1234</v>
      </c>
      <c r="D297" s="56" t="s">
        <v>1226</v>
      </c>
      <c r="E297" s="56" t="s">
        <v>1226</v>
      </c>
      <c r="F297" s="56" t="s">
        <v>570</v>
      </c>
      <c r="G297">
        <v>1.1208</v>
      </c>
      <c r="H297" s="56" t="s">
        <v>1230</v>
      </c>
      <c r="I297" s="56" t="s">
        <v>1235</v>
      </c>
      <c r="J297">
        <v>0</v>
      </c>
      <c r="K297">
        <v>0</v>
      </c>
      <c r="L297">
        <v>24</v>
      </c>
      <c r="M297">
        <v>6102</v>
      </c>
      <c r="N297" s="56" t="s">
        <v>286</v>
      </c>
      <c r="O297">
        <v>1</v>
      </c>
      <c r="P297" s="59">
        <v>3.25</v>
      </c>
    </row>
    <row r="298" spans="1:16" x14ac:dyDescent="0.25">
      <c r="A298">
        <v>6103</v>
      </c>
      <c r="B298">
        <v>6103</v>
      </c>
      <c r="C298" s="56" t="s">
        <v>1236</v>
      </c>
      <c r="D298" s="56" t="s">
        <v>1226</v>
      </c>
      <c r="E298" s="56" t="s">
        <v>1226</v>
      </c>
      <c r="F298" s="56" t="s">
        <v>570</v>
      </c>
      <c r="G298">
        <v>1.0853999999999999</v>
      </c>
      <c r="H298" s="56" t="s">
        <v>1230</v>
      </c>
      <c r="I298" s="56" t="s">
        <v>1237</v>
      </c>
      <c r="J298">
        <v>0</v>
      </c>
      <c r="K298">
        <v>0</v>
      </c>
      <c r="L298">
        <v>24</v>
      </c>
      <c r="M298">
        <v>6103</v>
      </c>
      <c r="N298" s="56" t="s">
        <v>288</v>
      </c>
      <c r="O298">
        <v>1</v>
      </c>
      <c r="P298" s="59">
        <v>3.25</v>
      </c>
    </row>
    <row r="299" spans="1:16" x14ac:dyDescent="0.25">
      <c r="A299">
        <v>6104</v>
      </c>
      <c r="B299">
        <v>6104</v>
      </c>
      <c r="C299" s="56" t="s">
        <v>1238</v>
      </c>
      <c r="D299" s="56" t="s">
        <v>1226</v>
      </c>
      <c r="E299" s="56" t="s">
        <v>1226</v>
      </c>
      <c r="F299" s="56" t="s">
        <v>570</v>
      </c>
      <c r="G299">
        <v>0.9325</v>
      </c>
      <c r="H299" s="56" t="s">
        <v>1227</v>
      </c>
      <c r="I299" s="56" t="s">
        <v>1239</v>
      </c>
      <c r="J299">
        <v>0</v>
      </c>
      <c r="K299">
        <v>0</v>
      </c>
      <c r="L299">
        <v>24</v>
      </c>
      <c r="M299">
        <v>6104</v>
      </c>
      <c r="N299" s="56" t="s">
        <v>291</v>
      </c>
      <c r="O299">
        <v>1</v>
      </c>
      <c r="P299" s="59">
        <v>3</v>
      </c>
    </row>
    <row r="300" spans="1:16" x14ac:dyDescent="0.25">
      <c r="A300">
        <v>6106</v>
      </c>
      <c r="B300">
        <v>6106</v>
      </c>
      <c r="C300" s="56" t="s">
        <v>1240</v>
      </c>
      <c r="D300" s="56" t="s">
        <v>1226</v>
      </c>
      <c r="E300" s="56" t="s">
        <v>1226</v>
      </c>
      <c r="F300" s="56" t="s">
        <v>570</v>
      </c>
      <c r="G300">
        <v>0.51659999999999995</v>
      </c>
      <c r="H300" s="56" t="s">
        <v>1227</v>
      </c>
      <c r="I300" s="56" t="s">
        <v>1241</v>
      </c>
      <c r="J300">
        <v>0</v>
      </c>
      <c r="K300">
        <v>0</v>
      </c>
      <c r="L300">
        <v>24</v>
      </c>
      <c r="M300">
        <v>6106</v>
      </c>
      <c r="N300" s="56" t="s">
        <v>294</v>
      </c>
      <c r="O300">
        <v>1</v>
      </c>
      <c r="P300" s="59">
        <v>1.8</v>
      </c>
    </row>
    <row r="301" spans="1:16" x14ac:dyDescent="0.25">
      <c r="A301">
        <v>6107</v>
      </c>
      <c r="B301">
        <v>6107</v>
      </c>
      <c r="C301" s="56" t="s">
        <v>1242</v>
      </c>
      <c r="D301" s="56" t="s">
        <v>1226</v>
      </c>
      <c r="E301" s="56" t="s">
        <v>1226</v>
      </c>
      <c r="F301" s="56" t="s">
        <v>570</v>
      </c>
      <c r="G301">
        <v>0.51659999999999995</v>
      </c>
      <c r="H301" s="56" t="s">
        <v>1227</v>
      </c>
      <c r="I301" s="56" t="s">
        <v>1243</v>
      </c>
      <c r="J301">
        <v>0</v>
      </c>
      <c r="K301">
        <v>0</v>
      </c>
      <c r="L301">
        <v>24</v>
      </c>
      <c r="M301">
        <v>6107</v>
      </c>
      <c r="N301" s="56" t="s">
        <v>296</v>
      </c>
      <c r="O301">
        <v>1</v>
      </c>
      <c r="P301" s="59">
        <v>1.8</v>
      </c>
    </row>
    <row r="302" spans="1:16" x14ac:dyDescent="0.25">
      <c r="A302">
        <v>6108</v>
      </c>
      <c r="B302">
        <v>6108</v>
      </c>
      <c r="C302" s="56" t="s">
        <v>1244</v>
      </c>
      <c r="D302" s="56" t="s">
        <v>1226</v>
      </c>
      <c r="E302" s="56" t="s">
        <v>1226</v>
      </c>
      <c r="F302" s="56" t="s">
        <v>570</v>
      </c>
      <c r="G302">
        <v>0.51659999999999995</v>
      </c>
      <c r="H302" s="56" t="s">
        <v>1227</v>
      </c>
      <c r="I302" s="56" t="s">
        <v>1245</v>
      </c>
      <c r="J302">
        <v>0</v>
      </c>
      <c r="K302">
        <v>0</v>
      </c>
      <c r="L302">
        <v>24</v>
      </c>
      <c r="M302">
        <v>6108</v>
      </c>
      <c r="N302" s="56" t="s">
        <v>299</v>
      </c>
      <c r="O302">
        <v>1</v>
      </c>
      <c r="P302" s="59">
        <v>1.8</v>
      </c>
    </row>
    <row r="303" spans="1:16" x14ac:dyDescent="0.25">
      <c r="A303">
        <v>6109</v>
      </c>
      <c r="B303">
        <v>6109</v>
      </c>
      <c r="C303" s="56" t="s">
        <v>1246</v>
      </c>
      <c r="D303" s="56" t="s">
        <v>1226</v>
      </c>
      <c r="E303" s="56" t="s">
        <v>1226</v>
      </c>
      <c r="F303" s="56" t="s">
        <v>570</v>
      </c>
      <c r="G303">
        <v>0.51659999999999995</v>
      </c>
      <c r="H303" s="56" t="s">
        <v>1227</v>
      </c>
      <c r="I303" s="56" t="s">
        <v>1247</v>
      </c>
      <c r="J303">
        <v>0</v>
      </c>
      <c r="K303">
        <v>0</v>
      </c>
      <c r="L303">
        <v>24</v>
      </c>
      <c r="M303">
        <v>6109</v>
      </c>
      <c r="N303" s="56" t="s">
        <v>301</v>
      </c>
      <c r="O303">
        <v>1</v>
      </c>
      <c r="P303" s="59">
        <v>1.8</v>
      </c>
    </row>
    <row r="304" spans="1:16" x14ac:dyDescent="0.25">
      <c r="A304">
        <v>6110</v>
      </c>
      <c r="B304">
        <v>6110</v>
      </c>
      <c r="C304" s="56" t="s">
        <v>1248</v>
      </c>
      <c r="D304" s="56" t="s">
        <v>1226</v>
      </c>
      <c r="E304" s="56" t="s">
        <v>1226</v>
      </c>
      <c r="F304" s="56" t="s">
        <v>570</v>
      </c>
      <c r="G304">
        <v>0.51659999999999995</v>
      </c>
      <c r="H304" s="56" t="s">
        <v>1227</v>
      </c>
      <c r="I304" s="56" t="s">
        <v>1249</v>
      </c>
      <c r="J304">
        <v>0</v>
      </c>
      <c r="K304">
        <v>0</v>
      </c>
      <c r="L304">
        <v>24</v>
      </c>
      <c r="M304">
        <v>6110</v>
      </c>
      <c r="N304" s="56" t="s">
        <v>304</v>
      </c>
      <c r="O304">
        <v>1</v>
      </c>
      <c r="P304" s="59">
        <v>1.8</v>
      </c>
    </row>
    <row r="305" spans="1:16" x14ac:dyDescent="0.25">
      <c r="A305">
        <v>6200</v>
      </c>
      <c r="B305">
        <v>6200</v>
      </c>
      <c r="C305" s="56" t="s">
        <v>1250</v>
      </c>
      <c r="D305" s="56" t="s">
        <v>1226</v>
      </c>
      <c r="E305" s="56" t="s">
        <v>1226</v>
      </c>
      <c r="F305" s="56" t="s">
        <v>570</v>
      </c>
      <c r="G305">
        <v>0.93330000000000002</v>
      </c>
      <c r="H305" s="56" t="s">
        <v>1227</v>
      </c>
      <c r="I305" s="56" t="s">
        <v>1251</v>
      </c>
      <c r="J305">
        <v>0</v>
      </c>
      <c r="K305">
        <v>0</v>
      </c>
      <c r="L305">
        <v>24</v>
      </c>
      <c r="M305">
        <v>6200</v>
      </c>
      <c r="N305" s="56" t="s">
        <v>307</v>
      </c>
      <c r="O305">
        <v>1</v>
      </c>
      <c r="P305" s="59">
        <v>3</v>
      </c>
    </row>
    <row r="306" spans="1:16" x14ac:dyDescent="0.25">
      <c r="A306">
        <v>6201</v>
      </c>
      <c r="B306">
        <v>6201</v>
      </c>
      <c r="C306" s="56" t="s">
        <v>1252</v>
      </c>
      <c r="D306" s="56" t="s">
        <v>1226</v>
      </c>
      <c r="E306" s="56" t="s">
        <v>1226</v>
      </c>
      <c r="F306" s="56" t="s">
        <v>570</v>
      </c>
      <c r="G306">
        <v>0.93330000000000002</v>
      </c>
      <c r="H306" s="56" t="s">
        <v>1227</v>
      </c>
      <c r="I306" s="56" t="s">
        <v>1253</v>
      </c>
      <c r="J306">
        <v>0</v>
      </c>
      <c r="K306">
        <v>0</v>
      </c>
      <c r="L306">
        <v>24</v>
      </c>
      <c r="M306">
        <v>6201</v>
      </c>
      <c r="N306" s="56" t="s">
        <v>310</v>
      </c>
      <c r="O306">
        <v>1</v>
      </c>
      <c r="P306" s="59">
        <v>3</v>
      </c>
    </row>
    <row r="307" spans="1:16" x14ac:dyDescent="0.25">
      <c r="A307">
        <v>6202</v>
      </c>
      <c r="B307">
        <v>6202</v>
      </c>
      <c r="C307" s="56" t="s">
        <v>1254</v>
      </c>
      <c r="D307" s="56" t="s">
        <v>1226</v>
      </c>
      <c r="E307" s="56" t="s">
        <v>1226</v>
      </c>
      <c r="F307" s="56" t="s">
        <v>570</v>
      </c>
      <c r="G307">
        <v>0.93330000000000002</v>
      </c>
      <c r="H307" s="56" t="s">
        <v>1227</v>
      </c>
      <c r="I307" s="56" t="s">
        <v>1255</v>
      </c>
      <c r="J307">
        <v>0</v>
      </c>
      <c r="K307">
        <v>0</v>
      </c>
      <c r="L307">
        <v>24</v>
      </c>
      <c r="M307">
        <v>6202</v>
      </c>
      <c r="N307" s="56" t="s">
        <v>313</v>
      </c>
      <c r="O307">
        <v>1</v>
      </c>
      <c r="P307" s="59">
        <v>3</v>
      </c>
    </row>
    <row r="308" spans="1:16" x14ac:dyDescent="0.25">
      <c r="A308">
        <v>6203</v>
      </c>
      <c r="B308">
        <v>6203</v>
      </c>
      <c r="C308" s="56" t="s">
        <v>1256</v>
      </c>
      <c r="D308" s="56" t="s">
        <v>1226</v>
      </c>
      <c r="E308" s="56" t="s">
        <v>1226</v>
      </c>
      <c r="F308" s="56" t="s">
        <v>570</v>
      </c>
      <c r="G308">
        <v>0.93330000000000002</v>
      </c>
      <c r="H308" s="56" t="s">
        <v>1227</v>
      </c>
      <c r="I308" s="56" t="s">
        <v>1257</v>
      </c>
      <c r="J308">
        <v>0</v>
      </c>
      <c r="K308">
        <v>0</v>
      </c>
      <c r="L308">
        <v>24</v>
      </c>
      <c r="M308">
        <v>6203</v>
      </c>
      <c r="N308" s="56" t="s">
        <v>315</v>
      </c>
      <c r="O308">
        <v>1</v>
      </c>
      <c r="P308" s="59">
        <v>3</v>
      </c>
    </row>
    <row r="309" spans="1:16" x14ac:dyDescent="0.25">
      <c r="A309">
        <v>6301</v>
      </c>
      <c r="B309">
        <v>6301</v>
      </c>
      <c r="C309" s="56" t="s">
        <v>1258</v>
      </c>
      <c r="D309" s="56" t="s">
        <v>1226</v>
      </c>
      <c r="E309" s="56" t="s">
        <v>1226</v>
      </c>
      <c r="F309" s="56" t="s">
        <v>570</v>
      </c>
      <c r="G309">
        <v>0.95</v>
      </c>
      <c r="H309" s="56" t="s">
        <v>571</v>
      </c>
      <c r="I309" s="56" t="s">
        <v>1259</v>
      </c>
      <c r="J309">
        <v>0</v>
      </c>
      <c r="K309">
        <v>0</v>
      </c>
      <c r="L309">
        <v>12</v>
      </c>
      <c r="M309">
        <v>6301</v>
      </c>
      <c r="N309" s="56" t="s">
        <v>1260</v>
      </c>
      <c r="O309">
        <v>1</v>
      </c>
      <c r="P309" s="59">
        <v>3.5</v>
      </c>
    </row>
    <row r="310" spans="1:16" x14ac:dyDescent="0.25">
      <c r="A310">
        <v>6302</v>
      </c>
      <c r="B310">
        <v>6302</v>
      </c>
      <c r="C310" s="56" t="s">
        <v>1261</v>
      </c>
      <c r="D310" s="56" t="s">
        <v>1226</v>
      </c>
      <c r="E310" s="56" t="s">
        <v>1226</v>
      </c>
      <c r="F310" s="56" t="s">
        <v>570</v>
      </c>
      <c r="G310">
        <v>0.95</v>
      </c>
      <c r="H310" s="56" t="s">
        <v>571</v>
      </c>
      <c r="I310" s="56" t="s">
        <v>1262</v>
      </c>
      <c r="J310">
        <v>0</v>
      </c>
      <c r="K310">
        <v>0</v>
      </c>
      <c r="L310">
        <v>12</v>
      </c>
      <c r="M310">
        <v>6302</v>
      </c>
      <c r="N310" s="56" t="s">
        <v>1263</v>
      </c>
      <c r="O310">
        <v>1</v>
      </c>
      <c r="P310" s="59">
        <v>3.5</v>
      </c>
    </row>
    <row r="311" spans="1:16" x14ac:dyDescent="0.25">
      <c r="A311">
        <v>6303</v>
      </c>
      <c r="B311">
        <v>6303</v>
      </c>
      <c r="C311" s="56" t="s">
        <v>1264</v>
      </c>
      <c r="D311" s="56" t="s">
        <v>1226</v>
      </c>
      <c r="E311" s="56" t="s">
        <v>1226</v>
      </c>
      <c r="F311" s="56" t="s">
        <v>570</v>
      </c>
      <c r="G311">
        <v>0.95</v>
      </c>
      <c r="H311" s="56" t="s">
        <v>571</v>
      </c>
      <c r="I311" s="56" t="s">
        <v>1265</v>
      </c>
      <c r="J311">
        <v>0</v>
      </c>
      <c r="K311">
        <v>0</v>
      </c>
      <c r="L311">
        <v>12</v>
      </c>
      <c r="M311">
        <v>6303</v>
      </c>
      <c r="N311" s="56" t="s">
        <v>285</v>
      </c>
      <c r="O311">
        <v>1</v>
      </c>
      <c r="P311" s="59">
        <v>3.5</v>
      </c>
    </row>
    <row r="312" spans="1:16" x14ac:dyDescent="0.25">
      <c r="A312">
        <v>6311</v>
      </c>
      <c r="B312">
        <v>6311</v>
      </c>
      <c r="C312" s="56" t="s">
        <v>1266</v>
      </c>
      <c r="D312" s="56" t="s">
        <v>1226</v>
      </c>
      <c r="E312" s="56" t="s">
        <v>1226</v>
      </c>
      <c r="F312" s="56" t="s">
        <v>570</v>
      </c>
      <c r="G312">
        <v>0.95</v>
      </c>
      <c r="H312" s="56" t="s">
        <v>571</v>
      </c>
      <c r="I312" s="56" t="s">
        <v>1267</v>
      </c>
      <c r="J312">
        <v>0</v>
      </c>
      <c r="K312">
        <v>0</v>
      </c>
      <c r="L312">
        <v>12</v>
      </c>
      <c r="M312">
        <v>6311</v>
      </c>
      <c r="N312" s="56" t="s">
        <v>287</v>
      </c>
      <c r="O312">
        <v>1</v>
      </c>
      <c r="P312" s="59">
        <v>3.5</v>
      </c>
    </row>
    <row r="313" spans="1:16" x14ac:dyDescent="0.25">
      <c r="A313">
        <v>6312</v>
      </c>
      <c r="B313">
        <v>6312</v>
      </c>
      <c r="C313" s="56" t="s">
        <v>1268</v>
      </c>
      <c r="D313" s="56" t="s">
        <v>1226</v>
      </c>
      <c r="E313" s="56" t="s">
        <v>1226</v>
      </c>
      <c r="F313" s="56" t="s">
        <v>570</v>
      </c>
      <c r="G313">
        <v>0.95</v>
      </c>
      <c r="H313" s="56" t="s">
        <v>571</v>
      </c>
      <c r="I313" s="56" t="s">
        <v>1269</v>
      </c>
      <c r="J313">
        <v>0</v>
      </c>
      <c r="K313">
        <v>0</v>
      </c>
      <c r="L313">
        <v>12</v>
      </c>
      <c r="M313">
        <v>6312</v>
      </c>
      <c r="N313" s="56" t="s">
        <v>289</v>
      </c>
      <c r="O313">
        <v>1</v>
      </c>
      <c r="P313" s="59">
        <v>3.5</v>
      </c>
    </row>
    <row r="314" spans="1:16" x14ac:dyDescent="0.25">
      <c r="A314">
        <v>6320</v>
      </c>
      <c r="B314">
        <v>6320</v>
      </c>
      <c r="C314" s="56" t="s">
        <v>1270</v>
      </c>
      <c r="D314" s="56" t="s">
        <v>1226</v>
      </c>
      <c r="E314" s="56" t="s">
        <v>1226</v>
      </c>
      <c r="F314" s="56" t="s">
        <v>570</v>
      </c>
      <c r="G314">
        <v>0.23330000000000001</v>
      </c>
      <c r="H314" s="56" t="s">
        <v>571</v>
      </c>
      <c r="I314" s="56" t="s">
        <v>1271</v>
      </c>
      <c r="J314">
        <v>0</v>
      </c>
      <c r="K314">
        <v>0</v>
      </c>
      <c r="L314">
        <v>72</v>
      </c>
      <c r="M314">
        <v>6320</v>
      </c>
      <c r="N314" s="56" t="s">
        <v>292</v>
      </c>
      <c r="O314">
        <v>1</v>
      </c>
      <c r="P314" s="59">
        <v>1</v>
      </c>
    </row>
    <row r="315" spans="1:16" x14ac:dyDescent="0.25">
      <c r="A315">
        <v>6321</v>
      </c>
      <c r="B315">
        <v>6321</v>
      </c>
      <c r="C315" s="56" t="s">
        <v>1272</v>
      </c>
      <c r="D315" s="56" t="s">
        <v>1226</v>
      </c>
      <c r="E315" s="56" t="s">
        <v>1226</v>
      </c>
      <c r="F315" s="56" t="s">
        <v>570</v>
      </c>
      <c r="G315">
        <v>0.23330000000000001</v>
      </c>
      <c r="H315" s="56" t="s">
        <v>571</v>
      </c>
      <c r="I315" s="56" t="s">
        <v>1273</v>
      </c>
      <c r="J315">
        <v>0</v>
      </c>
      <c r="K315">
        <v>0</v>
      </c>
      <c r="L315">
        <v>72</v>
      </c>
      <c r="M315">
        <v>6321</v>
      </c>
      <c r="N315" s="56" t="s">
        <v>1274</v>
      </c>
      <c r="O315">
        <v>1</v>
      </c>
      <c r="P315" s="59">
        <v>1</v>
      </c>
    </row>
    <row r="316" spans="1:16" x14ac:dyDescent="0.25">
      <c r="A316">
        <v>6322</v>
      </c>
      <c r="B316">
        <v>6322</v>
      </c>
      <c r="C316" s="56" t="s">
        <v>1275</v>
      </c>
      <c r="D316" s="56" t="s">
        <v>1226</v>
      </c>
      <c r="E316" s="56" t="s">
        <v>1226</v>
      </c>
      <c r="F316" s="56" t="s">
        <v>570</v>
      </c>
      <c r="G316">
        <v>0.23330000000000001</v>
      </c>
      <c r="H316" s="56" t="s">
        <v>571</v>
      </c>
      <c r="I316" s="56" t="s">
        <v>1276</v>
      </c>
      <c r="J316">
        <v>0</v>
      </c>
      <c r="K316">
        <v>0</v>
      </c>
      <c r="L316">
        <v>72</v>
      </c>
      <c r="M316">
        <v>6322</v>
      </c>
      <c r="N316" s="56" t="s">
        <v>297</v>
      </c>
      <c r="O316">
        <v>1</v>
      </c>
      <c r="P316" s="59">
        <v>1</v>
      </c>
    </row>
    <row r="317" spans="1:16" x14ac:dyDescent="0.25">
      <c r="A317">
        <v>6343</v>
      </c>
      <c r="B317">
        <v>6343</v>
      </c>
      <c r="C317" s="56" t="s">
        <v>1277</v>
      </c>
      <c r="D317" s="56" t="s">
        <v>1226</v>
      </c>
      <c r="E317" s="56" t="s">
        <v>1226</v>
      </c>
      <c r="F317" s="56" t="s">
        <v>570</v>
      </c>
      <c r="G317">
        <v>0.95</v>
      </c>
      <c r="H317" s="56" t="s">
        <v>571</v>
      </c>
      <c r="I317" s="56" t="s">
        <v>1278</v>
      </c>
      <c r="J317">
        <v>0</v>
      </c>
      <c r="K317">
        <v>0</v>
      </c>
      <c r="L317">
        <v>12</v>
      </c>
      <c r="M317">
        <v>6343</v>
      </c>
      <c r="N317" s="56" t="s">
        <v>300</v>
      </c>
      <c r="O317">
        <v>1</v>
      </c>
      <c r="P317" s="59">
        <v>3.5</v>
      </c>
    </row>
    <row r="318" spans="1:16" x14ac:dyDescent="0.25">
      <c r="A318">
        <v>6350</v>
      </c>
      <c r="B318">
        <v>6350</v>
      </c>
      <c r="C318" s="56" t="s">
        <v>1279</v>
      </c>
      <c r="D318" s="56" t="s">
        <v>1226</v>
      </c>
      <c r="E318" s="56" t="s">
        <v>1226</v>
      </c>
      <c r="F318" s="56" t="s">
        <v>570</v>
      </c>
      <c r="G318">
        <v>2.19</v>
      </c>
      <c r="H318" s="56" t="s">
        <v>571</v>
      </c>
      <c r="I318" s="56" t="s">
        <v>1280</v>
      </c>
      <c r="J318">
        <v>0</v>
      </c>
      <c r="K318">
        <v>0</v>
      </c>
      <c r="L318">
        <v>12</v>
      </c>
      <c r="M318">
        <v>6350</v>
      </c>
      <c r="N318" s="56" t="s">
        <v>302</v>
      </c>
      <c r="O318">
        <v>1</v>
      </c>
      <c r="P318" s="59">
        <v>8</v>
      </c>
    </row>
    <row r="319" spans="1:16" x14ac:dyDescent="0.25">
      <c r="A319">
        <v>6400</v>
      </c>
      <c r="B319">
        <v>6400</v>
      </c>
      <c r="C319" s="56" t="s">
        <v>1281</v>
      </c>
      <c r="D319" s="56" t="s">
        <v>1226</v>
      </c>
      <c r="E319" s="56" t="s">
        <v>1226</v>
      </c>
      <c r="F319" s="56" t="s">
        <v>570</v>
      </c>
      <c r="G319">
        <v>5.09</v>
      </c>
      <c r="H319" s="56" t="s">
        <v>571</v>
      </c>
      <c r="I319" s="56" t="s">
        <v>1282</v>
      </c>
      <c r="J319">
        <v>0</v>
      </c>
      <c r="K319">
        <v>0</v>
      </c>
      <c r="L319">
        <v>6</v>
      </c>
      <c r="M319">
        <v>6400</v>
      </c>
      <c r="N319" s="56" t="s">
        <v>1283</v>
      </c>
      <c r="O319">
        <v>1</v>
      </c>
      <c r="P319" s="59">
        <v>16.25</v>
      </c>
    </row>
    <row r="320" spans="1:16" x14ac:dyDescent="0.25">
      <c r="A320">
        <v>6401</v>
      </c>
      <c r="B320">
        <v>6401</v>
      </c>
      <c r="C320" s="56" t="s">
        <v>1284</v>
      </c>
      <c r="D320" s="56" t="s">
        <v>1226</v>
      </c>
      <c r="E320" s="56" t="s">
        <v>1226</v>
      </c>
      <c r="F320" s="56" t="s">
        <v>570</v>
      </c>
      <c r="G320">
        <v>3</v>
      </c>
      <c r="H320" s="56" t="s">
        <v>571</v>
      </c>
      <c r="I320" s="56" t="s">
        <v>1285</v>
      </c>
      <c r="J320">
        <v>0</v>
      </c>
      <c r="K320">
        <v>0</v>
      </c>
      <c r="L320">
        <v>24</v>
      </c>
      <c r="M320">
        <v>6401</v>
      </c>
      <c r="N320" s="56" t="s">
        <v>1286</v>
      </c>
      <c r="O320">
        <v>1</v>
      </c>
      <c r="P320" s="59">
        <v>9.5</v>
      </c>
    </row>
    <row r="321" spans="1:16" x14ac:dyDescent="0.25">
      <c r="A321">
        <v>6410</v>
      </c>
      <c r="B321">
        <v>6410</v>
      </c>
      <c r="C321" s="56" t="s">
        <v>1287</v>
      </c>
      <c r="D321" s="56" t="s">
        <v>1226</v>
      </c>
      <c r="E321" s="56" t="s">
        <v>1226</v>
      </c>
      <c r="F321" s="56" t="s">
        <v>570</v>
      </c>
      <c r="G321">
        <v>2.57</v>
      </c>
      <c r="H321" s="56" t="s">
        <v>571</v>
      </c>
      <c r="I321" s="56" t="s">
        <v>1288</v>
      </c>
      <c r="J321">
        <v>0</v>
      </c>
      <c r="K321">
        <v>0</v>
      </c>
      <c r="L321">
        <v>24</v>
      </c>
      <c r="M321">
        <v>6410</v>
      </c>
      <c r="N321" s="56" t="s">
        <v>1289</v>
      </c>
      <c r="O321">
        <v>1</v>
      </c>
      <c r="P321" s="59">
        <v>8.5500000000000007</v>
      </c>
    </row>
    <row r="322" spans="1:16" x14ac:dyDescent="0.25">
      <c r="A322">
        <v>6411</v>
      </c>
      <c r="B322">
        <v>6411</v>
      </c>
      <c r="C322" s="56" t="s">
        <v>1290</v>
      </c>
      <c r="D322" s="56" t="s">
        <v>1291</v>
      </c>
      <c r="E322" s="56" t="s">
        <v>1291</v>
      </c>
      <c r="F322" s="56" t="s">
        <v>570</v>
      </c>
      <c r="G322">
        <v>1.5</v>
      </c>
      <c r="H322" s="56" t="s">
        <v>571</v>
      </c>
      <c r="I322" s="56" t="s">
        <v>1292</v>
      </c>
      <c r="J322">
        <v>0</v>
      </c>
      <c r="K322">
        <v>0</v>
      </c>
      <c r="L322">
        <v>40</v>
      </c>
      <c r="M322">
        <v>6411</v>
      </c>
      <c r="N322" s="56" t="s">
        <v>1293</v>
      </c>
      <c r="O322">
        <v>1</v>
      </c>
      <c r="P322" s="59">
        <v>5.25</v>
      </c>
    </row>
    <row r="323" spans="1:16" x14ac:dyDescent="0.25">
      <c r="A323">
        <v>6420</v>
      </c>
      <c r="B323">
        <v>6420</v>
      </c>
      <c r="C323" s="56" t="s">
        <v>1294</v>
      </c>
      <c r="D323" s="56" t="s">
        <v>1226</v>
      </c>
      <c r="E323" s="56" t="s">
        <v>1226</v>
      </c>
      <c r="F323" s="56" t="s">
        <v>570</v>
      </c>
      <c r="G323">
        <v>1.06</v>
      </c>
      <c r="H323" s="56" t="s">
        <v>571</v>
      </c>
      <c r="I323" s="56" t="s">
        <v>1295</v>
      </c>
      <c r="J323">
        <v>0</v>
      </c>
      <c r="K323">
        <v>0</v>
      </c>
      <c r="L323">
        <v>64</v>
      </c>
      <c r="M323">
        <v>6420</v>
      </c>
      <c r="N323" s="56" t="s">
        <v>290</v>
      </c>
      <c r="O323">
        <v>1</v>
      </c>
      <c r="P323" s="59">
        <v>3.6</v>
      </c>
    </row>
    <row r="324" spans="1:16" x14ac:dyDescent="0.25">
      <c r="A324">
        <v>6421</v>
      </c>
      <c r="B324">
        <v>6421</v>
      </c>
      <c r="C324" s="56" t="s">
        <v>1296</v>
      </c>
      <c r="D324" s="56" t="s">
        <v>1226</v>
      </c>
      <c r="E324" s="56" t="s">
        <v>1226</v>
      </c>
      <c r="F324" s="56" t="s">
        <v>570</v>
      </c>
      <c r="G324">
        <v>1.45</v>
      </c>
      <c r="H324" s="56" t="s">
        <v>571</v>
      </c>
      <c r="I324" s="56" t="s">
        <v>1297</v>
      </c>
      <c r="J324">
        <v>0</v>
      </c>
      <c r="K324">
        <v>0</v>
      </c>
      <c r="L324">
        <v>24</v>
      </c>
      <c r="M324">
        <v>6421</v>
      </c>
      <c r="N324" s="56" t="s">
        <v>293</v>
      </c>
      <c r="O324">
        <v>1</v>
      </c>
      <c r="P324" s="59">
        <v>6.05</v>
      </c>
    </row>
    <row r="325" spans="1:16" x14ac:dyDescent="0.25">
      <c r="A325">
        <v>6440</v>
      </c>
      <c r="B325">
        <v>6440</v>
      </c>
      <c r="C325" s="56" t="s">
        <v>1298</v>
      </c>
      <c r="D325" s="56" t="s">
        <v>1226</v>
      </c>
      <c r="E325" s="56" t="s">
        <v>1226</v>
      </c>
      <c r="F325" s="56" t="s">
        <v>570</v>
      </c>
      <c r="G325">
        <v>0.16200000000000001</v>
      </c>
      <c r="H325" s="56" t="s">
        <v>571</v>
      </c>
      <c r="I325" s="56" t="s">
        <v>1299</v>
      </c>
      <c r="J325">
        <v>0</v>
      </c>
      <c r="K325">
        <v>0</v>
      </c>
      <c r="L325">
        <v>50</v>
      </c>
      <c r="M325">
        <v>6440</v>
      </c>
      <c r="N325" s="56" t="s">
        <v>305</v>
      </c>
      <c r="O325">
        <v>1</v>
      </c>
      <c r="P325" s="59">
        <v>0.55000000000000004</v>
      </c>
    </row>
    <row r="326" spans="1:16" x14ac:dyDescent="0.25">
      <c r="A326">
        <v>6441</v>
      </c>
      <c r="B326">
        <v>6441</v>
      </c>
      <c r="C326" s="56" t="s">
        <v>1300</v>
      </c>
      <c r="D326" s="56" t="s">
        <v>1226</v>
      </c>
      <c r="E326" s="56" t="s">
        <v>1226</v>
      </c>
      <c r="F326" s="56" t="s">
        <v>570</v>
      </c>
      <c r="G326">
        <v>0.19</v>
      </c>
      <c r="H326" s="56" t="s">
        <v>571</v>
      </c>
      <c r="I326" s="56" t="s">
        <v>1301</v>
      </c>
      <c r="J326">
        <v>0</v>
      </c>
      <c r="K326">
        <v>0</v>
      </c>
      <c r="L326">
        <v>300</v>
      </c>
      <c r="M326">
        <v>6441</v>
      </c>
      <c r="N326" s="56" t="s">
        <v>308</v>
      </c>
      <c r="O326">
        <v>1</v>
      </c>
      <c r="P326" s="59">
        <v>0.75</v>
      </c>
    </row>
    <row r="327" spans="1:16" x14ac:dyDescent="0.25">
      <c r="A327">
        <v>6442</v>
      </c>
      <c r="B327">
        <v>6442</v>
      </c>
      <c r="C327" s="56" t="s">
        <v>1302</v>
      </c>
      <c r="D327" s="56" t="s">
        <v>1226</v>
      </c>
      <c r="E327" s="56" t="s">
        <v>1226</v>
      </c>
      <c r="F327" s="56" t="s">
        <v>570</v>
      </c>
      <c r="G327">
        <v>0.49</v>
      </c>
      <c r="H327" s="56" t="s">
        <v>571</v>
      </c>
      <c r="I327" s="56" t="s">
        <v>1303</v>
      </c>
      <c r="J327">
        <v>0</v>
      </c>
      <c r="K327">
        <v>0</v>
      </c>
      <c r="L327">
        <v>60</v>
      </c>
      <c r="M327">
        <v>6442</v>
      </c>
      <c r="N327" s="56" t="s">
        <v>311</v>
      </c>
      <c r="O327">
        <v>1</v>
      </c>
      <c r="P327" s="59">
        <v>1.85</v>
      </c>
    </row>
    <row r="328" spans="1:16" x14ac:dyDescent="0.25">
      <c r="A328">
        <v>6443</v>
      </c>
      <c r="B328">
        <v>6443</v>
      </c>
      <c r="C328" s="56" t="s">
        <v>1304</v>
      </c>
      <c r="D328" s="56" t="s">
        <v>1226</v>
      </c>
      <c r="E328" s="56" t="s">
        <v>1226</v>
      </c>
      <c r="F328" s="56" t="s">
        <v>570</v>
      </c>
      <c r="G328">
        <v>0.49</v>
      </c>
      <c r="H328" s="56" t="s">
        <v>571</v>
      </c>
      <c r="I328" s="56" t="s">
        <v>1305</v>
      </c>
      <c r="J328">
        <v>0</v>
      </c>
      <c r="K328">
        <v>0</v>
      </c>
      <c r="L328">
        <v>60</v>
      </c>
      <c r="M328">
        <v>6443</v>
      </c>
      <c r="N328" s="56" t="s">
        <v>314</v>
      </c>
      <c r="O328">
        <v>1</v>
      </c>
      <c r="P328" s="59">
        <v>1.85</v>
      </c>
    </row>
    <row r="329" spans="1:16" x14ac:dyDescent="0.25">
      <c r="A329">
        <v>6450</v>
      </c>
      <c r="B329">
        <v>6450</v>
      </c>
      <c r="C329" s="56" t="s">
        <v>1306</v>
      </c>
      <c r="D329" s="56" t="s">
        <v>1226</v>
      </c>
      <c r="E329" s="56" t="s">
        <v>1226</v>
      </c>
      <c r="F329" s="56" t="s">
        <v>570</v>
      </c>
      <c r="G329">
        <v>1.0832999999999999</v>
      </c>
      <c r="H329" s="56" t="s">
        <v>571</v>
      </c>
      <c r="I329" s="56" t="s">
        <v>1307</v>
      </c>
      <c r="J329">
        <v>0</v>
      </c>
      <c r="K329">
        <v>0</v>
      </c>
      <c r="L329">
        <v>36</v>
      </c>
      <c r="M329">
        <v>6450</v>
      </c>
      <c r="N329" s="56" t="s">
        <v>316</v>
      </c>
      <c r="O329">
        <v>1</v>
      </c>
      <c r="P329" s="59">
        <v>3.4</v>
      </c>
    </row>
    <row r="330" spans="1:16" x14ac:dyDescent="0.25">
      <c r="A330">
        <v>6460</v>
      </c>
      <c r="B330">
        <v>6460</v>
      </c>
      <c r="C330" s="56" t="s">
        <v>1308</v>
      </c>
      <c r="D330" s="56" t="s">
        <v>1226</v>
      </c>
      <c r="E330" s="56" t="s">
        <v>1226</v>
      </c>
      <c r="F330" s="56" t="s">
        <v>570</v>
      </c>
      <c r="G330">
        <v>0.14280000000000001</v>
      </c>
      <c r="H330" s="56" t="s">
        <v>571</v>
      </c>
      <c r="I330" s="56" t="s">
        <v>1309</v>
      </c>
      <c r="J330">
        <v>0</v>
      </c>
      <c r="K330">
        <v>0</v>
      </c>
      <c r="L330">
        <v>84</v>
      </c>
      <c r="M330">
        <v>6460</v>
      </c>
      <c r="N330" s="56" t="s">
        <v>295</v>
      </c>
      <c r="O330">
        <v>7</v>
      </c>
      <c r="P330" s="59">
        <v>3.5</v>
      </c>
    </row>
    <row r="331" spans="1:16" x14ac:dyDescent="0.25">
      <c r="A331">
        <v>6461</v>
      </c>
      <c r="B331">
        <v>6460</v>
      </c>
      <c r="C331" s="56" t="s">
        <v>1310</v>
      </c>
      <c r="D331" s="56" t="s">
        <v>1226</v>
      </c>
      <c r="E331" s="56" t="s">
        <v>1226</v>
      </c>
      <c r="F331" s="56" t="s">
        <v>570</v>
      </c>
      <c r="G331">
        <v>0.1429</v>
      </c>
      <c r="H331" s="56" t="s">
        <v>571</v>
      </c>
      <c r="I331" s="56" t="s">
        <v>1311</v>
      </c>
      <c r="J331">
        <v>0</v>
      </c>
      <c r="K331">
        <v>0</v>
      </c>
      <c r="L331">
        <v>1</v>
      </c>
      <c r="M331">
        <v>6461</v>
      </c>
      <c r="N331" s="56" t="s">
        <v>298</v>
      </c>
      <c r="O331">
        <v>1</v>
      </c>
      <c r="P331" s="59">
        <v>1</v>
      </c>
    </row>
    <row r="332" spans="1:16" x14ac:dyDescent="0.25">
      <c r="A332">
        <v>6500</v>
      </c>
      <c r="B332">
        <v>6500</v>
      </c>
      <c r="C332" s="56" t="s">
        <v>1312</v>
      </c>
      <c r="D332" s="56" t="s">
        <v>1313</v>
      </c>
      <c r="E332" s="56" t="s">
        <v>1313</v>
      </c>
      <c r="F332" s="56" t="s">
        <v>570</v>
      </c>
      <c r="G332">
        <v>1.55</v>
      </c>
      <c r="H332" s="56" t="s">
        <v>571</v>
      </c>
      <c r="I332" s="56" t="s">
        <v>1314</v>
      </c>
      <c r="J332">
        <v>0</v>
      </c>
      <c r="K332">
        <v>0</v>
      </c>
      <c r="L332">
        <v>8</v>
      </c>
      <c r="M332">
        <v>6500</v>
      </c>
      <c r="N332" s="56" t="s">
        <v>306</v>
      </c>
      <c r="O332">
        <v>1</v>
      </c>
      <c r="P332" s="59">
        <v>5</v>
      </c>
    </row>
    <row r="333" spans="1:16" x14ac:dyDescent="0.25">
      <c r="A333">
        <v>6510</v>
      </c>
      <c r="B333">
        <v>6510</v>
      </c>
      <c r="C333" s="56" t="s">
        <v>1315</v>
      </c>
      <c r="D333" s="56" t="s">
        <v>1313</v>
      </c>
      <c r="E333" s="56" t="s">
        <v>1313</v>
      </c>
      <c r="F333" s="56" t="s">
        <v>570</v>
      </c>
      <c r="G333">
        <v>7.4999999999999997E-3</v>
      </c>
      <c r="H333" s="56" t="s">
        <v>571</v>
      </c>
      <c r="I333" s="56" t="s">
        <v>1316</v>
      </c>
      <c r="J333">
        <v>0</v>
      </c>
      <c r="K333">
        <v>0</v>
      </c>
      <c r="L333">
        <v>2000</v>
      </c>
      <c r="M333">
        <v>6510</v>
      </c>
      <c r="N333" s="56" t="s">
        <v>309</v>
      </c>
      <c r="O333">
        <v>1</v>
      </c>
      <c r="P333" s="59">
        <v>0.1</v>
      </c>
    </row>
    <row r="334" spans="1:16" x14ac:dyDescent="0.25">
      <c r="A334">
        <v>6520</v>
      </c>
      <c r="B334">
        <v>6520</v>
      </c>
      <c r="C334" s="56" t="s">
        <v>1317</v>
      </c>
      <c r="D334" s="56" t="s">
        <v>1318</v>
      </c>
      <c r="E334" s="56" t="s">
        <v>1318</v>
      </c>
      <c r="F334" s="56" t="s">
        <v>570</v>
      </c>
      <c r="G334">
        <v>1.32E-2</v>
      </c>
      <c r="H334" s="56" t="s">
        <v>571</v>
      </c>
      <c r="I334" s="56" t="s">
        <v>1319</v>
      </c>
      <c r="J334">
        <v>0</v>
      </c>
      <c r="K334">
        <v>0</v>
      </c>
      <c r="L334">
        <v>1200</v>
      </c>
      <c r="M334">
        <v>6520</v>
      </c>
      <c r="N334" s="56" t="s">
        <v>312</v>
      </c>
      <c r="O334">
        <v>100</v>
      </c>
      <c r="P334" s="59">
        <v>4.4000000000000004</v>
      </c>
    </row>
    <row r="335" spans="1:16" x14ac:dyDescent="0.25">
      <c r="A335">
        <v>6521</v>
      </c>
      <c r="B335">
        <v>6520</v>
      </c>
      <c r="C335" s="56" t="s">
        <v>1320</v>
      </c>
      <c r="D335" s="56" t="s">
        <v>1318</v>
      </c>
      <c r="E335" s="56" t="s">
        <v>1318</v>
      </c>
      <c r="F335" s="56" t="s">
        <v>570</v>
      </c>
      <c r="G335">
        <v>1.32E-2</v>
      </c>
      <c r="H335" s="56" t="s">
        <v>571</v>
      </c>
      <c r="I335" s="56" t="s">
        <v>1321</v>
      </c>
      <c r="J335">
        <v>0</v>
      </c>
      <c r="K335">
        <v>0</v>
      </c>
      <c r="L335">
        <v>1</v>
      </c>
      <c r="M335">
        <v>6521</v>
      </c>
      <c r="N335" s="56" t="s">
        <v>1322</v>
      </c>
      <c r="O335">
        <v>10</v>
      </c>
      <c r="P335" s="59">
        <v>0.45</v>
      </c>
    </row>
    <row r="336" spans="1:16" x14ac:dyDescent="0.25">
      <c r="A336">
        <v>6530</v>
      </c>
      <c r="B336">
        <v>6530</v>
      </c>
      <c r="C336" s="56" t="s">
        <v>1323</v>
      </c>
      <c r="D336" s="56" t="s">
        <v>1324</v>
      </c>
      <c r="E336" s="56" t="s">
        <v>1324</v>
      </c>
      <c r="F336" s="56" t="s">
        <v>570</v>
      </c>
      <c r="G336">
        <v>1.8100000000000002E-2</v>
      </c>
      <c r="H336" s="56" t="s">
        <v>571</v>
      </c>
      <c r="I336" s="56" t="s">
        <v>1325</v>
      </c>
      <c r="J336">
        <v>0</v>
      </c>
      <c r="K336">
        <v>0</v>
      </c>
      <c r="L336">
        <v>1000</v>
      </c>
      <c r="M336">
        <v>6530</v>
      </c>
      <c r="N336" s="56" t="s">
        <v>317</v>
      </c>
      <c r="O336">
        <v>1</v>
      </c>
      <c r="P336" s="59">
        <v>0.1</v>
      </c>
    </row>
    <row r="337" spans="1:16" x14ac:dyDescent="0.25">
      <c r="A337">
        <v>6531</v>
      </c>
      <c r="B337">
        <v>6531</v>
      </c>
      <c r="C337" s="56" t="s">
        <v>1326</v>
      </c>
      <c r="D337" s="56" t="s">
        <v>1324</v>
      </c>
      <c r="E337" s="56" t="s">
        <v>1324</v>
      </c>
      <c r="F337" s="56" t="s">
        <v>570</v>
      </c>
      <c r="G337">
        <v>1.65</v>
      </c>
      <c r="H337" s="56" t="s">
        <v>571</v>
      </c>
      <c r="I337" s="56" t="s">
        <v>1327</v>
      </c>
      <c r="J337">
        <v>0</v>
      </c>
      <c r="K337">
        <v>0</v>
      </c>
      <c r="L337">
        <v>8</v>
      </c>
      <c r="M337">
        <v>6531</v>
      </c>
      <c r="N337" s="56" t="s">
        <v>318</v>
      </c>
      <c r="O337">
        <v>1</v>
      </c>
      <c r="P337" s="59">
        <v>5</v>
      </c>
    </row>
    <row r="338" spans="1:16" x14ac:dyDescent="0.25">
      <c r="A338">
        <v>6600</v>
      </c>
      <c r="B338">
        <v>6600</v>
      </c>
      <c r="C338" s="56" t="s">
        <v>1328</v>
      </c>
      <c r="D338" s="56" t="s">
        <v>1329</v>
      </c>
      <c r="E338" s="56" t="s">
        <v>1329</v>
      </c>
      <c r="F338" s="56" t="s">
        <v>570</v>
      </c>
      <c r="G338">
        <v>2.1700000000000001E-2</v>
      </c>
      <c r="H338" s="56" t="s">
        <v>571</v>
      </c>
      <c r="I338" s="56" t="s">
        <v>1330</v>
      </c>
      <c r="J338">
        <v>0</v>
      </c>
      <c r="K338">
        <v>0</v>
      </c>
      <c r="L338">
        <v>1000</v>
      </c>
      <c r="M338">
        <v>6600</v>
      </c>
      <c r="N338" s="56" t="s">
        <v>323</v>
      </c>
      <c r="O338">
        <v>1</v>
      </c>
      <c r="P338" s="59">
        <v>0.1</v>
      </c>
    </row>
    <row r="339" spans="1:16" x14ac:dyDescent="0.25">
      <c r="A339">
        <v>6601</v>
      </c>
      <c r="B339">
        <v>6601</v>
      </c>
      <c r="C339" s="56" t="s">
        <v>1331</v>
      </c>
      <c r="D339" s="56" t="s">
        <v>1329</v>
      </c>
      <c r="E339" s="56" t="s">
        <v>1329</v>
      </c>
      <c r="F339" s="56" t="s">
        <v>570</v>
      </c>
      <c r="G339">
        <v>4.1799999999999997E-2</v>
      </c>
      <c r="H339" s="56" t="s">
        <v>571</v>
      </c>
      <c r="I339" s="56" t="s">
        <v>1332</v>
      </c>
      <c r="J339">
        <v>0</v>
      </c>
      <c r="K339">
        <v>0</v>
      </c>
      <c r="L339">
        <v>200</v>
      </c>
      <c r="M339">
        <v>6601</v>
      </c>
      <c r="N339" s="56" t="s">
        <v>326</v>
      </c>
      <c r="O339">
        <v>1</v>
      </c>
      <c r="P339" s="59">
        <v>0.15</v>
      </c>
    </row>
    <row r="340" spans="1:16" x14ac:dyDescent="0.25">
      <c r="A340">
        <v>6602</v>
      </c>
      <c r="B340">
        <v>6602</v>
      </c>
      <c r="C340" s="56" t="s">
        <v>1333</v>
      </c>
      <c r="D340" s="56" t="s">
        <v>1329</v>
      </c>
      <c r="E340" s="56" t="s">
        <v>1329</v>
      </c>
      <c r="F340" s="56" t="s">
        <v>570</v>
      </c>
      <c r="G340">
        <v>5.7000000000000002E-2</v>
      </c>
      <c r="H340" s="56" t="s">
        <v>571</v>
      </c>
      <c r="I340" s="56" t="s">
        <v>1334</v>
      </c>
      <c r="J340">
        <v>0</v>
      </c>
      <c r="K340">
        <v>0</v>
      </c>
      <c r="L340">
        <v>500</v>
      </c>
      <c r="M340">
        <v>6602</v>
      </c>
      <c r="N340" s="56" t="s">
        <v>329</v>
      </c>
      <c r="O340">
        <v>1</v>
      </c>
      <c r="P340" s="59">
        <v>0.2</v>
      </c>
    </row>
    <row r="341" spans="1:16" x14ac:dyDescent="0.25">
      <c r="A341">
        <v>6603</v>
      </c>
      <c r="B341">
        <v>6603</v>
      </c>
      <c r="C341" s="56" t="s">
        <v>1335</v>
      </c>
      <c r="D341" s="56" t="s">
        <v>1329</v>
      </c>
      <c r="E341" s="56" t="s">
        <v>1329</v>
      </c>
      <c r="F341" s="56" t="s">
        <v>570</v>
      </c>
      <c r="G341">
        <v>1.9699999999999999E-2</v>
      </c>
      <c r="H341" s="56" t="s">
        <v>571</v>
      </c>
      <c r="I341" s="56" t="s">
        <v>1336</v>
      </c>
      <c r="J341">
        <v>0</v>
      </c>
      <c r="K341">
        <v>0</v>
      </c>
      <c r="L341">
        <v>500</v>
      </c>
      <c r="M341">
        <v>6603</v>
      </c>
      <c r="N341" s="56" t="s">
        <v>332</v>
      </c>
      <c r="O341">
        <v>1</v>
      </c>
      <c r="P341" s="59">
        <v>0.1</v>
      </c>
    </row>
    <row r="342" spans="1:16" x14ac:dyDescent="0.25">
      <c r="A342">
        <v>6610</v>
      </c>
      <c r="B342">
        <v>6610</v>
      </c>
      <c r="C342" s="56" t="s">
        <v>1337</v>
      </c>
      <c r="D342" s="56" t="s">
        <v>1329</v>
      </c>
      <c r="E342" s="56" t="s">
        <v>1329</v>
      </c>
      <c r="F342" s="56" t="s">
        <v>570</v>
      </c>
      <c r="G342">
        <v>5.7700000000000001E-2</v>
      </c>
      <c r="H342" s="56" t="s">
        <v>1227</v>
      </c>
      <c r="I342" s="56" t="s">
        <v>1338</v>
      </c>
      <c r="J342">
        <v>0</v>
      </c>
      <c r="K342">
        <v>0</v>
      </c>
      <c r="L342">
        <v>200</v>
      </c>
      <c r="M342">
        <v>6610</v>
      </c>
      <c r="N342" s="56" t="s">
        <v>335</v>
      </c>
      <c r="O342">
        <v>1</v>
      </c>
      <c r="P342" s="59">
        <v>0.2</v>
      </c>
    </row>
    <row r="343" spans="1:16" x14ac:dyDescent="0.25">
      <c r="A343">
        <v>6611</v>
      </c>
      <c r="B343">
        <v>6611</v>
      </c>
      <c r="C343" s="56" t="s">
        <v>1339</v>
      </c>
      <c r="D343" s="56" t="s">
        <v>1329</v>
      </c>
      <c r="E343" s="56" t="s">
        <v>1329</v>
      </c>
      <c r="F343" s="56" t="s">
        <v>570</v>
      </c>
      <c r="G343">
        <v>7.0000000000000007E-2</v>
      </c>
      <c r="H343" s="56" t="s">
        <v>571</v>
      </c>
      <c r="I343" s="56" t="s">
        <v>1340</v>
      </c>
      <c r="J343">
        <v>0</v>
      </c>
      <c r="K343">
        <v>0</v>
      </c>
      <c r="L343">
        <v>300</v>
      </c>
      <c r="M343">
        <v>6611</v>
      </c>
      <c r="N343" s="56" t="s">
        <v>1341</v>
      </c>
      <c r="O343">
        <v>1</v>
      </c>
      <c r="P343" s="59">
        <v>0.3</v>
      </c>
    </row>
    <row r="344" spans="1:16" x14ac:dyDescent="0.25">
      <c r="A344">
        <v>6612</v>
      </c>
      <c r="B344">
        <v>6612</v>
      </c>
      <c r="C344" s="56" t="s">
        <v>1342</v>
      </c>
      <c r="D344" s="56" t="s">
        <v>1329</v>
      </c>
      <c r="E344" s="56" t="s">
        <v>1329</v>
      </c>
      <c r="F344" s="56" t="s">
        <v>570</v>
      </c>
      <c r="G344">
        <v>0.32</v>
      </c>
      <c r="H344" s="56" t="s">
        <v>571</v>
      </c>
      <c r="I344" s="56" t="s">
        <v>1343</v>
      </c>
      <c r="J344">
        <v>0</v>
      </c>
      <c r="K344">
        <v>0</v>
      </c>
      <c r="L344">
        <v>200</v>
      </c>
      <c r="M344">
        <v>6612</v>
      </c>
      <c r="N344" s="56" t="s">
        <v>339</v>
      </c>
      <c r="O344">
        <v>1</v>
      </c>
      <c r="P344" s="59">
        <v>1.05</v>
      </c>
    </row>
    <row r="345" spans="1:16" x14ac:dyDescent="0.25">
      <c r="A345">
        <v>6613</v>
      </c>
      <c r="B345">
        <v>6613</v>
      </c>
      <c r="C345" s="56" t="s">
        <v>1344</v>
      </c>
      <c r="D345" s="56" t="s">
        <v>1329</v>
      </c>
      <c r="E345" s="56" t="s">
        <v>1329</v>
      </c>
      <c r="F345" s="56" t="s">
        <v>570</v>
      </c>
      <c r="G345">
        <v>0.27500000000000002</v>
      </c>
      <c r="H345" s="56" t="s">
        <v>571</v>
      </c>
      <c r="I345" s="56" t="s">
        <v>1345</v>
      </c>
      <c r="J345">
        <v>0</v>
      </c>
      <c r="K345">
        <v>0</v>
      </c>
      <c r="L345">
        <v>300</v>
      </c>
      <c r="M345">
        <v>6613</v>
      </c>
      <c r="N345" s="56" t="s">
        <v>381</v>
      </c>
      <c r="O345">
        <v>1</v>
      </c>
      <c r="P345" s="59">
        <v>0.95</v>
      </c>
    </row>
    <row r="346" spans="1:16" x14ac:dyDescent="0.25">
      <c r="A346">
        <v>6630</v>
      </c>
      <c r="B346">
        <v>6630</v>
      </c>
      <c r="C346" s="56" t="s">
        <v>1346</v>
      </c>
      <c r="D346" s="56" t="s">
        <v>1329</v>
      </c>
      <c r="E346" s="56" t="s">
        <v>1329</v>
      </c>
      <c r="F346" s="56" t="s">
        <v>570</v>
      </c>
      <c r="G346">
        <v>0.13500000000000001</v>
      </c>
      <c r="H346" s="56" t="s">
        <v>571</v>
      </c>
      <c r="I346" s="56" t="s">
        <v>1347</v>
      </c>
      <c r="J346">
        <v>0</v>
      </c>
      <c r="K346">
        <v>0</v>
      </c>
      <c r="L346">
        <v>200</v>
      </c>
      <c r="M346">
        <v>6630</v>
      </c>
      <c r="N346" s="56" t="s">
        <v>389</v>
      </c>
      <c r="O346">
        <v>1</v>
      </c>
      <c r="P346" s="59">
        <v>0.55000000000000004</v>
      </c>
    </row>
    <row r="347" spans="1:16" x14ac:dyDescent="0.25">
      <c r="A347">
        <v>6631</v>
      </c>
      <c r="B347">
        <v>6631</v>
      </c>
      <c r="C347" s="56" t="s">
        <v>1348</v>
      </c>
      <c r="D347" s="56" t="s">
        <v>1329</v>
      </c>
      <c r="E347" s="56" t="s">
        <v>1329</v>
      </c>
      <c r="F347" s="56" t="s">
        <v>570</v>
      </c>
      <c r="G347">
        <v>0.12740000000000001</v>
      </c>
      <c r="H347" s="56" t="s">
        <v>571</v>
      </c>
      <c r="I347" s="56" t="s">
        <v>1349</v>
      </c>
      <c r="J347">
        <v>0</v>
      </c>
      <c r="K347">
        <v>0</v>
      </c>
      <c r="L347">
        <v>200</v>
      </c>
      <c r="M347">
        <v>6631</v>
      </c>
      <c r="N347" s="56" t="s">
        <v>392</v>
      </c>
      <c r="O347">
        <v>1</v>
      </c>
      <c r="P347" s="59">
        <v>0.5</v>
      </c>
    </row>
    <row r="348" spans="1:16" x14ac:dyDescent="0.25">
      <c r="A348">
        <v>6650</v>
      </c>
      <c r="B348">
        <v>6650</v>
      </c>
      <c r="C348" s="56" t="s">
        <v>1350</v>
      </c>
      <c r="D348" s="56" t="s">
        <v>1329</v>
      </c>
      <c r="E348" s="56" t="s">
        <v>1329</v>
      </c>
      <c r="F348" s="56" t="s">
        <v>570</v>
      </c>
      <c r="G348">
        <v>1.55</v>
      </c>
      <c r="H348" s="56" t="s">
        <v>571</v>
      </c>
      <c r="I348" s="56" t="s">
        <v>1351</v>
      </c>
      <c r="J348">
        <v>0</v>
      </c>
      <c r="K348">
        <v>0</v>
      </c>
      <c r="L348">
        <v>12</v>
      </c>
      <c r="M348">
        <v>6650</v>
      </c>
      <c r="N348" s="56" t="s">
        <v>1352</v>
      </c>
      <c r="O348">
        <v>1</v>
      </c>
      <c r="P348" s="59">
        <v>6</v>
      </c>
    </row>
    <row r="349" spans="1:16" x14ac:dyDescent="0.25">
      <c r="A349">
        <v>6651</v>
      </c>
      <c r="B349">
        <v>6651</v>
      </c>
      <c r="C349" s="56" t="s">
        <v>1353</v>
      </c>
      <c r="D349" s="56" t="s">
        <v>1329</v>
      </c>
      <c r="E349" s="56" t="s">
        <v>1329</v>
      </c>
      <c r="F349" s="56" t="s">
        <v>570</v>
      </c>
      <c r="G349">
        <v>2.5</v>
      </c>
      <c r="H349" s="56" t="s">
        <v>571</v>
      </c>
      <c r="I349" s="56" t="s">
        <v>1354</v>
      </c>
      <c r="J349">
        <v>0</v>
      </c>
      <c r="K349">
        <v>0</v>
      </c>
      <c r="L349">
        <v>12</v>
      </c>
      <c r="M349">
        <v>6651</v>
      </c>
      <c r="N349" s="56" t="s">
        <v>1355</v>
      </c>
      <c r="O349">
        <v>1</v>
      </c>
      <c r="P349" s="59">
        <v>8.75</v>
      </c>
    </row>
    <row r="350" spans="1:16" x14ac:dyDescent="0.25">
      <c r="A350">
        <v>6660</v>
      </c>
      <c r="B350">
        <v>6660</v>
      </c>
      <c r="C350" s="56" t="s">
        <v>1356</v>
      </c>
      <c r="D350" s="56" t="s">
        <v>1329</v>
      </c>
      <c r="E350" s="56" t="s">
        <v>1329</v>
      </c>
      <c r="F350" s="56" t="s">
        <v>570</v>
      </c>
      <c r="G350">
        <v>1.68</v>
      </c>
      <c r="H350" s="56" t="s">
        <v>571</v>
      </c>
      <c r="I350" s="56" t="s">
        <v>1357</v>
      </c>
      <c r="J350">
        <v>0</v>
      </c>
      <c r="K350">
        <v>0</v>
      </c>
      <c r="L350">
        <v>12</v>
      </c>
      <c r="M350">
        <v>6660</v>
      </c>
      <c r="N350" s="56" t="s">
        <v>1358</v>
      </c>
      <c r="O350">
        <v>1</v>
      </c>
      <c r="P350" s="59">
        <v>6</v>
      </c>
    </row>
    <row r="351" spans="1:16" x14ac:dyDescent="0.25">
      <c r="A351">
        <v>6661</v>
      </c>
      <c r="B351">
        <v>6661</v>
      </c>
      <c r="C351" s="56" t="s">
        <v>1359</v>
      </c>
      <c r="D351" s="56" t="s">
        <v>1329</v>
      </c>
      <c r="E351" s="56" t="s">
        <v>1329</v>
      </c>
      <c r="F351" s="56" t="s">
        <v>570</v>
      </c>
      <c r="G351">
        <v>1.68</v>
      </c>
      <c r="H351" s="56" t="s">
        <v>571</v>
      </c>
      <c r="I351" s="56" t="s">
        <v>1360</v>
      </c>
      <c r="J351">
        <v>0</v>
      </c>
      <c r="K351">
        <v>0</v>
      </c>
      <c r="L351">
        <v>12</v>
      </c>
      <c r="M351">
        <v>6661</v>
      </c>
      <c r="N351" s="56" t="s">
        <v>1361</v>
      </c>
      <c r="O351">
        <v>1</v>
      </c>
      <c r="P351" s="59">
        <v>6</v>
      </c>
    </row>
    <row r="352" spans="1:16" x14ac:dyDescent="0.25">
      <c r="A352">
        <v>6700</v>
      </c>
      <c r="B352">
        <v>6700</v>
      </c>
      <c r="C352" s="56" t="s">
        <v>1362</v>
      </c>
      <c r="D352" s="56" t="s">
        <v>1329</v>
      </c>
      <c r="E352" s="56" t="s">
        <v>1329</v>
      </c>
      <c r="F352" s="56" t="s">
        <v>570</v>
      </c>
      <c r="G352">
        <v>0.52100000000000002</v>
      </c>
      <c r="H352" s="56" t="s">
        <v>1227</v>
      </c>
      <c r="I352" s="56" t="s">
        <v>1363</v>
      </c>
      <c r="J352">
        <v>0</v>
      </c>
      <c r="K352">
        <v>0</v>
      </c>
      <c r="L352">
        <v>30</v>
      </c>
      <c r="M352">
        <v>6700</v>
      </c>
      <c r="N352" s="56" t="s">
        <v>346</v>
      </c>
      <c r="O352">
        <v>1</v>
      </c>
      <c r="P352" s="59">
        <v>1.65</v>
      </c>
    </row>
    <row r="353" spans="1:16" x14ac:dyDescent="0.25">
      <c r="A353">
        <v>6701</v>
      </c>
      <c r="B353">
        <v>6701</v>
      </c>
      <c r="C353" s="56" t="s">
        <v>1364</v>
      </c>
      <c r="D353" s="56" t="s">
        <v>1329</v>
      </c>
      <c r="E353" s="56" t="s">
        <v>1329</v>
      </c>
      <c r="F353" s="56" t="s">
        <v>570</v>
      </c>
      <c r="G353">
        <v>0.6966</v>
      </c>
      <c r="H353" s="56" t="s">
        <v>1227</v>
      </c>
      <c r="I353" s="56" t="s">
        <v>1365</v>
      </c>
      <c r="J353">
        <v>0</v>
      </c>
      <c r="K353">
        <v>0</v>
      </c>
      <c r="L353">
        <v>48</v>
      </c>
      <c r="M353">
        <v>6701</v>
      </c>
      <c r="N353" s="56" t="s">
        <v>349</v>
      </c>
      <c r="O353">
        <v>1</v>
      </c>
      <c r="P353" s="59">
        <v>1.9</v>
      </c>
    </row>
    <row r="354" spans="1:16" x14ac:dyDescent="0.25">
      <c r="A354">
        <v>6720</v>
      </c>
      <c r="B354">
        <v>6720</v>
      </c>
      <c r="C354" s="56" t="s">
        <v>1366</v>
      </c>
      <c r="D354" s="56" t="s">
        <v>1329</v>
      </c>
      <c r="E354" s="56" t="s">
        <v>1329</v>
      </c>
      <c r="F354" s="56" t="s">
        <v>570</v>
      </c>
      <c r="G354">
        <v>0.49459999999999998</v>
      </c>
      <c r="H354" s="56" t="s">
        <v>1227</v>
      </c>
      <c r="I354" s="56" t="s">
        <v>1367</v>
      </c>
      <c r="J354">
        <v>0</v>
      </c>
      <c r="K354">
        <v>0</v>
      </c>
      <c r="L354">
        <v>60</v>
      </c>
      <c r="M354">
        <v>6720</v>
      </c>
      <c r="N354" s="56" t="s">
        <v>355</v>
      </c>
      <c r="O354">
        <v>1</v>
      </c>
      <c r="P354" s="59">
        <v>1.65</v>
      </c>
    </row>
    <row r="355" spans="1:16" x14ac:dyDescent="0.25">
      <c r="A355">
        <v>6722</v>
      </c>
      <c r="B355">
        <v>6722</v>
      </c>
      <c r="C355" s="56" t="s">
        <v>1368</v>
      </c>
      <c r="D355" s="56" t="s">
        <v>1329</v>
      </c>
      <c r="E355" s="56" t="s">
        <v>1329</v>
      </c>
      <c r="F355" s="56" t="s">
        <v>570</v>
      </c>
      <c r="G355">
        <v>1.23</v>
      </c>
      <c r="H355" s="56" t="s">
        <v>571</v>
      </c>
      <c r="I355" s="56" t="s">
        <v>1369</v>
      </c>
      <c r="J355">
        <v>0</v>
      </c>
      <c r="K355">
        <v>0</v>
      </c>
      <c r="L355">
        <v>12</v>
      </c>
      <c r="M355">
        <v>6722</v>
      </c>
      <c r="N355" s="56" t="s">
        <v>1370</v>
      </c>
      <c r="O355">
        <v>1</v>
      </c>
      <c r="P355" s="59">
        <v>4.3</v>
      </c>
    </row>
    <row r="356" spans="1:16" x14ac:dyDescent="0.25">
      <c r="A356">
        <v>6740</v>
      </c>
      <c r="B356">
        <v>6740</v>
      </c>
      <c r="C356" s="56" t="s">
        <v>1371</v>
      </c>
      <c r="D356" s="56" t="s">
        <v>1372</v>
      </c>
      <c r="E356" s="56" t="s">
        <v>1372</v>
      </c>
      <c r="F356" s="56" t="s">
        <v>570</v>
      </c>
      <c r="G356">
        <v>1.8</v>
      </c>
      <c r="H356" s="56" t="s">
        <v>571</v>
      </c>
      <c r="I356" s="56" t="s">
        <v>1373</v>
      </c>
      <c r="J356">
        <v>0</v>
      </c>
      <c r="K356">
        <v>0</v>
      </c>
      <c r="L356">
        <v>12</v>
      </c>
      <c r="M356">
        <v>6740</v>
      </c>
      <c r="N356" s="56" t="s">
        <v>1374</v>
      </c>
      <c r="O356">
        <v>1</v>
      </c>
      <c r="P356" s="59">
        <v>6.3</v>
      </c>
    </row>
    <row r="357" spans="1:16" x14ac:dyDescent="0.25">
      <c r="A357">
        <v>6741</v>
      </c>
      <c r="B357">
        <v>6741</v>
      </c>
      <c r="C357" s="56" t="s">
        <v>1375</v>
      </c>
      <c r="D357" s="56" t="s">
        <v>1372</v>
      </c>
      <c r="E357" s="56" t="s">
        <v>1372</v>
      </c>
      <c r="F357" s="56" t="s">
        <v>570</v>
      </c>
      <c r="G357">
        <v>0.28449999999999998</v>
      </c>
      <c r="H357" s="56" t="s">
        <v>571</v>
      </c>
      <c r="I357" s="56" t="s">
        <v>1376</v>
      </c>
      <c r="J357">
        <v>0</v>
      </c>
      <c r="K357">
        <v>0</v>
      </c>
      <c r="L357">
        <v>48</v>
      </c>
      <c r="M357">
        <v>6741</v>
      </c>
      <c r="N357" s="56" t="s">
        <v>406</v>
      </c>
      <c r="O357">
        <v>1</v>
      </c>
      <c r="P357" s="59">
        <v>1.05</v>
      </c>
    </row>
    <row r="358" spans="1:16" x14ac:dyDescent="0.25">
      <c r="A358">
        <v>6742</v>
      </c>
      <c r="B358">
        <v>6742</v>
      </c>
      <c r="C358" s="56" t="s">
        <v>1377</v>
      </c>
      <c r="D358" s="56" t="s">
        <v>1372</v>
      </c>
      <c r="E358" s="56" t="s">
        <v>1372</v>
      </c>
      <c r="F358" s="56" t="s">
        <v>570</v>
      </c>
      <c r="G358">
        <v>1.8</v>
      </c>
      <c r="H358" s="56" t="s">
        <v>571</v>
      </c>
      <c r="I358" s="56" t="s">
        <v>1378</v>
      </c>
      <c r="J358">
        <v>0</v>
      </c>
      <c r="K358">
        <v>0</v>
      </c>
      <c r="L358">
        <v>12</v>
      </c>
      <c r="M358">
        <v>6742</v>
      </c>
      <c r="N358" s="56" t="s">
        <v>1379</v>
      </c>
      <c r="O358">
        <v>1</v>
      </c>
      <c r="P358" s="59">
        <v>6.3</v>
      </c>
    </row>
    <row r="359" spans="1:16" x14ac:dyDescent="0.25">
      <c r="A359">
        <v>6800</v>
      </c>
      <c r="B359">
        <v>6800</v>
      </c>
      <c r="C359" s="56" t="s">
        <v>1380</v>
      </c>
      <c r="D359" s="56" t="s">
        <v>1329</v>
      </c>
      <c r="E359" s="56" t="s">
        <v>1329</v>
      </c>
      <c r="F359" s="56" t="s">
        <v>570</v>
      </c>
      <c r="G359">
        <v>1.72E-2</v>
      </c>
      <c r="H359" s="56" t="s">
        <v>571</v>
      </c>
      <c r="I359" s="56" t="s">
        <v>1381</v>
      </c>
      <c r="J359">
        <v>0</v>
      </c>
      <c r="K359">
        <v>0</v>
      </c>
      <c r="L359">
        <v>1000</v>
      </c>
      <c r="M359">
        <v>6800</v>
      </c>
      <c r="N359" s="56" t="s">
        <v>361</v>
      </c>
      <c r="O359">
        <v>20</v>
      </c>
      <c r="P359" s="59">
        <v>0.95</v>
      </c>
    </row>
    <row r="360" spans="1:16" x14ac:dyDescent="0.25">
      <c r="A360">
        <v>6801</v>
      </c>
      <c r="B360">
        <v>6801</v>
      </c>
      <c r="C360" s="56" t="s">
        <v>1382</v>
      </c>
      <c r="D360" s="56" t="s">
        <v>1329</v>
      </c>
      <c r="E360" s="56" t="s">
        <v>1329</v>
      </c>
      <c r="F360" s="56" t="s">
        <v>570</v>
      </c>
      <c r="G360">
        <v>2.5999999999999999E-3</v>
      </c>
      <c r="H360" s="56" t="s">
        <v>571</v>
      </c>
      <c r="I360" s="56" t="s">
        <v>1383</v>
      </c>
      <c r="J360">
        <v>0</v>
      </c>
      <c r="K360">
        <v>0</v>
      </c>
      <c r="L360">
        <v>3000</v>
      </c>
      <c r="M360">
        <v>6801</v>
      </c>
      <c r="N360" s="56" t="s">
        <v>363</v>
      </c>
      <c r="O360">
        <v>10</v>
      </c>
      <c r="P360" s="59">
        <v>0.25</v>
      </c>
    </row>
    <row r="361" spans="1:16" x14ac:dyDescent="0.25">
      <c r="A361">
        <v>6802</v>
      </c>
      <c r="B361">
        <v>6802</v>
      </c>
      <c r="C361" s="56" t="s">
        <v>1384</v>
      </c>
      <c r="D361" s="56" t="s">
        <v>1329</v>
      </c>
      <c r="E361" s="56" t="s">
        <v>1329</v>
      </c>
      <c r="F361" s="56" t="s">
        <v>570</v>
      </c>
      <c r="G361">
        <v>4.4999999999999997E-3</v>
      </c>
      <c r="H361" s="56" t="s">
        <v>571</v>
      </c>
      <c r="I361" s="56" t="s">
        <v>1385</v>
      </c>
      <c r="J361">
        <v>0</v>
      </c>
      <c r="K361">
        <v>0</v>
      </c>
      <c r="L361">
        <v>3000</v>
      </c>
      <c r="M361">
        <v>6802</v>
      </c>
      <c r="N361" s="56" t="s">
        <v>365</v>
      </c>
      <c r="O361">
        <v>10</v>
      </c>
      <c r="P361" s="59">
        <v>0.25</v>
      </c>
    </row>
    <row r="362" spans="1:16" x14ac:dyDescent="0.25">
      <c r="A362">
        <v>6810</v>
      </c>
      <c r="B362">
        <v>6810</v>
      </c>
      <c r="C362" s="56" t="s">
        <v>1386</v>
      </c>
      <c r="D362" s="56" t="s">
        <v>1329</v>
      </c>
      <c r="E362" s="56" t="s">
        <v>1329</v>
      </c>
      <c r="F362" s="56" t="s">
        <v>570</v>
      </c>
      <c r="G362">
        <v>0.89</v>
      </c>
      <c r="H362" s="56" t="s">
        <v>571</v>
      </c>
      <c r="I362" s="56" t="s">
        <v>1387</v>
      </c>
      <c r="J362">
        <v>0</v>
      </c>
      <c r="K362">
        <v>0</v>
      </c>
      <c r="L362">
        <v>12</v>
      </c>
      <c r="M362">
        <v>6810</v>
      </c>
      <c r="N362" s="56" t="s">
        <v>367</v>
      </c>
      <c r="O362">
        <v>1</v>
      </c>
      <c r="P362" s="59">
        <v>2.75</v>
      </c>
    </row>
    <row r="363" spans="1:16" x14ac:dyDescent="0.25">
      <c r="A363">
        <v>6811</v>
      </c>
      <c r="B363">
        <v>6811</v>
      </c>
      <c r="C363" s="56" t="s">
        <v>1388</v>
      </c>
      <c r="D363" s="56" t="s">
        <v>1329</v>
      </c>
      <c r="E363" s="56" t="s">
        <v>1329</v>
      </c>
      <c r="F363" s="56" t="s">
        <v>570</v>
      </c>
      <c r="G363">
        <v>0.56999999999999995</v>
      </c>
      <c r="H363" s="56" t="s">
        <v>571</v>
      </c>
      <c r="I363" s="56" t="s">
        <v>1389</v>
      </c>
      <c r="J363">
        <v>0</v>
      </c>
      <c r="K363">
        <v>0</v>
      </c>
      <c r="L363">
        <v>12</v>
      </c>
      <c r="M363">
        <v>6811</v>
      </c>
      <c r="N363" s="56" t="s">
        <v>369</v>
      </c>
      <c r="O363">
        <v>1</v>
      </c>
      <c r="P363" s="59">
        <v>1.8</v>
      </c>
    </row>
    <row r="364" spans="1:16" x14ac:dyDescent="0.25">
      <c r="A364">
        <v>6812</v>
      </c>
      <c r="B364">
        <v>6812</v>
      </c>
      <c r="C364" s="56" t="s">
        <v>1390</v>
      </c>
      <c r="D364" s="56" t="s">
        <v>1329</v>
      </c>
      <c r="E364" s="56" t="s">
        <v>1329</v>
      </c>
      <c r="F364" s="56" t="s">
        <v>570</v>
      </c>
      <c r="G364">
        <v>0.59409999999999996</v>
      </c>
      <c r="H364" s="56" t="s">
        <v>571</v>
      </c>
      <c r="I364" s="56" t="s">
        <v>1391</v>
      </c>
      <c r="J364">
        <v>0</v>
      </c>
      <c r="K364">
        <v>0</v>
      </c>
      <c r="L364">
        <v>12</v>
      </c>
      <c r="M364">
        <v>6812</v>
      </c>
      <c r="N364" s="56" t="s">
        <v>372</v>
      </c>
      <c r="O364">
        <v>1</v>
      </c>
      <c r="P364" s="59">
        <v>1.8</v>
      </c>
    </row>
    <row r="365" spans="1:16" x14ac:dyDescent="0.25">
      <c r="A365">
        <v>6820</v>
      </c>
      <c r="B365">
        <v>6820</v>
      </c>
      <c r="C365" s="56" t="s">
        <v>1392</v>
      </c>
      <c r="D365" s="56" t="s">
        <v>1329</v>
      </c>
      <c r="E365" s="56" t="s">
        <v>1329</v>
      </c>
      <c r="F365" s="56" t="s">
        <v>570</v>
      </c>
      <c r="G365">
        <v>0.78</v>
      </c>
      <c r="H365" s="56" t="s">
        <v>571</v>
      </c>
      <c r="I365" s="56" t="s">
        <v>1393</v>
      </c>
      <c r="J365">
        <v>0</v>
      </c>
      <c r="K365">
        <v>0</v>
      </c>
      <c r="L365">
        <v>24</v>
      </c>
      <c r="M365">
        <v>6820</v>
      </c>
      <c r="N365" s="56" t="s">
        <v>375</v>
      </c>
      <c r="O365">
        <v>1</v>
      </c>
      <c r="P365" s="59">
        <v>3</v>
      </c>
    </row>
    <row r="366" spans="1:16" x14ac:dyDescent="0.25">
      <c r="A366">
        <v>7000</v>
      </c>
      <c r="B366">
        <v>7000</v>
      </c>
      <c r="C366" s="56" t="s">
        <v>1394</v>
      </c>
      <c r="D366" s="56" t="s">
        <v>1372</v>
      </c>
      <c r="E366" s="56" t="s">
        <v>1372</v>
      </c>
      <c r="F366" s="56" t="s">
        <v>570</v>
      </c>
      <c r="G366">
        <v>1.28</v>
      </c>
      <c r="H366" s="56" t="s">
        <v>571</v>
      </c>
      <c r="I366" s="56" t="s">
        <v>1395</v>
      </c>
      <c r="J366">
        <v>0</v>
      </c>
      <c r="K366">
        <v>0</v>
      </c>
      <c r="L366">
        <v>24</v>
      </c>
      <c r="M366">
        <v>7000</v>
      </c>
      <c r="N366" s="56" t="s">
        <v>324</v>
      </c>
      <c r="O366">
        <v>1</v>
      </c>
      <c r="P366" s="59">
        <v>4.2</v>
      </c>
    </row>
    <row r="367" spans="1:16" x14ac:dyDescent="0.25">
      <c r="A367">
        <v>7002</v>
      </c>
      <c r="B367">
        <v>7002</v>
      </c>
      <c r="C367" s="56" t="s">
        <v>1396</v>
      </c>
      <c r="D367" s="56" t="s">
        <v>1372</v>
      </c>
      <c r="E367" s="56" t="s">
        <v>1372</v>
      </c>
      <c r="F367" s="56" t="s">
        <v>570</v>
      </c>
      <c r="G367">
        <v>1.3919999999999999</v>
      </c>
      <c r="H367" s="56" t="s">
        <v>571</v>
      </c>
      <c r="I367" s="56" t="s">
        <v>1397</v>
      </c>
      <c r="J367">
        <v>0</v>
      </c>
      <c r="K367">
        <v>0</v>
      </c>
      <c r="L367">
        <v>24</v>
      </c>
      <c r="M367">
        <v>7002</v>
      </c>
      <c r="N367" s="56" t="s">
        <v>327</v>
      </c>
      <c r="O367">
        <v>1</v>
      </c>
      <c r="P367" s="59">
        <v>4.2</v>
      </c>
    </row>
    <row r="368" spans="1:16" x14ac:dyDescent="0.25">
      <c r="A368">
        <v>7003</v>
      </c>
      <c r="B368">
        <v>7003</v>
      </c>
      <c r="C368" s="56" t="s">
        <v>1398</v>
      </c>
      <c r="D368" s="56" t="s">
        <v>1372</v>
      </c>
      <c r="E368" s="56" t="s">
        <v>1372</v>
      </c>
      <c r="F368" s="56" t="s">
        <v>570</v>
      </c>
      <c r="G368">
        <v>1.4216</v>
      </c>
      <c r="H368" s="56" t="s">
        <v>571</v>
      </c>
      <c r="I368" s="56" t="s">
        <v>1399</v>
      </c>
      <c r="J368">
        <v>0</v>
      </c>
      <c r="K368">
        <v>0</v>
      </c>
      <c r="L368">
        <v>24</v>
      </c>
      <c r="M368">
        <v>7003</v>
      </c>
      <c r="N368" s="56" t="s">
        <v>330</v>
      </c>
      <c r="O368">
        <v>1</v>
      </c>
      <c r="P368" s="59">
        <v>4.2</v>
      </c>
    </row>
    <row r="369" spans="1:16" x14ac:dyDescent="0.25">
      <c r="A369">
        <v>7004</v>
      </c>
      <c r="B369">
        <v>7004</v>
      </c>
      <c r="C369" s="56" t="s">
        <v>1400</v>
      </c>
      <c r="D369" s="56" t="s">
        <v>1372</v>
      </c>
      <c r="E369" s="56" t="s">
        <v>1372</v>
      </c>
      <c r="F369" s="56" t="s">
        <v>570</v>
      </c>
      <c r="G369">
        <v>1.43</v>
      </c>
      <c r="H369" s="56" t="s">
        <v>571</v>
      </c>
      <c r="I369" s="56" t="s">
        <v>1401</v>
      </c>
      <c r="J369">
        <v>0</v>
      </c>
      <c r="K369">
        <v>0</v>
      </c>
      <c r="L369">
        <v>24</v>
      </c>
      <c r="M369">
        <v>7004</v>
      </c>
      <c r="N369" s="56" t="s">
        <v>333</v>
      </c>
      <c r="O369">
        <v>1</v>
      </c>
      <c r="P369" s="59">
        <v>4.2</v>
      </c>
    </row>
    <row r="370" spans="1:16" x14ac:dyDescent="0.25">
      <c r="A370">
        <v>7005</v>
      </c>
      <c r="B370">
        <v>7005</v>
      </c>
      <c r="C370" s="56" t="s">
        <v>1402</v>
      </c>
      <c r="D370" s="56" t="s">
        <v>1372</v>
      </c>
      <c r="E370" s="56" t="s">
        <v>1372</v>
      </c>
      <c r="F370" s="56" t="s">
        <v>570</v>
      </c>
      <c r="G370">
        <v>0.67</v>
      </c>
      <c r="H370" s="56" t="s">
        <v>571</v>
      </c>
      <c r="I370" s="56" t="s">
        <v>1403</v>
      </c>
      <c r="J370">
        <v>0</v>
      </c>
      <c r="K370">
        <v>0</v>
      </c>
      <c r="L370">
        <v>24</v>
      </c>
      <c r="M370">
        <v>7005</v>
      </c>
      <c r="N370" s="56" t="s">
        <v>336</v>
      </c>
      <c r="O370">
        <v>1</v>
      </c>
      <c r="P370" s="59">
        <v>2.2000000000000002</v>
      </c>
    </row>
    <row r="371" spans="1:16" x14ac:dyDescent="0.25">
      <c r="A371">
        <v>7006</v>
      </c>
      <c r="B371">
        <v>7006</v>
      </c>
      <c r="C371" s="56" t="s">
        <v>1404</v>
      </c>
      <c r="D371" s="56" t="s">
        <v>1372</v>
      </c>
      <c r="E371" s="56" t="s">
        <v>1372</v>
      </c>
      <c r="F371" s="56" t="s">
        <v>570</v>
      </c>
      <c r="G371">
        <v>0.67</v>
      </c>
      <c r="H371" s="56" t="s">
        <v>571</v>
      </c>
      <c r="I371" s="56" t="s">
        <v>1405</v>
      </c>
      <c r="J371">
        <v>0</v>
      </c>
      <c r="K371">
        <v>0</v>
      </c>
      <c r="L371">
        <v>24</v>
      </c>
      <c r="M371">
        <v>7006</v>
      </c>
      <c r="N371" s="56" t="s">
        <v>338</v>
      </c>
      <c r="O371">
        <v>1</v>
      </c>
      <c r="P371" s="59">
        <v>2.2000000000000002</v>
      </c>
    </row>
    <row r="372" spans="1:16" x14ac:dyDescent="0.25">
      <c r="A372">
        <v>7007</v>
      </c>
      <c r="B372">
        <v>7007</v>
      </c>
      <c r="C372" s="56" t="s">
        <v>1406</v>
      </c>
      <c r="D372" s="56" t="s">
        <v>1372</v>
      </c>
      <c r="E372" s="56" t="s">
        <v>1372</v>
      </c>
      <c r="F372" s="56" t="s">
        <v>570</v>
      </c>
      <c r="G372">
        <v>1.26</v>
      </c>
      <c r="H372" s="56" t="s">
        <v>571</v>
      </c>
      <c r="I372" s="56" t="s">
        <v>1407</v>
      </c>
      <c r="J372">
        <v>0</v>
      </c>
      <c r="K372">
        <v>0</v>
      </c>
      <c r="L372">
        <v>24</v>
      </c>
      <c r="M372">
        <v>7007</v>
      </c>
      <c r="N372" s="56" t="s">
        <v>340</v>
      </c>
      <c r="O372">
        <v>1</v>
      </c>
      <c r="P372" s="59">
        <v>5.5</v>
      </c>
    </row>
    <row r="373" spans="1:16" x14ac:dyDescent="0.25">
      <c r="A373">
        <v>7009</v>
      </c>
      <c r="B373">
        <v>7009</v>
      </c>
      <c r="C373" s="56" t="s">
        <v>1408</v>
      </c>
      <c r="D373" s="56" t="s">
        <v>1372</v>
      </c>
      <c r="E373" s="56" t="s">
        <v>1372</v>
      </c>
      <c r="F373" s="56" t="s">
        <v>570</v>
      </c>
      <c r="G373">
        <v>1.65</v>
      </c>
      <c r="H373" s="56" t="s">
        <v>571</v>
      </c>
      <c r="I373" s="56" t="s">
        <v>1409</v>
      </c>
      <c r="J373">
        <v>0</v>
      </c>
      <c r="K373">
        <v>0</v>
      </c>
      <c r="L373">
        <v>70</v>
      </c>
      <c r="M373">
        <v>7009</v>
      </c>
      <c r="N373" s="56" t="s">
        <v>342</v>
      </c>
      <c r="O373">
        <v>1</v>
      </c>
      <c r="P373" s="59">
        <v>4.4000000000000004</v>
      </c>
    </row>
    <row r="374" spans="1:16" x14ac:dyDescent="0.25">
      <c r="A374">
        <v>7015</v>
      </c>
      <c r="B374">
        <v>7015</v>
      </c>
      <c r="C374" s="56" t="s">
        <v>1410</v>
      </c>
      <c r="D374" s="56" t="s">
        <v>1372</v>
      </c>
      <c r="E374" s="56" t="s">
        <v>1372</v>
      </c>
      <c r="F374" s="56" t="s">
        <v>570</v>
      </c>
      <c r="G374">
        <v>0.75</v>
      </c>
      <c r="H374" s="56" t="s">
        <v>571</v>
      </c>
      <c r="I374" s="56" t="s">
        <v>1411</v>
      </c>
      <c r="J374">
        <v>0</v>
      </c>
      <c r="K374">
        <v>0</v>
      </c>
      <c r="L374">
        <v>24</v>
      </c>
      <c r="M374">
        <v>7015</v>
      </c>
      <c r="N374" s="56" t="s">
        <v>344</v>
      </c>
      <c r="O374">
        <v>1</v>
      </c>
      <c r="P374" s="59">
        <v>3</v>
      </c>
    </row>
    <row r="375" spans="1:16" x14ac:dyDescent="0.25">
      <c r="A375">
        <v>7018</v>
      </c>
      <c r="B375">
        <v>7018</v>
      </c>
      <c r="C375" s="56" t="s">
        <v>1412</v>
      </c>
      <c r="D375" s="56" t="s">
        <v>1372</v>
      </c>
      <c r="E375" s="56" t="s">
        <v>1372</v>
      </c>
      <c r="F375" s="56" t="s">
        <v>570</v>
      </c>
      <c r="G375">
        <v>1.23</v>
      </c>
      <c r="H375" s="56" t="s">
        <v>571</v>
      </c>
      <c r="I375" s="56" t="s">
        <v>1413</v>
      </c>
      <c r="J375">
        <v>0</v>
      </c>
      <c r="K375">
        <v>0</v>
      </c>
      <c r="L375">
        <v>24</v>
      </c>
      <c r="M375">
        <v>7018</v>
      </c>
      <c r="N375" s="56" t="s">
        <v>347</v>
      </c>
      <c r="O375">
        <v>1</v>
      </c>
      <c r="P375" s="59">
        <v>3.6</v>
      </c>
    </row>
    <row r="376" spans="1:16" x14ac:dyDescent="0.25">
      <c r="A376">
        <v>7040</v>
      </c>
      <c r="B376">
        <v>7040</v>
      </c>
      <c r="C376" s="56" t="s">
        <v>1414</v>
      </c>
      <c r="D376" s="56" t="s">
        <v>1372</v>
      </c>
      <c r="E376" s="56" t="s">
        <v>1372</v>
      </c>
      <c r="F376" s="56" t="s">
        <v>570</v>
      </c>
      <c r="G376">
        <v>2.79</v>
      </c>
      <c r="H376" s="56" t="s">
        <v>571</v>
      </c>
      <c r="I376" s="56" t="s">
        <v>1415</v>
      </c>
      <c r="J376">
        <v>0</v>
      </c>
      <c r="K376">
        <v>0</v>
      </c>
      <c r="L376">
        <v>12</v>
      </c>
      <c r="M376">
        <v>7040</v>
      </c>
      <c r="N376" s="56" t="s">
        <v>353</v>
      </c>
      <c r="O376">
        <v>1</v>
      </c>
      <c r="P376" s="59">
        <v>9.75</v>
      </c>
    </row>
    <row r="377" spans="1:16" x14ac:dyDescent="0.25">
      <c r="A377">
        <v>7051</v>
      </c>
      <c r="B377">
        <v>7051</v>
      </c>
      <c r="C377" s="56" t="s">
        <v>1417</v>
      </c>
      <c r="D377" s="56" t="s">
        <v>1372</v>
      </c>
      <c r="E377" s="56" t="s">
        <v>1372</v>
      </c>
      <c r="F377" s="56" t="s">
        <v>570</v>
      </c>
      <c r="G377">
        <v>1.0900000000000001</v>
      </c>
      <c r="H377" s="56" t="s">
        <v>571</v>
      </c>
      <c r="I377" s="56" t="s">
        <v>1418</v>
      </c>
      <c r="J377">
        <v>0</v>
      </c>
      <c r="K377">
        <v>0</v>
      </c>
      <c r="L377">
        <v>60</v>
      </c>
      <c r="M377">
        <v>7051</v>
      </c>
      <c r="N377" s="56" t="s">
        <v>356</v>
      </c>
      <c r="O377">
        <v>1</v>
      </c>
      <c r="P377" s="59">
        <v>3.65</v>
      </c>
    </row>
    <row r="378" spans="1:16" x14ac:dyDescent="0.25">
      <c r="A378">
        <v>7052</v>
      </c>
      <c r="B378">
        <v>7052</v>
      </c>
      <c r="C378" s="56" t="s">
        <v>1419</v>
      </c>
      <c r="D378" s="56" t="s">
        <v>1372</v>
      </c>
      <c r="E378" s="56" t="s">
        <v>1372</v>
      </c>
      <c r="F378" s="56" t="s">
        <v>570</v>
      </c>
      <c r="G378">
        <v>0.49</v>
      </c>
      <c r="H378" s="56" t="s">
        <v>571</v>
      </c>
      <c r="I378" s="56" t="s">
        <v>1420</v>
      </c>
      <c r="J378">
        <v>0</v>
      </c>
      <c r="K378">
        <v>0</v>
      </c>
      <c r="L378">
        <v>48</v>
      </c>
      <c r="M378">
        <v>7052</v>
      </c>
      <c r="N378" s="56" t="s">
        <v>357</v>
      </c>
      <c r="O378">
        <v>1</v>
      </c>
      <c r="P378" s="59">
        <v>1.65</v>
      </c>
    </row>
    <row r="379" spans="1:16" x14ac:dyDescent="0.25">
      <c r="A379">
        <v>7053</v>
      </c>
      <c r="B379">
        <v>7053</v>
      </c>
      <c r="C379" s="56" t="s">
        <v>1421</v>
      </c>
      <c r="D379" s="56" t="s">
        <v>1372</v>
      </c>
      <c r="E379" s="56" t="s">
        <v>1372</v>
      </c>
      <c r="F379" s="56" t="s">
        <v>570</v>
      </c>
      <c r="G379">
        <v>0.79</v>
      </c>
      <c r="H379" s="56" t="s">
        <v>571</v>
      </c>
      <c r="I379" s="56" t="s">
        <v>1422</v>
      </c>
      <c r="J379">
        <v>0</v>
      </c>
      <c r="K379">
        <v>0</v>
      </c>
      <c r="L379">
        <v>48</v>
      </c>
      <c r="M379">
        <v>7053</v>
      </c>
      <c r="N379" s="56" t="s">
        <v>359</v>
      </c>
      <c r="O379">
        <v>1</v>
      </c>
      <c r="P379" s="59">
        <v>2.5</v>
      </c>
    </row>
    <row r="380" spans="1:16" x14ac:dyDescent="0.25">
      <c r="A380">
        <v>7054</v>
      </c>
      <c r="B380">
        <v>7054</v>
      </c>
      <c r="C380" s="56" t="s">
        <v>1423</v>
      </c>
      <c r="D380" s="56" t="s">
        <v>1372</v>
      </c>
      <c r="E380" s="56" t="s">
        <v>1372</v>
      </c>
      <c r="F380" s="56" t="s">
        <v>570</v>
      </c>
      <c r="G380">
        <v>1.2</v>
      </c>
      <c r="H380" s="56" t="s">
        <v>571</v>
      </c>
      <c r="I380" s="56" t="s">
        <v>1424</v>
      </c>
      <c r="J380">
        <v>0</v>
      </c>
      <c r="K380">
        <v>0</v>
      </c>
      <c r="L380">
        <v>12</v>
      </c>
      <c r="M380">
        <v>7054</v>
      </c>
      <c r="N380" s="56" t="s">
        <v>1425</v>
      </c>
      <c r="O380">
        <v>1</v>
      </c>
      <c r="P380" s="59">
        <v>4.2</v>
      </c>
    </row>
    <row r="381" spans="1:16" x14ac:dyDescent="0.25">
      <c r="A381">
        <v>7055</v>
      </c>
      <c r="B381">
        <v>7055</v>
      </c>
      <c r="C381" s="56" t="s">
        <v>1426</v>
      </c>
      <c r="D381" s="56" t="s">
        <v>1372</v>
      </c>
      <c r="E381" s="56" t="s">
        <v>1372</v>
      </c>
      <c r="F381" s="56" t="s">
        <v>570</v>
      </c>
      <c r="G381">
        <v>1.2</v>
      </c>
      <c r="H381" s="56" t="s">
        <v>571</v>
      </c>
      <c r="I381" s="56" t="s">
        <v>1427</v>
      </c>
      <c r="J381">
        <v>0</v>
      </c>
      <c r="K381">
        <v>0</v>
      </c>
      <c r="L381">
        <v>12</v>
      </c>
      <c r="M381">
        <v>7055</v>
      </c>
      <c r="N381" s="56" t="s">
        <v>1428</v>
      </c>
      <c r="O381">
        <v>1</v>
      </c>
      <c r="P381" s="59">
        <v>4.2</v>
      </c>
    </row>
    <row r="382" spans="1:16" x14ac:dyDescent="0.25">
      <c r="A382">
        <v>7058</v>
      </c>
      <c r="B382">
        <v>7058</v>
      </c>
      <c r="C382" s="56" t="s">
        <v>1429</v>
      </c>
      <c r="D382" s="56" t="s">
        <v>1372</v>
      </c>
      <c r="E382" s="56" t="s">
        <v>1372</v>
      </c>
      <c r="F382" s="56" t="s">
        <v>570</v>
      </c>
      <c r="G382">
        <v>0.9</v>
      </c>
      <c r="H382" s="56" t="s">
        <v>571</v>
      </c>
      <c r="I382" s="56" t="s">
        <v>1430</v>
      </c>
      <c r="J382">
        <v>0</v>
      </c>
      <c r="K382">
        <v>0</v>
      </c>
      <c r="L382">
        <v>48</v>
      </c>
      <c r="M382">
        <v>7058</v>
      </c>
      <c r="N382" s="56" t="s">
        <v>1431</v>
      </c>
      <c r="O382">
        <v>1</v>
      </c>
      <c r="P382" s="59">
        <v>3.15</v>
      </c>
    </row>
    <row r="383" spans="1:16" x14ac:dyDescent="0.25">
      <c r="A383">
        <v>7070</v>
      </c>
      <c r="B383">
        <v>7070</v>
      </c>
      <c r="C383" s="56" t="s">
        <v>1432</v>
      </c>
      <c r="D383" s="56" t="s">
        <v>1372</v>
      </c>
      <c r="E383" s="56" t="s">
        <v>1372</v>
      </c>
      <c r="F383" s="56" t="s">
        <v>570</v>
      </c>
      <c r="G383">
        <v>1.1000000000000001</v>
      </c>
      <c r="H383" s="56" t="s">
        <v>571</v>
      </c>
      <c r="I383" s="56" t="s">
        <v>1433</v>
      </c>
      <c r="J383">
        <v>0</v>
      </c>
      <c r="K383">
        <v>0</v>
      </c>
      <c r="L383">
        <v>30</v>
      </c>
      <c r="M383">
        <v>7070</v>
      </c>
      <c r="N383" s="56" t="s">
        <v>373</v>
      </c>
      <c r="O383">
        <v>1</v>
      </c>
      <c r="P383" s="59">
        <v>3.75</v>
      </c>
    </row>
    <row r="384" spans="1:16" x14ac:dyDescent="0.25">
      <c r="A384">
        <v>7080</v>
      </c>
      <c r="B384">
        <v>7080</v>
      </c>
      <c r="C384" s="56" t="s">
        <v>1434</v>
      </c>
      <c r="D384" s="56" t="s">
        <v>1372</v>
      </c>
      <c r="E384" s="56" t="s">
        <v>1372</v>
      </c>
      <c r="F384" s="56" t="s">
        <v>570</v>
      </c>
      <c r="G384">
        <v>1.4516</v>
      </c>
      <c r="H384" s="56" t="s">
        <v>571</v>
      </c>
      <c r="I384" s="56" t="s">
        <v>1435</v>
      </c>
      <c r="J384">
        <v>0</v>
      </c>
      <c r="K384">
        <v>0</v>
      </c>
      <c r="L384">
        <v>12</v>
      </c>
      <c r="M384">
        <v>7080</v>
      </c>
      <c r="N384" s="56" t="s">
        <v>376</v>
      </c>
      <c r="O384">
        <v>1</v>
      </c>
      <c r="P384" s="59">
        <v>4.75</v>
      </c>
    </row>
    <row r="385" spans="1:16" x14ac:dyDescent="0.25">
      <c r="A385">
        <v>7081</v>
      </c>
      <c r="B385">
        <v>7081</v>
      </c>
      <c r="C385" s="56" t="s">
        <v>1436</v>
      </c>
      <c r="D385" s="56" t="s">
        <v>1372</v>
      </c>
      <c r="E385" s="56" t="s">
        <v>1372</v>
      </c>
      <c r="F385" s="56" t="s">
        <v>570</v>
      </c>
      <c r="G385">
        <v>1.61</v>
      </c>
      <c r="H385" s="56" t="s">
        <v>571</v>
      </c>
      <c r="I385" s="56" t="s">
        <v>1437</v>
      </c>
      <c r="J385">
        <v>0</v>
      </c>
      <c r="K385">
        <v>0</v>
      </c>
      <c r="L385">
        <v>12</v>
      </c>
      <c r="M385">
        <v>7081</v>
      </c>
      <c r="N385" s="56" t="s">
        <v>378</v>
      </c>
      <c r="O385">
        <v>1</v>
      </c>
      <c r="P385" s="59">
        <v>5</v>
      </c>
    </row>
    <row r="386" spans="1:16" x14ac:dyDescent="0.25">
      <c r="A386">
        <v>7100</v>
      </c>
      <c r="B386">
        <v>7100</v>
      </c>
      <c r="C386" s="56" t="s">
        <v>1438</v>
      </c>
      <c r="D386" s="56" t="s">
        <v>1439</v>
      </c>
      <c r="E386" s="56" t="s">
        <v>1439</v>
      </c>
      <c r="F386" s="56" t="s">
        <v>570</v>
      </c>
      <c r="G386">
        <v>2</v>
      </c>
      <c r="H386" s="56" t="s">
        <v>571</v>
      </c>
      <c r="I386" s="56" t="s">
        <v>1440</v>
      </c>
      <c r="J386">
        <v>0</v>
      </c>
      <c r="K386">
        <v>0</v>
      </c>
      <c r="L386">
        <v>12</v>
      </c>
      <c r="M386">
        <v>7100</v>
      </c>
      <c r="N386" s="56" t="s">
        <v>436</v>
      </c>
      <c r="O386">
        <v>1</v>
      </c>
      <c r="P386" s="59">
        <v>7</v>
      </c>
    </row>
    <row r="387" spans="1:16" x14ac:dyDescent="0.25">
      <c r="A387">
        <v>7101</v>
      </c>
      <c r="B387">
        <v>7101</v>
      </c>
      <c r="C387" s="56" t="s">
        <v>1441</v>
      </c>
      <c r="D387" s="56" t="s">
        <v>1439</v>
      </c>
      <c r="E387" s="56" t="s">
        <v>1439</v>
      </c>
      <c r="F387" s="56" t="s">
        <v>570</v>
      </c>
      <c r="G387">
        <v>1.78</v>
      </c>
      <c r="H387" s="56" t="s">
        <v>571</v>
      </c>
      <c r="I387" s="56" t="s">
        <v>1442</v>
      </c>
      <c r="J387">
        <v>0</v>
      </c>
      <c r="K387">
        <v>0</v>
      </c>
      <c r="L387">
        <v>12</v>
      </c>
      <c r="M387">
        <v>7101</v>
      </c>
      <c r="N387" s="56" t="s">
        <v>439</v>
      </c>
      <c r="O387">
        <v>1</v>
      </c>
      <c r="P387" s="59">
        <v>5.8</v>
      </c>
    </row>
    <row r="388" spans="1:16" x14ac:dyDescent="0.25">
      <c r="A388">
        <v>7110</v>
      </c>
      <c r="B388">
        <v>7110</v>
      </c>
      <c r="C388" s="56" t="s">
        <v>1443</v>
      </c>
      <c r="D388" s="56" t="s">
        <v>1439</v>
      </c>
      <c r="E388" s="56" t="s">
        <v>1439</v>
      </c>
      <c r="F388" s="56" t="s">
        <v>570</v>
      </c>
      <c r="G388">
        <v>0.21410000000000001</v>
      </c>
      <c r="H388" s="56" t="s">
        <v>571</v>
      </c>
      <c r="I388" s="56" t="s">
        <v>1444</v>
      </c>
      <c r="J388">
        <v>0</v>
      </c>
      <c r="K388">
        <v>0</v>
      </c>
      <c r="L388">
        <v>96</v>
      </c>
      <c r="M388">
        <v>7110</v>
      </c>
      <c r="N388" s="56" t="s">
        <v>442</v>
      </c>
      <c r="O388">
        <v>1</v>
      </c>
      <c r="P388" s="59">
        <v>0.75</v>
      </c>
    </row>
    <row r="389" spans="1:16" x14ac:dyDescent="0.25">
      <c r="A389">
        <v>7111</v>
      </c>
      <c r="B389">
        <v>7111</v>
      </c>
      <c r="C389" s="56" t="s">
        <v>1445</v>
      </c>
      <c r="D389" s="56" t="s">
        <v>1439</v>
      </c>
      <c r="E389" s="56" t="s">
        <v>1439</v>
      </c>
      <c r="F389" s="56" t="s">
        <v>570</v>
      </c>
      <c r="G389">
        <v>0.21410000000000001</v>
      </c>
      <c r="H389" s="56" t="s">
        <v>571</v>
      </c>
      <c r="I389" s="56" t="s">
        <v>1446</v>
      </c>
      <c r="J389">
        <v>0</v>
      </c>
      <c r="K389">
        <v>0</v>
      </c>
      <c r="L389">
        <v>96</v>
      </c>
      <c r="M389">
        <v>7111</v>
      </c>
      <c r="N389" s="56" t="s">
        <v>445</v>
      </c>
      <c r="O389">
        <v>1</v>
      </c>
      <c r="P389" s="59">
        <v>0.75</v>
      </c>
    </row>
    <row r="390" spans="1:16" x14ac:dyDescent="0.25">
      <c r="A390">
        <v>7120</v>
      </c>
      <c r="B390">
        <v>7120</v>
      </c>
      <c r="C390" s="56" t="s">
        <v>1447</v>
      </c>
      <c r="D390" s="56" t="s">
        <v>1439</v>
      </c>
      <c r="E390" s="56" t="s">
        <v>1439</v>
      </c>
      <c r="F390" s="56" t="s">
        <v>570</v>
      </c>
      <c r="G390">
        <v>0.38</v>
      </c>
      <c r="H390" s="56" t="s">
        <v>571</v>
      </c>
      <c r="I390" s="56" t="s">
        <v>1448</v>
      </c>
      <c r="J390">
        <v>0</v>
      </c>
      <c r="K390">
        <v>0</v>
      </c>
      <c r="L390">
        <v>36</v>
      </c>
      <c r="M390">
        <v>7120</v>
      </c>
      <c r="N390" s="56" t="s">
        <v>437</v>
      </c>
      <c r="O390">
        <v>3</v>
      </c>
      <c r="P390" s="59">
        <v>3.7</v>
      </c>
    </row>
    <row r="391" spans="1:16" x14ac:dyDescent="0.25">
      <c r="A391">
        <v>7121</v>
      </c>
      <c r="B391">
        <v>7121</v>
      </c>
      <c r="C391" s="56" t="s">
        <v>1449</v>
      </c>
      <c r="D391" s="56" t="s">
        <v>1439</v>
      </c>
      <c r="E391" s="56" t="s">
        <v>1439</v>
      </c>
      <c r="F391" s="56" t="s">
        <v>570</v>
      </c>
      <c r="G391">
        <v>0.38</v>
      </c>
      <c r="H391" s="56" t="s">
        <v>571</v>
      </c>
      <c r="I391" s="56" t="s">
        <v>1450</v>
      </c>
      <c r="J391">
        <v>0</v>
      </c>
      <c r="K391">
        <v>0</v>
      </c>
      <c r="L391">
        <v>36</v>
      </c>
      <c r="M391">
        <v>7121</v>
      </c>
      <c r="N391" s="56" t="s">
        <v>440</v>
      </c>
      <c r="O391">
        <v>3</v>
      </c>
      <c r="P391" s="59">
        <v>3.7</v>
      </c>
    </row>
    <row r="392" spans="1:16" x14ac:dyDescent="0.25">
      <c r="A392">
        <v>7122</v>
      </c>
      <c r="B392">
        <v>7122</v>
      </c>
      <c r="C392" s="56" t="s">
        <v>1451</v>
      </c>
      <c r="D392" s="56" t="s">
        <v>1439</v>
      </c>
      <c r="E392" s="56" t="s">
        <v>1439</v>
      </c>
      <c r="F392" s="56" t="s">
        <v>570</v>
      </c>
      <c r="G392">
        <v>0.38</v>
      </c>
      <c r="H392" s="56" t="s">
        <v>571</v>
      </c>
      <c r="I392" s="56" t="s">
        <v>1452</v>
      </c>
      <c r="J392">
        <v>0</v>
      </c>
      <c r="K392">
        <v>0</v>
      </c>
      <c r="L392">
        <v>36</v>
      </c>
      <c r="M392">
        <v>7122</v>
      </c>
      <c r="N392" s="56" t="s">
        <v>443</v>
      </c>
      <c r="O392">
        <v>3</v>
      </c>
      <c r="P392" s="59">
        <v>3.7</v>
      </c>
    </row>
    <row r="393" spans="1:16" x14ac:dyDescent="0.25">
      <c r="A393">
        <v>7123</v>
      </c>
      <c r="B393">
        <v>7123</v>
      </c>
      <c r="C393" s="56" t="s">
        <v>1453</v>
      </c>
      <c r="D393" s="56" t="s">
        <v>1439</v>
      </c>
      <c r="E393" s="56" t="s">
        <v>1439</v>
      </c>
      <c r="F393" s="56" t="s">
        <v>570</v>
      </c>
      <c r="G393">
        <v>0.38</v>
      </c>
      <c r="H393" s="56" t="s">
        <v>571</v>
      </c>
      <c r="I393" s="56" t="s">
        <v>1454</v>
      </c>
      <c r="J393">
        <v>0</v>
      </c>
      <c r="K393">
        <v>0</v>
      </c>
      <c r="L393">
        <v>36</v>
      </c>
      <c r="M393">
        <v>7123</v>
      </c>
      <c r="N393" s="56" t="s">
        <v>446</v>
      </c>
      <c r="O393">
        <v>3</v>
      </c>
      <c r="P393" s="59">
        <v>3.7</v>
      </c>
    </row>
    <row r="394" spans="1:16" x14ac:dyDescent="0.25">
      <c r="A394">
        <v>7124</v>
      </c>
      <c r="B394">
        <v>7124</v>
      </c>
      <c r="C394" s="56" t="s">
        <v>1455</v>
      </c>
      <c r="D394" s="56" t="s">
        <v>1439</v>
      </c>
      <c r="E394" s="56" t="s">
        <v>1439</v>
      </c>
      <c r="F394" s="56" t="s">
        <v>570</v>
      </c>
      <c r="G394">
        <v>0.38</v>
      </c>
      <c r="H394" s="56" t="s">
        <v>571</v>
      </c>
      <c r="I394" s="56" t="s">
        <v>1456</v>
      </c>
      <c r="J394">
        <v>0</v>
      </c>
      <c r="K394">
        <v>0</v>
      </c>
      <c r="L394">
        <v>36</v>
      </c>
      <c r="M394">
        <v>7124</v>
      </c>
      <c r="N394" s="56" t="s">
        <v>449</v>
      </c>
      <c r="O394">
        <v>3</v>
      </c>
      <c r="P394" s="59">
        <v>3.7</v>
      </c>
    </row>
    <row r="395" spans="1:16" x14ac:dyDescent="0.25">
      <c r="A395">
        <v>7125</v>
      </c>
      <c r="B395">
        <v>7125</v>
      </c>
      <c r="C395" s="56" t="s">
        <v>1457</v>
      </c>
      <c r="D395" s="56" t="s">
        <v>1439</v>
      </c>
      <c r="E395" s="56" t="s">
        <v>1439</v>
      </c>
      <c r="F395" s="56" t="s">
        <v>570</v>
      </c>
      <c r="G395">
        <v>0.38</v>
      </c>
      <c r="H395" s="56" t="s">
        <v>571</v>
      </c>
      <c r="I395" s="56" t="s">
        <v>1458</v>
      </c>
      <c r="J395">
        <v>0</v>
      </c>
      <c r="K395">
        <v>0</v>
      </c>
      <c r="L395">
        <v>36</v>
      </c>
      <c r="M395">
        <v>7125</v>
      </c>
      <c r="N395" s="56" t="s">
        <v>452</v>
      </c>
      <c r="O395">
        <v>3</v>
      </c>
      <c r="P395" s="59">
        <v>3.7</v>
      </c>
    </row>
    <row r="396" spans="1:16" x14ac:dyDescent="0.25">
      <c r="A396">
        <v>7126</v>
      </c>
      <c r="B396">
        <v>7126</v>
      </c>
      <c r="C396" s="56" t="s">
        <v>1459</v>
      </c>
      <c r="D396" s="56" t="s">
        <v>1439</v>
      </c>
      <c r="E396" s="56" t="s">
        <v>1439</v>
      </c>
      <c r="F396" s="56" t="s">
        <v>570</v>
      </c>
      <c r="G396">
        <v>0.38</v>
      </c>
      <c r="H396" s="56" t="s">
        <v>571</v>
      </c>
      <c r="I396" s="56" t="s">
        <v>1460</v>
      </c>
      <c r="J396">
        <v>0</v>
      </c>
      <c r="K396">
        <v>0</v>
      </c>
      <c r="L396">
        <v>36</v>
      </c>
      <c r="M396">
        <v>7126</v>
      </c>
      <c r="N396" s="56" t="s">
        <v>1461</v>
      </c>
      <c r="O396">
        <v>3</v>
      </c>
      <c r="P396" s="59">
        <v>3.7</v>
      </c>
    </row>
    <row r="397" spans="1:16" x14ac:dyDescent="0.25">
      <c r="A397">
        <v>7130</v>
      </c>
      <c r="B397">
        <v>7120</v>
      </c>
      <c r="C397" s="56" t="s">
        <v>1462</v>
      </c>
      <c r="D397" s="56" t="s">
        <v>1439</v>
      </c>
      <c r="E397" s="56" t="s">
        <v>1439</v>
      </c>
      <c r="F397" s="56" t="s">
        <v>570</v>
      </c>
      <c r="G397">
        <v>0.38</v>
      </c>
      <c r="H397" s="56" t="s">
        <v>571</v>
      </c>
      <c r="I397" s="56" t="s">
        <v>1463</v>
      </c>
      <c r="J397">
        <v>0</v>
      </c>
      <c r="K397">
        <v>0</v>
      </c>
      <c r="L397">
        <v>1</v>
      </c>
      <c r="M397">
        <v>7130</v>
      </c>
      <c r="N397" s="56" t="s">
        <v>438</v>
      </c>
      <c r="O397">
        <v>1</v>
      </c>
      <c r="P397" s="59">
        <v>1.2</v>
      </c>
    </row>
    <row r="398" spans="1:16" x14ac:dyDescent="0.25">
      <c r="A398">
        <v>7131</v>
      </c>
      <c r="B398">
        <v>7121</v>
      </c>
      <c r="C398" s="56" t="s">
        <v>1464</v>
      </c>
      <c r="D398" s="56" t="s">
        <v>1439</v>
      </c>
      <c r="E398" s="56" t="s">
        <v>1439</v>
      </c>
      <c r="F398" s="56" t="s">
        <v>570</v>
      </c>
      <c r="G398">
        <v>0.38</v>
      </c>
      <c r="H398" s="56" t="s">
        <v>571</v>
      </c>
      <c r="I398" s="56" t="s">
        <v>1465</v>
      </c>
      <c r="J398">
        <v>0</v>
      </c>
      <c r="K398">
        <v>0</v>
      </c>
      <c r="L398">
        <v>1</v>
      </c>
      <c r="M398">
        <v>7131</v>
      </c>
      <c r="N398" s="56" t="s">
        <v>441</v>
      </c>
      <c r="O398">
        <v>1</v>
      </c>
      <c r="P398" s="59">
        <v>1.2</v>
      </c>
    </row>
    <row r="399" spans="1:16" x14ac:dyDescent="0.25">
      <c r="A399">
        <v>7132</v>
      </c>
      <c r="B399">
        <v>7122</v>
      </c>
      <c r="C399" s="56" t="s">
        <v>1466</v>
      </c>
      <c r="D399" s="56" t="s">
        <v>1439</v>
      </c>
      <c r="E399" s="56" t="s">
        <v>1439</v>
      </c>
      <c r="F399" s="56" t="s">
        <v>570</v>
      </c>
      <c r="G399">
        <v>0.38</v>
      </c>
      <c r="H399" s="56" t="s">
        <v>571</v>
      </c>
      <c r="I399" s="56" t="s">
        <v>1467</v>
      </c>
      <c r="J399">
        <v>0</v>
      </c>
      <c r="K399">
        <v>0</v>
      </c>
      <c r="L399">
        <v>1</v>
      </c>
      <c r="M399">
        <v>7132</v>
      </c>
      <c r="N399" s="56" t="s">
        <v>444</v>
      </c>
      <c r="O399">
        <v>1</v>
      </c>
      <c r="P399" s="59">
        <v>1.2</v>
      </c>
    </row>
    <row r="400" spans="1:16" x14ac:dyDescent="0.25">
      <c r="A400">
        <v>7133</v>
      </c>
      <c r="B400">
        <v>7123</v>
      </c>
      <c r="C400" s="56" t="s">
        <v>1468</v>
      </c>
      <c r="D400" s="56" t="s">
        <v>1439</v>
      </c>
      <c r="E400" s="56" t="s">
        <v>1439</v>
      </c>
      <c r="F400" s="56" t="s">
        <v>570</v>
      </c>
      <c r="G400">
        <v>0.38</v>
      </c>
      <c r="H400" s="56" t="s">
        <v>571</v>
      </c>
      <c r="I400" s="56" t="s">
        <v>1469</v>
      </c>
      <c r="J400">
        <v>0</v>
      </c>
      <c r="K400">
        <v>0</v>
      </c>
      <c r="L400">
        <v>1</v>
      </c>
      <c r="M400">
        <v>7133</v>
      </c>
      <c r="N400" s="56" t="s">
        <v>447</v>
      </c>
      <c r="O400">
        <v>1</v>
      </c>
      <c r="P400" s="59">
        <v>1.2</v>
      </c>
    </row>
    <row r="401" spans="1:16" x14ac:dyDescent="0.25">
      <c r="A401">
        <v>7134</v>
      </c>
      <c r="B401">
        <v>7124</v>
      </c>
      <c r="C401" s="56" t="s">
        <v>1470</v>
      </c>
      <c r="D401" s="56" t="s">
        <v>1439</v>
      </c>
      <c r="E401" s="56" t="s">
        <v>1439</v>
      </c>
      <c r="F401" s="56" t="s">
        <v>570</v>
      </c>
      <c r="G401">
        <v>0.38</v>
      </c>
      <c r="H401" s="56" t="s">
        <v>571</v>
      </c>
      <c r="I401" s="56" t="s">
        <v>1471</v>
      </c>
      <c r="J401">
        <v>0</v>
      </c>
      <c r="K401">
        <v>0</v>
      </c>
      <c r="L401">
        <v>1</v>
      </c>
      <c r="M401">
        <v>7134</v>
      </c>
      <c r="N401" s="56" t="s">
        <v>450</v>
      </c>
      <c r="O401">
        <v>1</v>
      </c>
      <c r="P401" s="59">
        <v>1.2</v>
      </c>
    </row>
    <row r="402" spans="1:16" x14ac:dyDescent="0.25">
      <c r="A402">
        <v>7135</v>
      </c>
      <c r="B402">
        <v>7125</v>
      </c>
      <c r="C402" s="56" t="s">
        <v>453</v>
      </c>
      <c r="D402" s="56" t="s">
        <v>1439</v>
      </c>
      <c r="E402" s="56" t="s">
        <v>1439</v>
      </c>
      <c r="F402" s="56" t="s">
        <v>570</v>
      </c>
      <c r="G402">
        <v>0.38</v>
      </c>
      <c r="H402" s="56" t="s">
        <v>571</v>
      </c>
      <c r="I402" s="56" t="s">
        <v>1472</v>
      </c>
      <c r="J402">
        <v>0</v>
      </c>
      <c r="K402">
        <v>0</v>
      </c>
      <c r="L402">
        <v>1</v>
      </c>
      <c r="M402">
        <v>7135</v>
      </c>
      <c r="N402" s="56" t="s">
        <v>453</v>
      </c>
      <c r="O402">
        <v>1</v>
      </c>
      <c r="P402" s="59">
        <v>1.2</v>
      </c>
    </row>
    <row r="403" spans="1:16" x14ac:dyDescent="0.25">
      <c r="A403">
        <v>7136</v>
      </c>
      <c r="B403">
        <v>7126</v>
      </c>
      <c r="C403" s="56" t="s">
        <v>1473</v>
      </c>
      <c r="D403" s="56" t="s">
        <v>1439</v>
      </c>
      <c r="E403" s="56" t="s">
        <v>1439</v>
      </c>
      <c r="F403" s="56" t="s">
        <v>570</v>
      </c>
      <c r="G403">
        <v>0.38</v>
      </c>
      <c r="H403" s="56" t="s">
        <v>571</v>
      </c>
      <c r="I403" s="56" t="s">
        <v>1474</v>
      </c>
      <c r="J403">
        <v>0</v>
      </c>
      <c r="K403">
        <v>0</v>
      </c>
      <c r="L403">
        <v>1</v>
      </c>
      <c r="M403">
        <v>7136</v>
      </c>
      <c r="N403" s="56" t="s">
        <v>454</v>
      </c>
      <c r="O403">
        <v>1</v>
      </c>
      <c r="P403" s="59">
        <v>1.2</v>
      </c>
    </row>
    <row r="404" spans="1:16" x14ac:dyDescent="0.25">
      <c r="A404">
        <v>7200</v>
      </c>
      <c r="B404">
        <v>7200</v>
      </c>
      <c r="C404" s="56" t="s">
        <v>1475</v>
      </c>
      <c r="D404" s="56" t="s">
        <v>1476</v>
      </c>
      <c r="E404" s="56" t="s">
        <v>1476</v>
      </c>
      <c r="F404" s="56" t="s">
        <v>570</v>
      </c>
      <c r="G404">
        <v>0.39410000000000001</v>
      </c>
      <c r="H404" s="56" t="s">
        <v>571</v>
      </c>
      <c r="I404" s="56" t="s">
        <v>1477</v>
      </c>
      <c r="J404">
        <v>0</v>
      </c>
      <c r="K404">
        <v>0</v>
      </c>
      <c r="L404">
        <v>12</v>
      </c>
      <c r="M404">
        <v>7200</v>
      </c>
      <c r="N404" s="56" t="s">
        <v>460</v>
      </c>
      <c r="O404">
        <v>1</v>
      </c>
      <c r="P404" s="59">
        <v>1.6</v>
      </c>
    </row>
    <row r="405" spans="1:16" x14ac:dyDescent="0.25">
      <c r="A405">
        <v>7201</v>
      </c>
      <c r="B405">
        <v>7201</v>
      </c>
      <c r="C405" s="56" t="s">
        <v>1478</v>
      </c>
      <c r="D405" s="56" t="s">
        <v>1476</v>
      </c>
      <c r="E405" s="56" t="s">
        <v>1476</v>
      </c>
      <c r="F405" s="56" t="s">
        <v>570</v>
      </c>
      <c r="G405">
        <v>0.39410000000000001</v>
      </c>
      <c r="H405" s="56" t="s">
        <v>571</v>
      </c>
      <c r="I405" s="56" t="s">
        <v>1479</v>
      </c>
      <c r="J405">
        <v>0</v>
      </c>
      <c r="K405">
        <v>0</v>
      </c>
      <c r="L405">
        <v>12</v>
      </c>
      <c r="M405">
        <v>7201</v>
      </c>
      <c r="N405" s="56" t="s">
        <v>463</v>
      </c>
      <c r="O405">
        <v>1</v>
      </c>
      <c r="P405" s="59">
        <v>1.6</v>
      </c>
    </row>
    <row r="406" spans="1:16" x14ac:dyDescent="0.25">
      <c r="A406">
        <v>7202</v>
      </c>
      <c r="B406">
        <v>7202</v>
      </c>
      <c r="C406" s="56" t="s">
        <v>1480</v>
      </c>
      <c r="D406" s="56" t="s">
        <v>1476</v>
      </c>
      <c r="E406" s="56" t="s">
        <v>1476</v>
      </c>
      <c r="F406" s="56" t="s">
        <v>570</v>
      </c>
      <c r="G406">
        <v>0.39410000000000001</v>
      </c>
      <c r="H406" s="56" t="s">
        <v>571</v>
      </c>
      <c r="I406" s="56" t="s">
        <v>1481</v>
      </c>
      <c r="J406">
        <v>0</v>
      </c>
      <c r="K406">
        <v>0</v>
      </c>
      <c r="L406">
        <v>12</v>
      </c>
      <c r="M406">
        <v>7202</v>
      </c>
      <c r="N406" s="56" t="s">
        <v>466</v>
      </c>
      <c r="O406">
        <v>1</v>
      </c>
      <c r="P406" s="59">
        <v>1.6</v>
      </c>
    </row>
    <row r="407" spans="1:16" x14ac:dyDescent="0.25">
      <c r="A407">
        <v>7203</v>
      </c>
      <c r="B407">
        <v>7203</v>
      </c>
      <c r="C407" s="56" t="s">
        <v>1482</v>
      </c>
      <c r="D407" s="56" t="s">
        <v>1476</v>
      </c>
      <c r="E407" s="56" t="s">
        <v>1476</v>
      </c>
      <c r="F407" s="56" t="s">
        <v>570</v>
      </c>
      <c r="G407">
        <v>0.39410000000000001</v>
      </c>
      <c r="H407" s="56" t="s">
        <v>571</v>
      </c>
      <c r="I407" s="56" t="s">
        <v>1483</v>
      </c>
      <c r="J407">
        <v>0</v>
      </c>
      <c r="K407">
        <v>0</v>
      </c>
      <c r="L407">
        <v>12</v>
      </c>
      <c r="M407">
        <v>7203</v>
      </c>
      <c r="N407" s="56" t="s">
        <v>469</v>
      </c>
      <c r="O407">
        <v>1</v>
      </c>
      <c r="P407" s="59">
        <v>1.6</v>
      </c>
    </row>
    <row r="408" spans="1:16" x14ac:dyDescent="0.25">
      <c r="A408">
        <v>7204</v>
      </c>
      <c r="B408">
        <v>7204</v>
      </c>
      <c r="C408" s="56" t="s">
        <v>1484</v>
      </c>
      <c r="D408" s="56" t="s">
        <v>1476</v>
      </c>
      <c r="E408" s="56" t="s">
        <v>1476</v>
      </c>
      <c r="F408" s="56" t="s">
        <v>570</v>
      </c>
      <c r="G408">
        <v>0.39410000000000001</v>
      </c>
      <c r="H408" s="56" t="s">
        <v>571</v>
      </c>
      <c r="I408" s="56" t="s">
        <v>1485</v>
      </c>
      <c r="J408">
        <v>0</v>
      </c>
      <c r="K408">
        <v>0</v>
      </c>
      <c r="L408">
        <v>12</v>
      </c>
      <c r="M408">
        <v>7204</v>
      </c>
      <c r="N408" s="56" t="s">
        <v>472</v>
      </c>
      <c r="O408">
        <v>1</v>
      </c>
      <c r="P408" s="59">
        <v>1.6</v>
      </c>
    </row>
    <row r="409" spans="1:16" x14ac:dyDescent="0.25">
      <c r="A409">
        <v>7205</v>
      </c>
      <c r="B409">
        <v>7205</v>
      </c>
      <c r="C409" s="56" t="s">
        <v>1486</v>
      </c>
      <c r="D409" s="56" t="s">
        <v>1476</v>
      </c>
      <c r="E409" s="56" t="s">
        <v>1476</v>
      </c>
      <c r="F409" s="56" t="s">
        <v>570</v>
      </c>
      <c r="G409">
        <v>0.39410000000000001</v>
      </c>
      <c r="H409" s="56" t="s">
        <v>571</v>
      </c>
      <c r="I409" s="56" t="s">
        <v>1487</v>
      </c>
      <c r="J409">
        <v>0</v>
      </c>
      <c r="K409">
        <v>0</v>
      </c>
      <c r="L409">
        <v>12</v>
      </c>
      <c r="M409">
        <v>7205</v>
      </c>
      <c r="N409" s="56" t="s">
        <v>475</v>
      </c>
      <c r="O409">
        <v>1</v>
      </c>
      <c r="P409" s="59">
        <v>1.6</v>
      </c>
    </row>
    <row r="410" spans="1:16" x14ac:dyDescent="0.25">
      <c r="A410">
        <v>7220</v>
      </c>
      <c r="B410">
        <v>7220</v>
      </c>
      <c r="C410" s="56" t="s">
        <v>1488</v>
      </c>
      <c r="D410" s="56" t="s">
        <v>1476</v>
      </c>
      <c r="E410" s="56" t="s">
        <v>1476</v>
      </c>
      <c r="F410" s="56" t="s">
        <v>570</v>
      </c>
      <c r="G410">
        <v>0.39410000000000001</v>
      </c>
      <c r="H410" s="56" t="s">
        <v>571</v>
      </c>
      <c r="I410" s="56" t="s">
        <v>1489</v>
      </c>
      <c r="J410">
        <v>0</v>
      </c>
      <c r="K410">
        <v>0</v>
      </c>
      <c r="L410">
        <v>12</v>
      </c>
      <c r="M410">
        <v>7220</v>
      </c>
      <c r="N410" s="56" t="s">
        <v>478</v>
      </c>
      <c r="O410">
        <v>1</v>
      </c>
      <c r="P410" s="59">
        <v>1.6</v>
      </c>
    </row>
    <row r="411" spans="1:16" x14ac:dyDescent="0.25">
      <c r="A411">
        <v>7221</v>
      </c>
      <c r="B411">
        <v>7221</v>
      </c>
      <c r="C411" s="56" t="s">
        <v>1490</v>
      </c>
      <c r="D411" s="56" t="s">
        <v>1476</v>
      </c>
      <c r="E411" s="56" t="s">
        <v>1476</v>
      </c>
      <c r="F411" s="56" t="s">
        <v>570</v>
      </c>
      <c r="G411">
        <v>0.39410000000000001</v>
      </c>
      <c r="H411" s="56" t="s">
        <v>571</v>
      </c>
      <c r="I411" s="56" t="s">
        <v>1491</v>
      </c>
      <c r="J411">
        <v>0</v>
      </c>
      <c r="K411">
        <v>0</v>
      </c>
      <c r="L411">
        <v>12</v>
      </c>
      <c r="M411">
        <v>7221</v>
      </c>
      <c r="N411" s="56" t="s">
        <v>480</v>
      </c>
      <c r="O411">
        <v>1</v>
      </c>
      <c r="P411" s="59">
        <v>1.6</v>
      </c>
    </row>
    <row r="412" spans="1:16" x14ac:dyDescent="0.25">
      <c r="A412">
        <v>7241</v>
      </c>
      <c r="B412">
        <v>7241</v>
      </c>
      <c r="C412" s="56" t="s">
        <v>1495</v>
      </c>
      <c r="D412" s="56" t="s">
        <v>1476</v>
      </c>
      <c r="E412" s="56" t="s">
        <v>1476</v>
      </c>
      <c r="F412" s="56" t="s">
        <v>570</v>
      </c>
      <c r="G412">
        <v>1.02</v>
      </c>
      <c r="H412" s="56" t="s">
        <v>571</v>
      </c>
      <c r="I412" s="56" t="s">
        <v>1496</v>
      </c>
      <c r="J412">
        <v>0</v>
      </c>
      <c r="K412">
        <v>0</v>
      </c>
      <c r="L412">
        <v>12</v>
      </c>
      <c r="M412">
        <v>7241</v>
      </c>
      <c r="N412" s="56" t="s">
        <v>483</v>
      </c>
      <c r="O412">
        <v>1</v>
      </c>
      <c r="P412" s="59">
        <v>3</v>
      </c>
    </row>
    <row r="413" spans="1:16" x14ac:dyDescent="0.25">
      <c r="A413">
        <v>7244</v>
      </c>
      <c r="B413">
        <v>7244</v>
      </c>
      <c r="C413" s="56" t="s">
        <v>1492</v>
      </c>
      <c r="D413" s="56" t="s">
        <v>1476</v>
      </c>
      <c r="E413" s="56" t="s">
        <v>1476</v>
      </c>
      <c r="F413" s="56" t="s">
        <v>570</v>
      </c>
      <c r="G413">
        <v>0.66190000000000004</v>
      </c>
      <c r="H413" s="56" t="s">
        <v>1227</v>
      </c>
      <c r="I413" s="56" t="s">
        <v>1493</v>
      </c>
      <c r="J413">
        <v>0</v>
      </c>
      <c r="K413">
        <v>0</v>
      </c>
      <c r="L413">
        <v>36</v>
      </c>
      <c r="M413">
        <v>7244</v>
      </c>
      <c r="N413" s="56" t="s">
        <v>1494</v>
      </c>
      <c r="O413">
        <v>1</v>
      </c>
      <c r="P413" s="59">
        <v>2.2999999999999998</v>
      </c>
    </row>
    <row r="414" spans="1:16" x14ac:dyDescent="0.25">
      <c r="A414">
        <v>7260</v>
      </c>
      <c r="B414">
        <v>7260</v>
      </c>
      <c r="C414" s="56" t="s">
        <v>1497</v>
      </c>
      <c r="D414" s="56" t="s">
        <v>1498</v>
      </c>
      <c r="E414" s="56" t="s">
        <v>1498</v>
      </c>
      <c r="F414" s="56" t="s">
        <v>570</v>
      </c>
      <c r="G414">
        <v>0.57999999999999996</v>
      </c>
      <c r="H414" s="56" t="s">
        <v>571</v>
      </c>
      <c r="I414" s="56" t="s">
        <v>1499</v>
      </c>
      <c r="J414">
        <v>0</v>
      </c>
      <c r="K414">
        <v>0</v>
      </c>
      <c r="L414">
        <v>30</v>
      </c>
      <c r="M414">
        <v>7260</v>
      </c>
      <c r="N414" s="56" t="s">
        <v>448</v>
      </c>
      <c r="O414">
        <v>1</v>
      </c>
      <c r="P414" s="59">
        <v>1.85</v>
      </c>
    </row>
    <row r="415" spans="1:16" x14ac:dyDescent="0.25">
      <c r="A415">
        <v>7261</v>
      </c>
      <c r="B415">
        <v>7261</v>
      </c>
      <c r="C415" s="56" t="s">
        <v>1500</v>
      </c>
      <c r="D415" s="56" t="s">
        <v>1498</v>
      </c>
      <c r="E415" s="56" t="s">
        <v>1498</v>
      </c>
      <c r="F415" s="56" t="s">
        <v>570</v>
      </c>
      <c r="G415">
        <v>0.49390000000000001</v>
      </c>
      <c r="H415" s="56" t="s">
        <v>1227</v>
      </c>
      <c r="I415" s="56" t="s">
        <v>1501</v>
      </c>
      <c r="J415">
        <v>0</v>
      </c>
      <c r="K415">
        <v>0</v>
      </c>
      <c r="L415">
        <v>28</v>
      </c>
      <c r="M415">
        <v>7261</v>
      </c>
      <c r="N415" s="56" t="s">
        <v>451</v>
      </c>
      <c r="O415">
        <v>1</v>
      </c>
      <c r="P415" s="59">
        <v>1.3</v>
      </c>
    </row>
    <row r="416" spans="1:16" x14ac:dyDescent="0.25">
      <c r="A416">
        <v>7262</v>
      </c>
      <c r="B416">
        <v>7262</v>
      </c>
      <c r="C416" s="56" t="s">
        <v>1502</v>
      </c>
      <c r="D416" s="56" t="s">
        <v>1476</v>
      </c>
      <c r="E416" s="56" t="s">
        <v>1476</v>
      </c>
      <c r="F416" s="56" t="s">
        <v>570</v>
      </c>
      <c r="G416">
        <v>0.49709999999999999</v>
      </c>
      <c r="H416" s="56" t="s">
        <v>1227</v>
      </c>
      <c r="I416" s="56" t="s">
        <v>1503</v>
      </c>
      <c r="J416">
        <v>0</v>
      </c>
      <c r="K416">
        <v>0</v>
      </c>
      <c r="L416">
        <v>96</v>
      </c>
      <c r="M416">
        <v>7262</v>
      </c>
      <c r="N416" s="56" t="s">
        <v>512</v>
      </c>
      <c r="O416">
        <v>1</v>
      </c>
      <c r="P416" s="59">
        <v>1.6</v>
      </c>
    </row>
    <row r="417" spans="1:16" x14ac:dyDescent="0.25">
      <c r="A417">
        <v>7263</v>
      </c>
      <c r="B417">
        <v>7263</v>
      </c>
      <c r="C417" s="56" t="s">
        <v>1504</v>
      </c>
      <c r="D417" s="56" t="s">
        <v>1476</v>
      </c>
      <c r="E417" s="56" t="s">
        <v>1476</v>
      </c>
      <c r="F417" s="56" t="s">
        <v>570</v>
      </c>
      <c r="G417">
        <v>0.56869999999999998</v>
      </c>
      <c r="H417" s="56" t="s">
        <v>1227</v>
      </c>
      <c r="I417" s="56" t="s">
        <v>1505</v>
      </c>
      <c r="J417">
        <v>0</v>
      </c>
      <c r="K417">
        <v>0</v>
      </c>
      <c r="L417">
        <v>48</v>
      </c>
      <c r="M417">
        <v>7263</v>
      </c>
      <c r="N417" s="56" t="s">
        <v>514</v>
      </c>
      <c r="O417">
        <v>1</v>
      </c>
      <c r="P417" s="59">
        <v>1.65</v>
      </c>
    </row>
    <row r="418" spans="1:16" x14ac:dyDescent="0.25">
      <c r="A418">
        <v>7300</v>
      </c>
      <c r="B418">
        <v>7300</v>
      </c>
      <c r="C418" s="56" t="s">
        <v>1506</v>
      </c>
      <c r="D418" s="56" t="s">
        <v>1507</v>
      </c>
      <c r="E418" s="56" t="s">
        <v>1507</v>
      </c>
      <c r="F418" s="56" t="s">
        <v>570</v>
      </c>
      <c r="G418">
        <v>0.62139999999999995</v>
      </c>
      <c r="H418" s="56" t="s">
        <v>1227</v>
      </c>
      <c r="I418" s="56" t="s">
        <v>1508</v>
      </c>
      <c r="J418">
        <v>0</v>
      </c>
      <c r="K418">
        <v>0</v>
      </c>
      <c r="L418">
        <v>48</v>
      </c>
      <c r="M418">
        <v>7300</v>
      </c>
      <c r="N418" s="56" t="s">
        <v>459</v>
      </c>
      <c r="O418">
        <v>1</v>
      </c>
      <c r="P418" s="59">
        <v>1.75</v>
      </c>
    </row>
    <row r="419" spans="1:16" x14ac:dyDescent="0.25">
      <c r="A419">
        <v>7301</v>
      </c>
      <c r="B419">
        <v>7301</v>
      </c>
      <c r="C419" s="56" t="s">
        <v>1509</v>
      </c>
      <c r="D419" s="56" t="s">
        <v>1507</v>
      </c>
      <c r="E419" s="56" t="s">
        <v>1507</v>
      </c>
      <c r="F419" s="56" t="s">
        <v>570</v>
      </c>
      <c r="G419">
        <v>0.55369999999999997</v>
      </c>
      <c r="H419" s="56" t="s">
        <v>1227</v>
      </c>
      <c r="I419" s="56" t="s">
        <v>1510</v>
      </c>
      <c r="J419">
        <v>0</v>
      </c>
      <c r="K419">
        <v>0</v>
      </c>
      <c r="L419">
        <v>48</v>
      </c>
      <c r="M419">
        <v>7301</v>
      </c>
      <c r="N419" s="56" t="s">
        <v>462</v>
      </c>
      <c r="O419">
        <v>1</v>
      </c>
      <c r="P419" s="59">
        <v>1.75</v>
      </c>
    </row>
    <row r="420" spans="1:16" x14ac:dyDescent="0.25">
      <c r="A420">
        <v>7302</v>
      </c>
      <c r="B420">
        <v>7302</v>
      </c>
      <c r="C420" s="56" t="s">
        <v>1511</v>
      </c>
      <c r="D420" s="56" t="s">
        <v>1507</v>
      </c>
      <c r="E420" s="56" t="s">
        <v>1507</v>
      </c>
      <c r="F420" s="56" t="s">
        <v>570</v>
      </c>
      <c r="G420">
        <v>0.61329999999999996</v>
      </c>
      <c r="H420" s="56" t="s">
        <v>1227</v>
      </c>
      <c r="I420" s="56" t="s">
        <v>1512</v>
      </c>
      <c r="J420">
        <v>0</v>
      </c>
      <c r="K420">
        <v>0</v>
      </c>
      <c r="L420">
        <v>36</v>
      </c>
      <c r="M420">
        <v>7302</v>
      </c>
      <c r="N420" s="56" t="s">
        <v>465</v>
      </c>
      <c r="O420">
        <v>1</v>
      </c>
      <c r="P420" s="59">
        <v>1.95</v>
      </c>
    </row>
    <row r="421" spans="1:16" x14ac:dyDescent="0.25">
      <c r="A421">
        <v>7303</v>
      </c>
      <c r="B421">
        <v>7303</v>
      </c>
      <c r="C421" s="56" t="s">
        <v>1513</v>
      </c>
      <c r="D421" s="56" t="s">
        <v>1507</v>
      </c>
      <c r="E421" s="56" t="s">
        <v>1507</v>
      </c>
      <c r="F421" s="56" t="s">
        <v>570</v>
      </c>
      <c r="G421">
        <v>0.56499999999999995</v>
      </c>
      <c r="H421" s="56" t="s">
        <v>1227</v>
      </c>
      <c r="I421" s="56" t="s">
        <v>1514</v>
      </c>
      <c r="J421">
        <v>0</v>
      </c>
      <c r="K421">
        <v>0</v>
      </c>
      <c r="L421">
        <v>54</v>
      </c>
      <c r="M421">
        <v>7303</v>
      </c>
      <c r="N421" s="56" t="s">
        <v>468</v>
      </c>
      <c r="O421">
        <v>1</v>
      </c>
      <c r="P421" s="59">
        <v>2.1</v>
      </c>
    </row>
    <row r="422" spans="1:16" x14ac:dyDescent="0.25">
      <c r="A422">
        <v>7304</v>
      </c>
      <c r="B422">
        <v>7304</v>
      </c>
      <c r="C422" s="56" t="s">
        <v>1515</v>
      </c>
      <c r="D422" s="56" t="s">
        <v>1507</v>
      </c>
      <c r="E422" s="56" t="s">
        <v>1507</v>
      </c>
      <c r="F422" s="56" t="s">
        <v>570</v>
      </c>
      <c r="G422">
        <v>0.56499999999999995</v>
      </c>
      <c r="H422" s="56" t="s">
        <v>1227</v>
      </c>
      <c r="I422" s="56" t="s">
        <v>1516</v>
      </c>
      <c r="J422">
        <v>0</v>
      </c>
      <c r="K422">
        <v>0</v>
      </c>
      <c r="L422">
        <v>54</v>
      </c>
      <c r="M422">
        <v>7304</v>
      </c>
      <c r="N422" s="56" t="s">
        <v>471</v>
      </c>
      <c r="O422">
        <v>1</v>
      </c>
      <c r="P422" s="59">
        <v>2.1</v>
      </c>
    </row>
    <row r="423" spans="1:16" x14ac:dyDescent="0.25">
      <c r="A423">
        <v>7305</v>
      </c>
      <c r="B423">
        <v>7305</v>
      </c>
      <c r="C423" s="56" t="s">
        <v>1517</v>
      </c>
      <c r="D423" s="56" t="s">
        <v>1507</v>
      </c>
      <c r="E423" s="56" t="s">
        <v>1507</v>
      </c>
      <c r="F423" s="56" t="s">
        <v>570</v>
      </c>
      <c r="G423">
        <v>0.5877</v>
      </c>
      <c r="H423" s="56" t="s">
        <v>1227</v>
      </c>
      <c r="I423" s="56" t="s">
        <v>1518</v>
      </c>
      <c r="J423">
        <v>0</v>
      </c>
      <c r="K423">
        <v>0</v>
      </c>
      <c r="L423">
        <v>48</v>
      </c>
      <c r="M423">
        <v>7305</v>
      </c>
      <c r="N423" s="56" t="s">
        <v>474</v>
      </c>
      <c r="O423">
        <v>1</v>
      </c>
      <c r="P423" s="59">
        <v>2.0499999999999998</v>
      </c>
    </row>
    <row r="424" spans="1:16" x14ac:dyDescent="0.25">
      <c r="A424">
        <v>7320</v>
      </c>
      <c r="B424">
        <v>7320</v>
      </c>
      <c r="C424" s="56" t="s">
        <v>1519</v>
      </c>
      <c r="D424" s="56" t="s">
        <v>1507</v>
      </c>
      <c r="E424" s="56" t="s">
        <v>1507</v>
      </c>
      <c r="F424" s="56" t="s">
        <v>570</v>
      </c>
      <c r="G424">
        <v>0.5877</v>
      </c>
      <c r="H424" s="56" t="s">
        <v>1227</v>
      </c>
      <c r="I424" s="56" t="s">
        <v>1520</v>
      </c>
      <c r="J424">
        <v>0</v>
      </c>
      <c r="K424">
        <v>0</v>
      </c>
      <c r="L424">
        <v>36</v>
      </c>
      <c r="M424">
        <v>7320</v>
      </c>
      <c r="N424" s="56" t="s">
        <v>477</v>
      </c>
      <c r="O424">
        <v>1</v>
      </c>
      <c r="P424" s="59">
        <v>1.85</v>
      </c>
    </row>
    <row r="425" spans="1:16" x14ac:dyDescent="0.25">
      <c r="A425">
        <v>7326</v>
      </c>
      <c r="B425">
        <v>7326</v>
      </c>
      <c r="C425" s="56" t="s">
        <v>1521</v>
      </c>
      <c r="D425" s="56" t="s">
        <v>1507</v>
      </c>
      <c r="E425" s="56" t="s">
        <v>1507</v>
      </c>
      <c r="F425" s="56" t="s">
        <v>570</v>
      </c>
      <c r="G425">
        <v>1.3794999999999999</v>
      </c>
      <c r="H425" s="56" t="s">
        <v>1227</v>
      </c>
      <c r="I425" s="56" t="s">
        <v>1522</v>
      </c>
      <c r="J425">
        <v>0</v>
      </c>
      <c r="K425">
        <v>0</v>
      </c>
      <c r="L425">
        <v>24</v>
      </c>
      <c r="M425">
        <v>7326</v>
      </c>
      <c r="N425" s="56" t="s">
        <v>485</v>
      </c>
      <c r="O425">
        <v>1</v>
      </c>
      <c r="P425" s="59">
        <v>4.8</v>
      </c>
    </row>
    <row r="426" spans="1:16" x14ac:dyDescent="0.25">
      <c r="A426">
        <v>7327</v>
      </c>
      <c r="B426">
        <v>7327</v>
      </c>
      <c r="C426" s="56" t="s">
        <v>1727</v>
      </c>
      <c r="D426" s="56" t="s">
        <v>1507</v>
      </c>
      <c r="E426" s="56" t="s">
        <v>1507</v>
      </c>
      <c r="F426" s="56" t="s">
        <v>570</v>
      </c>
      <c r="G426">
        <v>0.62190000000000001</v>
      </c>
      <c r="H426" s="56" t="s">
        <v>1227</v>
      </c>
      <c r="I426" s="56" t="s">
        <v>1728</v>
      </c>
      <c r="J426">
        <v>0</v>
      </c>
      <c r="K426">
        <v>0</v>
      </c>
      <c r="L426">
        <v>36</v>
      </c>
      <c r="M426">
        <v>7327</v>
      </c>
      <c r="N426" s="56" t="s">
        <v>1729</v>
      </c>
      <c r="O426">
        <v>1</v>
      </c>
      <c r="P426" s="59">
        <v>1.85</v>
      </c>
    </row>
    <row r="427" spans="1:16" x14ac:dyDescent="0.25">
      <c r="A427">
        <v>7329</v>
      </c>
      <c r="B427">
        <v>7329</v>
      </c>
      <c r="C427" s="56" t="s">
        <v>1730</v>
      </c>
      <c r="D427" s="56" t="s">
        <v>1507</v>
      </c>
      <c r="E427" s="56" t="s">
        <v>1507</v>
      </c>
      <c r="F427" s="56" t="s">
        <v>570</v>
      </c>
      <c r="G427">
        <v>0.59889999999999999</v>
      </c>
      <c r="H427" s="56" t="s">
        <v>1227</v>
      </c>
      <c r="I427" s="56" t="s">
        <v>1731</v>
      </c>
      <c r="J427">
        <v>0</v>
      </c>
      <c r="K427">
        <v>0</v>
      </c>
      <c r="L427">
        <v>48</v>
      </c>
      <c r="M427">
        <v>7329</v>
      </c>
      <c r="N427" s="56" t="s">
        <v>1732</v>
      </c>
      <c r="O427">
        <v>1</v>
      </c>
      <c r="P427" s="59">
        <v>2.35</v>
      </c>
    </row>
    <row r="428" spans="1:16" x14ac:dyDescent="0.25">
      <c r="A428">
        <v>7340</v>
      </c>
      <c r="B428">
        <v>7340</v>
      </c>
      <c r="C428" s="56" t="s">
        <v>1523</v>
      </c>
      <c r="D428" s="56" t="s">
        <v>1507</v>
      </c>
      <c r="E428" s="56" t="s">
        <v>1507</v>
      </c>
      <c r="F428" s="56" t="s">
        <v>570</v>
      </c>
      <c r="G428">
        <v>0.55940000000000001</v>
      </c>
      <c r="H428" s="56" t="s">
        <v>1227</v>
      </c>
      <c r="I428" s="56" t="s">
        <v>1524</v>
      </c>
      <c r="J428">
        <v>0</v>
      </c>
      <c r="K428">
        <v>0</v>
      </c>
      <c r="L428">
        <v>72</v>
      </c>
      <c r="M428">
        <v>7340</v>
      </c>
      <c r="N428" s="56" t="s">
        <v>487</v>
      </c>
      <c r="O428">
        <v>1</v>
      </c>
      <c r="P428" s="59">
        <v>1.85</v>
      </c>
    </row>
    <row r="429" spans="1:16" x14ac:dyDescent="0.25">
      <c r="A429">
        <v>7341</v>
      </c>
      <c r="B429">
        <v>7341</v>
      </c>
      <c r="C429" s="56" t="s">
        <v>1525</v>
      </c>
      <c r="D429" s="56" t="s">
        <v>1507</v>
      </c>
      <c r="E429" s="56" t="s">
        <v>1507</v>
      </c>
      <c r="F429" s="56" t="s">
        <v>570</v>
      </c>
      <c r="G429">
        <v>0.5706</v>
      </c>
      <c r="H429" s="56" t="s">
        <v>1227</v>
      </c>
      <c r="I429" s="56" t="s">
        <v>1526</v>
      </c>
      <c r="J429">
        <v>0</v>
      </c>
      <c r="K429">
        <v>0</v>
      </c>
      <c r="L429">
        <v>48</v>
      </c>
      <c r="M429">
        <v>7341</v>
      </c>
      <c r="N429" s="56" t="s">
        <v>490</v>
      </c>
      <c r="O429">
        <v>1</v>
      </c>
      <c r="P429" s="59">
        <v>1.85</v>
      </c>
    </row>
    <row r="430" spans="1:16" x14ac:dyDescent="0.25">
      <c r="A430">
        <v>7342</v>
      </c>
      <c r="B430">
        <v>7342</v>
      </c>
      <c r="C430" s="56" t="s">
        <v>1527</v>
      </c>
      <c r="D430" s="56" t="s">
        <v>1507</v>
      </c>
      <c r="E430" s="56" t="s">
        <v>1507</v>
      </c>
      <c r="F430" s="56" t="s">
        <v>570</v>
      </c>
      <c r="G430">
        <v>0.6</v>
      </c>
      <c r="H430" s="56" t="s">
        <v>571</v>
      </c>
      <c r="I430" s="56" t="s">
        <v>1528</v>
      </c>
      <c r="J430">
        <v>0</v>
      </c>
      <c r="K430">
        <v>0</v>
      </c>
      <c r="L430">
        <v>72</v>
      </c>
      <c r="M430">
        <v>7342</v>
      </c>
      <c r="N430" s="56" t="s">
        <v>1529</v>
      </c>
      <c r="O430">
        <v>1</v>
      </c>
      <c r="P430" s="59">
        <v>1.85</v>
      </c>
    </row>
    <row r="431" spans="1:16" x14ac:dyDescent="0.25">
      <c r="A431">
        <v>7350</v>
      </c>
      <c r="B431">
        <v>7350</v>
      </c>
      <c r="C431" s="56" t="s">
        <v>1530</v>
      </c>
      <c r="D431" s="56" t="s">
        <v>1507</v>
      </c>
      <c r="E431" s="56" t="s">
        <v>1507</v>
      </c>
      <c r="F431" s="56" t="s">
        <v>570</v>
      </c>
      <c r="G431">
        <v>0.67810000000000004</v>
      </c>
      <c r="H431" s="56" t="s">
        <v>1227</v>
      </c>
      <c r="I431" s="56" t="s">
        <v>1531</v>
      </c>
      <c r="J431">
        <v>0</v>
      </c>
      <c r="K431">
        <v>0</v>
      </c>
      <c r="L431">
        <v>48</v>
      </c>
      <c r="M431">
        <v>7350</v>
      </c>
      <c r="N431" s="56" t="s">
        <v>495</v>
      </c>
      <c r="O431">
        <v>1</v>
      </c>
      <c r="P431" s="59">
        <v>2</v>
      </c>
    </row>
    <row r="432" spans="1:16" x14ac:dyDescent="0.25">
      <c r="A432">
        <v>7360</v>
      </c>
      <c r="B432">
        <v>7360</v>
      </c>
      <c r="C432" s="56" t="s">
        <v>1532</v>
      </c>
      <c r="D432" s="56" t="s">
        <v>1476</v>
      </c>
      <c r="E432" s="56" t="s">
        <v>1476</v>
      </c>
      <c r="F432" s="56" t="s">
        <v>570</v>
      </c>
      <c r="G432">
        <v>0.46289999999999998</v>
      </c>
      <c r="H432" s="56" t="s">
        <v>1416</v>
      </c>
      <c r="I432" s="56" t="s">
        <v>1533</v>
      </c>
      <c r="J432">
        <v>0</v>
      </c>
      <c r="K432">
        <v>0</v>
      </c>
      <c r="L432">
        <v>81</v>
      </c>
      <c r="M432">
        <v>7360</v>
      </c>
      <c r="N432" s="56" t="s">
        <v>498</v>
      </c>
      <c r="O432">
        <v>1</v>
      </c>
      <c r="P432" s="59">
        <v>1.4</v>
      </c>
    </row>
    <row r="433" spans="1:16" x14ac:dyDescent="0.25">
      <c r="A433">
        <v>7361</v>
      </c>
      <c r="B433">
        <v>7361</v>
      </c>
      <c r="C433" s="56" t="s">
        <v>1534</v>
      </c>
      <c r="D433" s="56" t="s">
        <v>1476</v>
      </c>
      <c r="E433" s="56" t="s">
        <v>1476</v>
      </c>
      <c r="F433" s="56" t="s">
        <v>570</v>
      </c>
      <c r="G433">
        <v>0.42</v>
      </c>
      <c r="H433" s="56" t="s">
        <v>1416</v>
      </c>
      <c r="I433" s="56" t="s">
        <v>1535</v>
      </c>
      <c r="J433">
        <v>0</v>
      </c>
      <c r="K433">
        <v>0</v>
      </c>
      <c r="L433">
        <v>54</v>
      </c>
      <c r="M433">
        <v>7361</v>
      </c>
      <c r="N433" s="56" t="s">
        <v>501</v>
      </c>
      <c r="O433">
        <v>1</v>
      </c>
      <c r="P433" s="59">
        <v>1.4</v>
      </c>
    </row>
    <row r="434" spans="1:16" x14ac:dyDescent="0.25">
      <c r="A434">
        <v>7362</v>
      </c>
      <c r="B434">
        <v>7362</v>
      </c>
      <c r="C434" s="56" t="s">
        <v>1536</v>
      </c>
      <c r="D434" s="56" t="s">
        <v>1476</v>
      </c>
      <c r="E434" s="56" t="s">
        <v>1476</v>
      </c>
      <c r="F434" s="56" t="s">
        <v>570</v>
      </c>
      <c r="G434">
        <v>0.46110000000000001</v>
      </c>
      <c r="H434" s="56" t="s">
        <v>1416</v>
      </c>
      <c r="I434" s="56" t="s">
        <v>1537</v>
      </c>
      <c r="J434">
        <v>0</v>
      </c>
      <c r="K434">
        <v>0</v>
      </c>
      <c r="L434">
        <v>54</v>
      </c>
      <c r="M434">
        <v>7362</v>
      </c>
      <c r="N434" s="56" t="s">
        <v>504</v>
      </c>
      <c r="O434">
        <v>1</v>
      </c>
      <c r="P434" s="59">
        <v>1.4</v>
      </c>
    </row>
    <row r="435" spans="1:16" x14ac:dyDescent="0.25">
      <c r="A435">
        <v>7363</v>
      </c>
      <c r="B435">
        <v>7363</v>
      </c>
      <c r="C435" s="56" t="s">
        <v>1538</v>
      </c>
      <c r="D435" s="56" t="s">
        <v>1291</v>
      </c>
      <c r="E435" s="56" t="s">
        <v>1291</v>
      </c>
      <c r="F435" s="56" t="s">
        <v>570</v>
      </c>
      <c r="G435">
        <v>0.38</v>
      </c>
      <c r="H435" s="56" t="s">
        <v>571</v>
      </c>
      <c r="I435" s="56" t="s">
        <v>1539</v>
      </c>
      <c r="J435">
        <v>0</v>
      </c>
      <c r="K435">
        <v>0</v>
      </c>
      <c r="L435">
        <v>54</v>
      </c>
      <c r="M435">
        <v>7363</v>
      </c>
      <c r="N435" s="56" t="s">
        <v>507</v>
      </c>
      <c r="O435">
        <v>1</v>
      </c>
      <c r="P435" s="59">
        <v>1.4</v>
      </c>
    </row>
    <row r="436" spans="1:16" x14ac:dyDescent="0.25">
      <c r="A436">
        <v>7371</v>
      </c>
      <c r="B436">
        <v>7371</v>
      </c>
      <c r="C436" s="56" t="s">
        <v>1540</v>
      </c>
      <c r="D436" s="56" t="s">
        <v>1507</v>
      </c>
      <c r="E436" s="56" t="s">
        <v>1507</v>
      </c>
      <c r="F436" s="56" t="s">
        <v>570</v>
      </c>
      <c r="G436">
        <v>0.56000000000000005</v>
      </c>
      <c r="H436" s="56" t="s">
        <v>571</v>
      </c>
      <c r="I436" s="56" t="s">
        <v>1541</v>
      </c>
      <c r="J436">
        <v>0</v>
      </c>
      <c r="K436">
        <v>0</v>
      </c>
      <c r="L436">
        <v>81</v>
      </c>
      <c r="M436">
        <v>7371</v>
      </c>
      <c r="N436" s="56" t="s">
        <v>509</v>
      </c>
      <c r="O436">
        <v>1</v>
      </c>
      <c r="P436" s="59">
        <v>2</v>
      </c>
    </row>
    <row r="437" spans="1:16" x14ac:dyDescent="0.25">
      <c r="A437">
        <v>7375</v>
      </c>
      <c r="B437">
        <v>7375</v>
      </c>
      <c r="C437" s="56" t="s">
        <v>1542</v>
      </c>
      <c r="D437" s="56" t="s">
        <v>1507</v>
      </c>
      <c r="E437" s="56" t="s">
        <v>1507</v>
      </c>
      <c r="F437" s="56" t="s">
        <v>570</v>
      </c>
      <c r="G437">
        <v>0.43290000000000001</v>
      </c>
      <c r="H437" s="56" t="s">
        <v>1416</v>
      </c>
      <c r="I437" s="56" t="s">
        <v>1543</v>
      </c>
      <c r="J437">
        <v>0</v>
      </c>
      <c r="K437">
        <v>0</v>
      </c>
      <c r="L437">
        <v>54</v>
      </c>
      <c r="M437">
        <v>7375</v>
      </c>
      <c r="N437" s="56" t="s">
        <v>1544</v>
      </c>
      <c r="O437">
        <v>1</v>
      </c>
      <c r="P437" s="59">
        <v>2</v>
      </c>
    </row>
    <row r="438" spans="1:16" x14ac:dyDescent="0.25">
      <c r="A438">
        <v>7400</v>
      </c>
      <c r="B438">
        <v>7400</v>
      </c>
      <c r="C438" s="56" t="s">
        <v>1545</v>
      </c>
      <c r="D438" s="56" t="s">
        <v>1546</v>
      </c>
      <c r="E438" s="56" t="s">
        <v>1546</v>
      </c>
      <c r="F438" s="56" t="s">
        <v>570</v>
      </c>
      <c r="G438">
        <v>0.68920000000000003</v>
      </c>
      <c r="H438" s="56" t="s">
        <v>1227</v>
      </c>
      <c r="I438" s="56" t="s">
        <v>1547</v>
      </c>
      <c r="J438">
        <v>0</v>
      </c>
      <c r="K438">
        <v>0</v>
      </c>
      <c r="L438">
        <v>48</v>
      </c>
      <c r="M438">
        <v>7400</v>
      </c>
      <c r="N438" s="56" t="s">
        <v>491</v>
      </c>
      <c r="O438">
        <v>1</v>
      </c>
      <c r="P438" s="59">
        <v>2.25</v>
      </c>
    </row>
    <row r="439" spans="1:16" x14ac:dyDescent="0.25">
      <c r="A439">
        <v>7401</v>
      </c>
      <c r="B439">
        <v>7401</v>
      </c>
      <c r="C439" s="56" t="s">
        <v>1548</v>
      </c>
      <c r="D439" s="56" t="s">
        <v>1546</v>
      </c>
      <c r="E439" s="56" t="s">
        <v>1546</v>
      </c>
      <c r="F439" s="56" t="s">
        <v>570</v>
      </c>
      <c r="G439">
        <v>0.73909999999999998</v>
      </c>
      <c r="H439" s="56" t="s">
        <v>1227</v>
      </c>
      <c r="I439" s="56" t="s">
        <v>1549</v>
      </c>
      <c r="J439">
        <v>0</v>
      </c>
      <c r="K439">
        <v>0</v>
      </c>
      <c r="L439">
        <v>36</v>
      </c>
      <c r="M439">
        <v>7401</v>
      </c>
      <c r="N439" s="56" t="s">
        <v>493</v>
      </c>
      <c r="O439">
        <v>1</v>
      </c>
      <c r="P439" s="59">
        <v>2.25</v>
      </c>
    </row>
    <row r="440" spans="1:16" x14ac:dyDescent="0.25">
      <c r="A440">
        <v>7402</v>
      </c>
      <c r="B440">
        <v>7402</v>
      </c>
      <c r="C440" s="56" t="s">
        <v>1550</v>
      </c>
      <c r="D440" s="56" t="s">
        <v>1546</v>
      </c>
      <c r="E440" s="56" t="s">
        <v>1546</v>
      </c>
      <c r="F440" s="56" t="s">
        <v>570</v>
      </c>
      <c r="G440">
        <v>0.70399999999999996</v>
      </c>
      <c r="H440" s="56" t="s">
        <v>1227</v>
      </c>
      <c r="I440" s="56" t="s">
        <v>1551</v>
      </c>
      <c r="J440">
        <v>0</v>
      </c>
      <c r="K440">
        <v>0</v>
      </c>
      <c r="L440">
        <v>36</v>
      </c>
      <c r="M440">
        <v>7402</v>
      </c>
      <c r="N440" s="56" t="s">
        <v>496</v>
      </c>
      <c r="O440">
        <v>1</v>
      </c>
      <c r="P440" s="59">
        <v>2.25</v>
      </c>
    </row>
    <row r="441" spans="1:16" x14ac:dyDescent="0.25">
      <c r="A441">
        <v>7403</v>
      </c>
      <c r="B441">
        <v>7403</v>
      </c>
      <c r="C441" s="56" t="s">
        <v>1552</v>
      </c>
      <c r="D441" s="56" t="s">
        <v>1546</v>
      </c>
      <c r="E441" s="56" t="s">
        <v>1546</v>
      </c>
      <c r="F441" s="56" t="s">
        <v>570</v>
      </c>
      <c r="G441">
        <v>0.7238</v>
      </c>
      <c r="H441" s="56" t="s">
        <v>1227</v>
      </c>
      <c r="I441" s="56" t="s">
        <v>1553</v>
      </c>
      <c r="J441">
        <v>0</v>
      </c>
      <c r="K441">
        <v>0</v>
      </c>
      <c r="L441">
        <v>36</v>
      </c>
      <c r="M441">
        <v>7403</v>
      </c>
      <c r="N441" s="56" t="s">
        <v>499</v>
      </c>
      <c r="O441">
        <v>1</v>
      </c>
      <c r="P441" s="59">
        <v>2.25</v>
      </c>
    </row>
    <row r="442" spans="1:16" x14ac:dyDescent="0.25">
      <c r="A442">
        <v>7404</v>
      </c>
      <c r="B442">
        <v>7404</v>
      </c>
      <c r="C442" s="56" t="s">
        <v>1554</v>
      </c>
      <c r="D442" s="56" t="s">
        <v>1546</v>
      </c>
      <c r="E442" s="56" t="s">
        <v>1546</v>
      </c>
      <c r="F442" s="56" t="s">
        <v>570</v>
      </c>
      <c r="G442">
        <v>0.7</v>
      </c>
      <c r="H442" s="56" t="s">
        <v>1227</v>
      </c>
      <c r="I442" s="56" t="s">
        <v>1555</v>
      </c>
      <c r="J442">
        <v>0</v>
      </c>
      <c r="K442">
        <v>0</v>
      </c>
      <c r="L442">
        <v>36</v>
      </c>
      <c r="M442">
        <v>7404</v>
      </c>
      <c r="N442" s="56" t="s">
        <v>502</v>
      </c>
      <c r="O442">
        <v>1</v>
      </c>
      <c r="P442" s="59">
        <v>2.25</v>
      </c>
    </row>
    <row r="443" spans="1:16" x14ac:dyDescent="0.25">
      <c r="A443">
        <v>7405</v>
      </c>
      <c r="B443">
        <v>7405</v>
      </c>
      <c r="C443" s="56" t="s">
        <v>1556</v>
      </c>
      <c r="D443" s="56" t="s">
        <v>1546</v>
      </c>
      <c r="E443" s="56" t="s">
        <v>1546</v>
      </c>
      <c r="F443" s="56" t="s">
        <v>570</v>
      </c>
      <c r="G443">
        <v>0.68930000000000002</v>
      </c>
      <c r="H443" s="56" t="s">
        <v>1227</v>
      </c>
      <c r="I443" s="56" t="s">
        <v>1557</v>
      </c>
      <c r="J443">
        <v>0</v>
      </c>
      <c r="K443">
        <v>0</v>
      </c>
      <c r="L443">
        <v>36</v>
      </c>
      <c r="M443">
        <v>7405</v>
      </c>
      <c r="N443" s="56" t="s">
        <v>505</v>
      </c>
      <c r="O443">
        <v>1</v>
      </c>
      <c r="P443" s="59">
        <v>2.25</v>
      </c>
    </row>
    <row r="444" spans="1:16" x14ac:dyDescent="0.25">
      <c r="A444">
        <v>7406</v>
      </c>
      <c r="B444">
        <v>7406</v>
      </c>
      <c r="C444" s="56" t="s">
        <v>1558</v>
      </c>
      <c r="D444" s="56" t="s">
        <v>1546</v>
      </c>
      <c r="E444" s="56" t="s">
        <v>1546</v>
      </c>
      <c r="F444" s="56" t="s">
        <v>570</v>
      </c>
      <c r="G444">
        <v>0.68930000000000002</v>
      </c>
      <c r="H444" s="56" t="s">
        <v>1227</v>
      </c>
      <c r="I444" s="56" t="s">
        <v>1559</v>
      </c>
      <c r="J444">
        <v>0</v>
      </c>
      <c r="K444">
        <v>0</v>
      </c>
      <c r="L444">
        <v>24</v>
      </c>
      <c r="M444">
        <v>7406</v>
      </c>
      <c r="N444" s="56" t="s">
        <v>508</v>
      </c>
      <c r="O444">
        <v>1</v>
      </c>
      <c r="P444" s="59">
        <v>2.25</v>
      </c>
    </row>
    <row r="445" spans="1:16" x14ac:dyDescent="0.25">
      <c r="A445">
        <v>7407</v>
      </c>
      <c r="B445">
        <v>7407</v>
      </c>
      <c r="C445" s="56" t="s">
        <v>1560</v>
      </c>
      <c r="D445" s="56" t="s">
        <v>1546</v>
      </c>
      <c r="E445" s="56" t="s">
        <v>1546</v>
      </c>
      <c r="F445" s="56" t="s">
        <v>570</v>
      </c>
      <c r="G445">
        <v>0.73909999999999998</v>
      </c>
      <c r="H445" s="56" t="s">
        <v>1227</v>
      </c>
      <c r="I445" s="56" t="s">
        <v>1561</v>
      </c>
      <c r="J445">
        <v>0</v>
      </c>
      <c r="K445">
        <v>0</v>
      </c>
      <c r="L445">
        <v>36</v>
      </c>
      <c r="M445">
        <v>7407</v>
      </c>
      <c r="N445" s="56" t="s">
        <v>1562</v>
      </c>
      <c r="O445">
        <v>1</v>
      </c>
      <c r="P445" s="59">
        <v>2.25</v>
      </c>
    </row>
    <row r="446" spans="1:16" x14ac:dyDescent="0.25">
      <c r="A446">
        <v>7408</v>
      </c>
      <c r="B446">
        <v>7408</v>
      </c>
      <c r="C446" s="56" t="s">
        <v>1563</v>
      </c>
      <c r="D446" s="56" t="s">
        <v>1546</v>
      </c>
      <c r="E446" s="56" t="s">
        <v>1546</v>
      </c>
      <c r="F446" s="56" t="s">
        <v>570</v>
      </c>
      <c r="G446">
        <v>0.70020000000000004</v>
      </c>
      <c r="H446" s="56" t="s">
        <v>1227</v>
      </c>
      <c r="I446" s="56" t="s">
        <v>1564</v>
      </c>
      <c r="J446">
        <v>0</v>
      </c>
      <c r="K446">
        <v>0</v>
      </c>
      <c r="L446">
        <v>24</v>
      </c>
      <c r="M446">
        <v>7408</v>
      </c>
      <c r="N446" s="56" t="s">
        <v>510</v>
      </c>
      <c r="O446">
        <v>1</v>
      </c>
      <c r="P446" s="59">
        <v>2.25</v>
      </c>
    </row>
    <row r="447" spans="1:16" x14ac:dyDescent="0.25">
      <c r="A447">
        <v>7430</v>
      </c>
      <c r="B447">
        <v>7430</v>
      </c>
      <c r="C447" s="56" t="s">
        <v>1565</v>
      </c>
      <c r="D447" s="56" t="s">
        <v>1546</v>
      </c>
      <c r="E447" s="56" t="s">
        <v>1546</v>
      </c>
      <c r="F447" s="56" t="s">
        <v>570</v>
      </c>
      <c r="G447">
        <v>0.68920000000000003</v>
      </c>
      <c r="H447" s="56" t="s">
        <v>1227</v>
      </c>
      <c r="I447" s="56" t="s">
        <v>1566</v>
      </c>
      <c r="J447">
        <v>0</v>
      </c>
      <c r="K447">
        <v>0</v>
      </c>
      <c r="L447">
        <v>48</v>
      </c>
      <c r="M447">
        <v>7430</v>
      </c>
      <c r="N447" s="56" t="s">
        <v>511</v>
      </c>
      <c r="O447">
        <v>1</v>
      </c>
      <c r="P447" s="59">
        <v>2.25</v>
      </c>
    </row>
    <row r="448" spans="1:16" x14ac:dyDescent="0.25">
      <c r="A448">
        <v>7431</v>
      </c>
      <c r="B448">
        <v>7431</v>
      </c>
      <c r="C448" s="56" t="s">
        <v>1567</v>
      </c>
      <c r="D448" s="56" t="s">
        <v>1546</v>
      </c>
      <c r="E448" s="56" t="s">
        <v>1546</v>
      </c>
      <c r="F448" s="56" t="s">
        <v>570</v>
      </c>
      <c r="G448">
        <v>0.7238</v>
      </c>
      <c r="H448" s="56" t="s">
        <v>1227</v>
      </c>
      <c r="I448" s="56" t="s">
        <v>1568</v>
      </c>
      <c r="J448">
        <v>0</v>
      </c>
      <c r="K448">
        <v>0</v>
      </c>
      <c r="L448">
        <v>36</v>
      </c>
      <c r="M448">
        <v>7431</v>
      </c>
      <c r="N448" s="56" t="s">
        <v>513</v>
      </c>
      <c r="O448">
        <v>1</v>
      </c>
      <c r="P448" s="59">
        <v>2.25</v>
      </c>
    </row>
    <row r="449" spans="1:16" x14ac:dyDescent="0.25">
      <c r="A449">
        <v>7432</v>
      </c>
      <c r="B449">
        <v>7432</v>
      </c>
      <c r="C449" s="56" t="s">
        <v>1569</v>
      </c>
      <c r="D449" s="56" t="s">
        <v>1546</v>
      </c>
      <c r="E449" s="56" t="s">
        <v>1546</v>
      </c>
      <c r="F449" s="56" t="s">
        <v>570</v>
      </c>
      <c r="G449">
        <v>0.68940000000000001</v>
      </c>
      <c r="H449" s="56" t="s">
        <v>1227</v>
      </c>
      <c r="I449" s="56" t="s">
        <v>1570</v>
      </c>
      <c r="J449">
        <v>0</v>
      </c>
      <c r="K449">
        <v>0</v>
      </c>
      <c r="L449">
        <v>36</v>
      </c>
      <c r="M449">
        <v>7432</v>
      </c>
      <c r="N449" s="56" t="s">
        <v>515</v>
      </c>
      <c r="O449">
        <v>1</v>
      </c>
      <c r="P449" s="59">
        <v>2.25</v>
      </c>
    </row>
    <row r="450" spans="1:16" x14ac:dyDescent="0.25">
      <c r="A450">
        <v>7433</v>
      </c>
      <c r="B450">
        <v>7433</v>
      </c>
      <c r="C450" s="56" t="s">
        <v>1571</v>
      </c>
      <c r="D450" s="56" t="s">
        <v>1546</v>
      </c>
      <c r="E450" s="56" t="s">
        <v>1546</v>
      </c>
      <c r="F450" s="56" t="s">
        <v>570</v>
      </c>
      <c r="G450">
        <v>0.70379999999999998</v>
      </c>
      <c r="H450" s="56" t="s">
        <v>1227</v>
      </c>
      <c r="I450" s="56" t="s">
        <v>1572</v>
      </c>
      <c r="J450">
        <v>0</v>
      </c>
      <c r="K450">
        <v>0</v>
      </c>
      <c r="L450">
        <v>36</v>
      </c>
      <c r="M450">
        <v>7433</v>
      </c>
      <c r="N450" s="56" t="s">
        <v>1573</v>
      </c>
      <c r="O450">
        <v>1</v>
      </c>
      <c r="P450" s="59">
        <v>2.25</v>
      </c>
    </row>
    <row r="451" spans="1:16" x14ac:dyDescent="0.25">
      <c r="A451">
        <v>7500</v>
      </c>
      <c r="B451">
        <v>7500</v>
      </c>
      <c r="C451" s="56" t="s">
        <v>1574</v>
      </c>
      <c r="D451" s="56" t="s">
        <v>1546</v>
      </c>
      <c r="E451" s="56" t="s">
        <v>1546</v>
      </c>
      <c r="F451" s="56" t="s">
        <v>570</v>
      </c>
      <c r="G451">
        <v>1.1174999999999999</v>
      </c>
      <c r="H451" s="56" t="s">
        <v>1227</v>
      </c>
      <c r="I451" s="56" t="s">
        <v>1575</v>
      </c>
      <c r="J451">
        <v>0</v>
      </c>
      <c r="K451">
        <v>0</v>
      </c>
      <c r="L451">
        <v>12</v>
      </c>
      <c r="M451">
        <v>7500</v>
      </c>
      <c r="N451" s="56" t="s">
        <v>461</v>
      </c>
      <c r="O451">
        <v>1</v>
      </c>
      <c r="P451" s="59">
        <v>3.15</v>
      </c>
    </row>
    <row r="452" spans="1:16" x14ac:dyDescent="0.25">
      <c r="A452">
        <v>7502</v>
      </c>
      <c r="B452">
        <v>7502</v>
      </c>
      <c r="C452" s="56" t="s">
        <v>1576</v>
      </c>
      <c r="D452" s="56" t="s">
        <v>1546</v>
      </c>
      <c r="E452" s="56" t="s">
        <v>1546</v>
      </c>
      <c r="F452" s="56" t="s">
        <v>570</v>
      </c>
      <c r="G452">
        <v>0.65539999999999998</v>
      </c>
      <c r="H452" s="56" t="s">
        <v>1227</v>
      </c>
      <c r="I452" s="56" t="s">
        <v>1577</v>
      </c>
      <c r="J452">
        <v>0</v>
      </c>
      <c r="K452">
        <v>0</v>
      </c>
      <c r="L452">
        <v>48</v>
      </c>
      <c r="M452">
        <v>7502</v>
      </c>
      <c r="N452" s="56" t="s">
        <v>464</v>
      </c>
      <c r="O452">
        <v>1</v>
      </c>
      <c r="P452" s="59">
        <v>2.1</v>
      </c>
    </row>
    <row r="453" spans="1:16" x14ac:dyDescent="0.25">
      <c r="A453">
        <v>7503</v>
      </c>
      <c r="B453">
        <v>7503</v>
      </c>
      <c r="C453" s="56" t="s">
        <v>1578</v>
      </c>
      <c r="D453" s="56" t="s">
        <v>1546</v>
      </c>
      <c r="E453" s="56" t="s">
        <v>1546</v>
      </c>
      <c r="F453" s="56" t="s">
        <v>570</v>
      </c>
      <c r="G453">
        <v>1.1174999999999999</v>
      </c>
      <c r="H453" s="56" t="s">
        <v>1227</v>
      </c>
      <c r="I453" s="56" t="s">
        <v>1579</v>
      </c>
      <c r="J453">
        <v>0</v>
      </c>
      <c r="K453">
        <v>0</v>
      </c>
      <c r="L453">
        <v>12</v>
      </c>
      <c r="M453">
        <v>7503</v>
      </c>
      <c r="N453" s="56" t="s">
        <v>467</v>
      </c>
      <c r="O453">
        <v>1</v>
      </c>
      <c r="P453" s="59">
        <v>3.5</v>
      </c>
    </row>
    <row r="454" spans="1:16" x14ac:dyDescent="0.25">
      <c r="A454">
        <v>7504</v>
      </c>
      <c r="B454">
        <v>7504</v>
      </c>
      <c r="C454" s="56" t="s">
        <v>1580</v>
      </c>
      <c r="D454" s="56" t="s">
        <v>1546</v>
      </c>
      <c r="E454" s="56" t="s">
        <v>1546</v>
      </c>
      <c r="F454" s="56" t="s">
        <v>570</v>
      </c>
      <c r="G454">
        <v>1.1174999999999999</v>
      </c>
      <c r="H454" s="56" t="s">
        <v>1227</v>
      </c>
      <c r="I454" s="56" t="s">
        <v>1581</v>
      </c>
      <c r="J454">
        <v>0</v>
      </c>
      <c r="K454">
        <v>0</v>
      </c>
      <c r="L454">
        <v>12</v>
      </c>
      <c r="M454">
        <v>7504</v>
      </c>
      <c r="N454" s="56" t="s">
        <v>470</v>
      </c>
      <c r="O454">
        <v>1</v>
      </c>
      <c r="P454" s="59">
        <v>3.5</v>
      </c>
    </row>
    <row r="455" spans="1:16" x14ac:dyDescent="0.25">
      <c r="A455">
        <v>7505</v>
      </c>
      <c r="B455">
        <v>7505</v>
      </c>
      <c r="C455" s="56" t="s">
        <v>1582</v>
      </c>
      <c r="D455" s="56" t="s">
        <v>1546</v>
      </c>
      <c r="E455" s="56" t="s">
        <v>1546</v>
      </c>
      <c r="F455" s="56" t="s">
        <v>570</v>
      </c>
      <c r="G455">
        <v>0.9879</v>
      </c>
      <c r="H455" s="56" t="s">
        <v>1227</v>
      </c>
      <c r="I455" s="56" t="s">
        <v>1583</v>
      </c>
      <c r="J455">
        <v>0</v>
      </c>
      <c r="K455">
        <v>0</v>
      </c>
      <c r="L455">
        <v>24</v>
      </c>
      <c r="M455">
        <v>7505</v>
      </c>
      <c r="N455" s="56" t="s">
        <v>473</v>
      </c>
      <c r="O455">
        <v>1</v>
      </c>
      <c r="P455" s="59">
        <v>3</v>
      </c>
    </row>
    <row r="456" spans="1:16" x14ac:dyDescent="0.25">
      <c r="A456">
        <v>7506</v>
      </c>
      <c r="B456">
        <v>7506</v>
      </c>
      <c r="C456" s="56" t="s">
        <v>1584</v>
      </c>
      <c r="D456" s="56" t="s">
        <v>1546</v>
      </c>
      <c r="E456" s="56" t="s">
        <v>1546</v>
      </c>
      <c r="F456" s="56" t="s">
        <v>570</v>
      </c>
      <c r="G456">
        <v>0.98909999999999998</v>
      </c>
      <c r="H456" s="56" t="s">
        <v>1227</v>
      </c>
      <c r="I456" s="56" t="s">
        <v>1585</v>
      </c>
      <c r="J456">
        <v>0</v>
      </c>
      <c r="K456">
        <v>0</v>
      </c>
      <c r="L456">
        <v>12</v>
      </c>
      <c r="M456">
        <v>7506</v>
      </c>
      <c r="N456" s="56" t="s">
        <v>476</v>
      </c>
      <c r="O456">
        <v>1</v>
      </c>
      <c r="P456" s="59">
        <v>3</v>
      </c>
    </row>
    <row r="457" spans="1:16" x14ac:dyDescent="0.25">
      <c r="A457">
        <v>7520</v>
      </c>
      <c r="B457">
        <v>7520</v>
      </c>
      <c r="C457" s="56" t="s">
        <v>1586</v>
      </c>
      <c r="D457" s="56" t="s">
        <v>1546</v>
      </c>
      <c r="E457" s="56" t="s">
        <v>1546</v>
      </c>
      <c r="F457" s="56" t="s">
        <v>570</v>
      </c>
      <c r="G457">
        <v>0.7238</v>
      </c>
      <c r="H457" s="56" t="s">
        <v>1227</v>
      </c>
      <c r="I457" s="56" t="s">
        <v>1587</v>
      </c>
      <c r="J457">
        <v>0</v>
      </c>
      <c r="K457">
        <v>0</v>
      </c>
      <c r="L457">
        <v>36</v>
      </c>
      <c r="M457">
        <v>7520</v>
      </c>
      <c r="N457" s="56" t="s">
        <v>479</v>
      </c>
      <c r="O457">
        <v>1</v>
      </c>
      <c r="P457" s="59">
        <v>2.2000000000000002</v>
      </c>
    </row>
    <row r="458" spans="1:16" x14ac:dyDescent="0.25">
      <c r="A458">
        <v>7521</v>
      </c>
      <c r="B458">
        <v>7521</v>
      </c>
      <c r="C458" s="56" t="s">
        <v>1588</v>
      </c>
      <c r="D458" s="56" t="s">
        <v>1546</v>
      </c>
      <c r="E458" s="56" t="s">
        <v>1546</v>
      </c>
      <c r="F458" s="56" t="s">
        <v>570</v>
      </c>
      <c r="G458">
        <v>0.7238</v>
      </c>
      <c r="H458" s="56" t="s">
        <v>1227</v>
      </c>
      <c r="I458" s="56" t="s">
        <v>1589</v>
      </c>
      <c r="J458">
        <v>0</v>
      </c>
      <c r="K458">
        <v>0</v>
      </c>
      <c r="L458">
        <v>36</v>
      </c>
      <c r="M458">
        <v>7521</v>
      </c>
      <c r="N458" s="56" t="s">
        <v>481</v>
      </c>
      <c r="O458">
        <v>1</v>
      </c>
      <c r="P458" s="59">
        <v>2.2000000000000002</v>
      </c>
    </row>
    <row r="459" spans="1:16" x14ac:dyDescent="0.25">
      <c r="A459">
        <v>7522</v>
      </c>
      <c r="B459">
        <v>7522</v>
      </c>
      <c r="C459" s="56" t="s">
        <v>1590</v>
      </c>
      <c r="D459" s="56" t="s">
        <v>1546</v>
      </c>
      <c r="E459" s="56" t="s">
        <v>1546</v>
      </c>
      <c r="F459" s="56" t="s">
        <v>570</v>
      </c>
      <c r="G459">
        <v>0.15040000000000001</v>
      </c>
      <c r="H459" s="56" t="s">
        <v>1416</v>
      </c>
      <c r="I459" s="56" t="s">
        <v>1591</v>
      </c>
      <c r="J459">
        <v>0</v>
      </c>
      <c r="K459">
        <v>0</v>
      </c>
      <c r="L459">
        <v>720</v>
      </c>
      <c r="M459">
        <v>7522</v>
      </c>
      <c r="N459" s="56" t="s">
        <v>482</v>
      </c>
      <c r="O459">
        <v>1</v>
      </c>
      <c r="P459" s="59">
        <v>0.5</v>
      </c>
    </row>
    <row r="460" spans="1:16" x14ac:dyDescent="0.25">
      <c r="A460">
        <v>7523</v>
      </c>
      <c r="B460">
        <v>7523</v>
      </c>
      <c r="C460" s="56" t="s">
        <v>1592</v>
      </c>
      <c r="D460" s="56" t="s">
        <v>1546</v>
      </c>
      <c r="E460" s="56" t="s">
        <v>1546</v>
      </c>
      <c r="F460" s="56" t="s">
        <v>570</v>
      </c>
      <c r="G460">
        <v>0.627</v>
      </c>
      <c r="H460" s="56" t="s">
        <v>571</v>
      </c>
      <c r="I460" s="56" t="s">
        <v>1593</v>
      </c>
      <c r="J460">
        <v>0</v>
      </c>
      <c r="K460">
        <v>0</v>
      </c>
      <c r="L460">
        <v>48</v>
      </c>
      <c r="M460">
        <v>7523</v>
      </c>
      <c r="N460" s="56" t="s">
        <v>484</v>
      </c>
      <c r="O460">
        <v>1</v>
      </c>
      <c r="P460" s="59">
        <v>2</v>
      </c>
    </row>
    <row r="461" spans="1:16" x14ac:dyDescent="0.25">
      <c r="A461">
        <v>7600</v>
      </c>
      <c r="B461">
        <v>7600</v>
      </c>
      <c r="C461" s="56" t="s">
        <v>1594</v>
      </c>
      <c r="D461" s="56" t="s">
        <v>1546</v>
      </c>
      <c r="E461" s="56" t="s">
        <v>1546</v>
      </c>
      <c r="F461" s="56" t="s">
        <v>570</v>
      </c>
      <c r="G461">
        <v>0.13</v>
      </c>
      <c r="H461" s="56" t="s">
        <v>571</v>
      </c>
      <c r="I461" s="56" t="s">
        <v>1595</v>
      </c>
      <c r="J461">
        <v>0</v>
      </c>
      <c r="K461">
        <v>0</v>
      </c>
      <c r="L461">
        <v>200</v>
      </c>
      <c r="M461">
        <v>7600</v>
      </c>
      <c r="N461" s="56" t="s">
        <v>486</v>
      </c>
      <c r="O461">
        <v>1</v>
      </c>
      <c r="P461" s="59">
        <v>0.45</v>
      </c>
    </row>
    <row r="462" spans="1:16" x14ac:dyDescent="0.25">
      <c r="A462">
        <v>7601</v>
      </c>
      <c r="B462">
        <v>7601</v>
      </c>
      <c r="C462" s="56" t="s">
        <v>1596</v>
      </c>
      <c r="D462" s="56" t="s">
        <v>1546</v>
      </c>
      <c r="E462" s="56" t="s">
        <v>1546</v>
      </c>
      <c r="F462" s="56" t="s">
        <v>570</v>
      </c>
      <c r="G462">
        <v>0.627</v>
      </c>
      <c r="H462" s="56" t="s">
        <v>571</v>
      </c>
      <c r="I462" s="56" t="s">
        <v>1597</v>
      </c>
      <c r="J462">
        <v>0</v>
      </c>
      <c r="K462">
        <v>0</v>
      </c>
      <c r="L462">
        <v>48</v>
      </c>
      <c r="M462">
        <v>7601</v>
      </c>
      <c r="N462" s="56" t="s">
        <v>489</v>
      </c>
      <c r="O462">
        <v>1</v>
      </c>
      <c r="P462" s="59">
        <v>2</v>
      </c>
    </row>
    <row r="463" spans="1:16" x14ac:dyDescent="0.25">
      <c r="A463">
        <v>7602</v>
      </c>
      <c r="B463">
        <v>7602</v>
      </c>
      <c r="C463" s="56" t="s">
        <v>1598</v>
      </c>
      <c r="D463" s="56" t="s">
        <v>1546</v>
      </c>
      <c r="E463" s="56" t="s">
        <v>1546</v>
      </c>
      <c r="F463" s="56" t="s">
        <v>570</v>
      </c>
      <c r="G463">
        <v>0.55000000000000004</v>
      </c>
      <c r="H463" s="56" t="s">
        <v>571</v>
      </c>
      <c r="I463" s="56" t="s">
        <v>1599</v>
      </c>
      <c r="J463">
        <v>0</v>
      </c>
      <c r="K463">
        <v>0</v>
      </c>
      <c r="L463">
        <v>48</v>
      </c>
      <c r="M463">
        <v>7602</v>
      </c>
      <c r="N463" s="56" t="s">
        <v>492</v>
      </c>
      <c r="O463">
        <v>1</v>
      </c>
      <c r="P463" s="59">
        <v>1.9</v>
      </c>
    </row>
    <row r="464" spans="1:16" x14ac:dyDescent="0.25">
      <c r="A464">
        <v>7603</v>
      </c>
      <c r="B464">
        <v>7603</v>
      </c>
      <c r="C464" s="56" t="s">
        <v>1600</v>
      </c>
      <c r="D464" s="56" t="s">
        <v>1546</v>
      </c>
      <c r="E464" s="56" t="s">
        <v>1546</v>
      </c>
      <c r="F464" s="56" t="s">
        <v>570</v>
      </c>
      <c r="G464">
        <v>0.56000000000000005</v>
      </c>
      <c r="H464" s="56" t="s">
        <v>571</v>
      </c>
      <c r="I464" s="56" t="s">
        <v>1601</v>
      </c>
      <c r="J464">
        <v>0</v>
      </c>
      <c r="K464">
        <v>0</v>
      </c>
      <c r="L464">
        <v>48</v>
      </c>
      <c r="M464">
        <v>7603</v>
      </c>
      <c r="N464" s="56" t="s">
        <v>494</v>
      </c>
      <c r="O464">
        <v>1</v>
      </c>
      <c r="P464" s="59">
        <v>2</v>
      </c>
    </row>
    <row r="465" spans="1:16" x14ac:dyDescent="0.25">
      <c r="A465">
        <v>7604</v>
      </c>
      <c r="B465">
        <v>7604</v>
      </c>
      <c r="C465" s="56" t="s">
        <v>1602</v>
      </c>
      <c r="D465" s="56" t="s">
        <v>1546</v>
      </c>
      <c r="E465" s="56" t="s">
        <v>1546</v>
      </c>
      <c r="F465" s="56" t="s">
        <v>570</v>
      </c>
      <c r="G465">
        <v>0.45100000000000001</v>
      </c>
      <c r="H465" s="56" t="s">
        <v>571</v>
      </c>
      <c r="I465" s="56" t="s">
        <v>1603</v>
      </c>
      <c r="J465">
        <v>0</v>
      </c>
      <c r="K465">
        <v>0</v>
      </c>
      <c r="L465">
        <v>48</v>
      </c>
      <c r="M465">
        <v>7604</v>
      </c>
      <c r="N465" s="56" t="s">
        <v>497</v>
      </c>
      <c r="O465">
        <v>1</v>
      </c>
      <c r="P465" s="59">
        <v>1.9</v>
      </c>
    </row>
    <row r="466" spans="1:16" x14ac:dyDescent="0.25">
      <c r="A466">
        <v>7605</v>
      </c>
      <c r="B466">
        <v>7605</v>
      </c>
      <c r="C466" s="56" t="s">
        <v>1604</v>
      </c>
      <c r="D466" s="56" t="s">
        <v>1546</v>
      </c>
      <c r="E466" s="56" t="s">
        <v>1546</v>
      </c>
      <c r="F466" s="56" t="s">
        <v>570</v>
      </c>
      <c r="G466">
        <v>0.51</v>
      </c>
      <c r="H466" s="56" t="s">
        <v>571</v>
      </c>
      <c r="I466" s="56" t="s">
        <v>1605</v>
      </c>
      <c r="J466">
        <v>0</v>
      </c>
      <c r="K466">
        <v>0</v>
      </c>
      <c r="L466">
        <v>48</v>
      </c>
      <c r="M466">
        <v>7605</v>
      </c>
      <c r="N466" s="56" t="s">
        <v>500</v>
      </c>
      <c r="O466">
        <v>1</v>
      </c>
      <c r="P466" s="59">
        <v>1.9</v>
      </c>
    </row>
    <row r="467" spans="1:16" x14ac:dyDescent="0.25">
      <c r="A467">
        <v>7606</v>
      </c>
      <c r="B467">
        <v>7606</v>
      </c>
      <c r="C467" s="56" t="s">
        <v>1606</v>
      </c>
      <c r="D467" s="56" t="s">
        <v>1546</v>
      </c>
      <c r="E467" s="56" t="s">
        <v>1546</v>
      </c>
      <c r="F467" s="56" t="s">
        <v>570</v>
      </c>
      <c r="G467">
        <v>0.10539999999999999</v>
      </c>
      <c r="H467" s="56" t="s">
        <v>1141</v>
      </c>
      <c r="I467" s="56" t="s">
        <v>1607</v>
      </c>
      <c r="J467">
        <v>0</v>
      </c>
      <c r="K467">
        <v>0</v>
      </c>
      <c r="L467">
        <v>100</v>
      </c>
      <c r="M467">
        <v>7606</v>
      </c>
      <c r="N467" s="56" t="s">
        <v>503</v>
      </c>
      <c r="O467">
        <v>1</v>
      </c>
      <c r="P467" s="59">
        <v>0.45</v>
      </c>
    </row>
    <row r="468" spans="1:16" x14ac:dyDescent="0.25">
      <c r="A468">
        <v>7620</v>
      </c>
      <c r="B468">
        <v>7620</v>
      </c>
      <c r="C468" s="56" t="s">
        <v>1608</v>
      </c>
      <c r="D468" s="56" t="s">
        <v>1546</v>
      </c>
      <c r="E468" s="56" t="s">
        <v>1546</v>
      </c>
      <c r="F468" s="56" t="s">
        <v>570</v>
      </c>
      <c r="G468">
        <v>0.14499999999999999</v>
      </c>
      <c r="H468" s="56" t="s">
        <v>571</v>
      </c>
      <c r="I468" s="56" t="s">
        <v>1609</v>
      </c>
      <c r="J468">
        <v>0</v>
      </c>
      <c r="K468">
        <v>0</v>
      </c>
      <c r="L468">
        <v>200</v>
      </c>
      <c r="M468">
        <v>7620</v>
      </c>
      <c r="N468" s="56" t="s">
        <v>506</v>
      </c>
      <c r="O468">
        <v>1</v>
      </c>
      <c r="P468" s="59">
        <v>0.5</v>
      </c>
    </row>
    <row r="469" spans="1:16" x14ac:dyDescent="0.25">
      <c r="A469">
        <v>7700</v>
      </c>
      <c r="B469">
        <v>7700</v>
      </c>
      <c r="C469" s="56" t="s">
        <v>1610</v>
      </c>
      <c r="D469" s="56" t="s">
        <v>1611</v>
      </c>
      <c r="E469" s="56" t="s">
        <v>1611</v>
      </c>
      <c r="F469" s="56" t="s">
        <v>570</v>
      </c>
      <c r="G469">
        <v>1.38</v>
      </c>
      <c r="H469" s="56" t="s">
        <v>571</v>
      </c>
      <c r="I469" s="56" t="s">
        <v>1612</v>
      </c>
      <c r="J469">
        <v>0</v>
      </c>
      <c r="K469">
        <v>0</v>
      </c>
      <c r="L469">
        <v>40</v>
      </c>
      <c r="M469">
        <v>7700</v>
      </c>
      <c r="N469" s="56" t="s">
        <v>413</v>
      </c>
      <c r="O469">
        <v>1</v>
      </c>
      <c r="P469" s="59">
        <v>4.3499999999999996</v>
      </c>
    </row>
    <row r="470" spans="1:16" x14ac:dyDescent="0.25">
      <c r="A470">
        <v>7701</v>
      </c>
      <c r="B470">
        <v>7701</v>
      </c>
      <c r="C470" s="56" t="s">
        <v>1613</v>
      </c>
      <c r="D470" s="56" t="s">
        <v>1611</v>
      </c>
      <c r="E470" s="56" t="s">
        <v>1611</v>
      </c>
      <c r="F470" s="56" t="s">
        <v>570</v>
      </c>
      <c r="G470">
        <v>1.38</v>
      </c>
      <c r="H470" s="56" t="s">
        <v>571</v>
      </c>
      <c r="I470" s="56" t="s">
        <v>1614</v>
      </c>
      <c r="J470">
        <v>0</v>
      </c>
      <c r="K470">
        <v>0</v>
      </c>
      <c r="L470">
        <v>40</v>
      </c>
      <c r="M470">
        <v>7701</v>
      </c>
      <c r="N470" s="56" t="s">
        <v>417</v>
      </c>
      <c r="O470">
        <v>1</v>
      </c>
      <c r="P470" s="59">
        <v>4.55</v>
      </c>
    </row>
    <row r="471" spans="1:16" x14ac:dyDescent="0.25">
      <c r="A471">
        <v>7702</v>
      </c>
      <c r="B471">
        <v>7702</v>
      </c>
      <c r="C471" s="56" t="s">
        <v>1615</v>
      </c>
      <c r="D471" s="56" t="s">
        <v>1611</v>
      </c>
      <c r="E471" s="56" t="s">
        <v>1611</v>
      </c>
      <c r="F471" s="56" t="s">
        <v>570</v>
      </c>
      <c r="G471">
        <v>0.51500000000000001</v>
      </c>
      <c r="H471" s="56" t="s">
        <v>571</v>
      </c>
      <c r="I471" s="56" t="s">
        <v>1616</v>
      </c>
      <c r="J471">
        <v>0</v>
      </c>
      <c r="K471">
        <v>0</v>
      </c>
      <c r="L471">
        <v>100</v>
      </c>
      <c r="M471">
        <v>7702</v>
      </c>
      <c r="N471" s="56" t="s">
        <v>419</v>
      </c>
      <c r="O471">
        <v>1</v>
      </c>
      <c r="P471" s="59">
        <v>1.7</v>
      </c>
    </row>
    <row r="472" spans="1:16" x14ac:dyDescent="0.25">
      <c r="A472">
        <v>7703</v>
      </c>
      <c r="B472">
        <v>7703</v>
      </c>
      <c r="C472" s="56" t="s">
        <v>1617</v>
      </c>
      <c r="D472" s="56" t="s">
        <v>1611</v>
      </c>
      <c r="E472" s="56" t="s">
        <v>1611</v>
      </c>
      <c r="F472" s="56" t="s">
        <v>570</v>
      </c>
      <c r="G472">
        <v>0.50309999999999999</v>
      </c>
      <c r="H472" s="56" t="s">
        <v>1227</v>
      </c>
      <c r="I472" s="56" t="s">
        <v>1618</v>
      </c>
      <c r="J472">
        <v>0</v>
      </c>
      <c r="K472">
        <v>0</v>
      </c>
      <c r="L472">
        <v>100</v>
      </c>
      <c r="M472">
        <v>7703</v>
      </c>
      <c r="N472" s="56" t="s">
        <v>422</v>
      </c>
      <c r="O472">
        <v>1</v>
      </c>
      <c r="P472" s="59">
        <v>1.7</v>
      </c>
    </row>
    <row r="473" spans="1:16" x14ac:dyDescent="0.25">
      <c r="A473">
        <v>7720</v>
      </c>
      <c r="B473">
        <v>7720</v>
      </c>
      <c r="C473" s="56" t="s">
        <v>1619</v>
      </c>
      <c r="D473" s="56" t="s">
        <v>1611</v>
      </c>
      <c r="E473" s="56" t="s">
        <v>1611</v>
      </c>
      <c r="F473" s="56" t="s">
        <v>570</v>
      </c>
      <c r="G473">
        <v>0.75660000000000005</v>
      </c>
      <c r="H473" s="56" t="s">
        <v>1227</v>
      </c>
      <c r="I473" s="56" t="s">
        <v>1620</v>
      </c>
      <c r="J473">
        <v>0</v>
      </c>
      <c r="K473">
        <v>0</v>
      </c>
      <c r="L473">
        <v>12</v>
      </c>
      <c r="M473">
        <v>7720</v>
      </c>
      <c r="N473" s="56" t="s">
        <v>425</v>
      </c>
      <c r="O473">
        <v>1</v>
      </c>
      <c r="P473" s="59">
        <v>2.25</v>
      </c>
    </row>
    <row r="474" spans="1:16" x14ac:dyDescent="0.25">
      <c r="A474">
        <v>7721</v>
      </c>
      <c r="B474">
        <v>7721</v>
      </c>
      <c r="C474" s="56" t="s">
        <v>1621</v>
      </c>
      <c r="D474" s="56" t="s">
        <v>1611</v>
      </c>
      <c r="E474" s="56" t="s">
        <v>1611</v>
      </c>
      <c r="F474" s="56" t="s">
        <v>570</v>
      </c>
      <c r="G474">
        <v>0.75660000000000005</v>
      </c>
      <c r="H474" s="56" t="s">
        <v>1227</v>
      </c>
      <c r="I474" s="56" t="s">
        <v>1622</v>
      </c>
      <c r="J474">
        <v>0</v>
      </c>
      <c r="K474">
        <v>0</v>
      </c>
      <c r="L474">
        <v>12</v>
      </c>
      <c r="M474">
        <v>7721</v>
      </c>
      <c r="N474" s="56" t="s">
        <v>427</v>
      </c>
      <c r="O474">
        <v>1</v>
      </c>
      <c r="P474" s="59">
        <v>2.25</v>
      </c>
    </row>
    <row r="475" spans="1:16" x14ac:dyDescent="0.25">
      <c r="A475">
        <v>7730</v>
      </c>
      <c r="B475">
        <v>7730</v>
      </c>
      <c r="C475" s="56" t="s">
        <v>1623</v>
      </c>
      <c r="D475" s="56" t="s">
        <v>1611</v>
      </c>
      <c r="E475" s="56" t="s">
        <v>1611</v>
      </c>
      <c r="F475" s="56" t="s">
        <v>570</v>
      </c>
      <c r="G475">
        <v>0.35</v>
      </c>
      <c r="H475" s="56" t="s">
        <v>571</v>
      </c>
      <c r="I475" s="56" t="s">
        <v>1624</v>
      </c>
      <c r="J475">
        <v>0</v>
      </c>
      <c r="K475">
        <v>0</v>
      </c>
      <c r="L475">
        <v>36</v>
      </c>
      <c r="M475">
        <v>7730</v>
      </c>
      <c r="N475" s="56" t="s">
        <v>430</v>
      </c>
      <c r="O475">
        <v>1</v>
      </c>
      <c r="P475" s="59">
        <v>1.05</v>
      </c>
    </row>
    <row r="476" spans="1:16" x14ac:dyDescent="0.25">
      <c r="A476">
        <v>7740</v>
      </c>
      <c r="B476">
        <v>7740</v>
      </c>
      <c r="C476" s="56" t="s">
        <v>1625</v>
      </c>
      <c r="D476" s="56" t="s">
        <v>1498</v>
      </c>
      <c r="E476" s="56" t="s">
        <v>1498</v>
      </c>
      <c r="F476" s="56" t="s">
        <v>570</v>
      </c>
      <c r="G476">
        <v>0.2273</v>
      </c>
      <c r="H476" s="56" t="s">
        <v>1227</v>
      </c>
      <c r="I476" s="56" t="s">
        <v>1626</v>
      </c>
      <c r="J476">
        <v>0</v>
      </c>
      <c r="K476">
        <v>0</v>
      </c>
      <c r="L476">
        <v>100</v>
      </c>
      <c r="M476">
        <v>7740</v>
      </c>
      <c r="N476" s="56" t="s">
        <v>325</v>
      </c>
      <c r="O476">
        <v>1</v>
      </c>
      <c r="P476" s="59">
        <v>0.65</v>
      </c>
    </row>
    <row r="477" spans="1:16" x14ac:dyDescent="0.25">
      <c r="A477">
        <v>7741</v>
      </c>
      <c r="B477">
        <v>7741</v>
      </c>
      <c r="C477" s="56" t="s">
        <v>1627</v>
      </c>
      <c r="D477" s="56" t="s">
        <v>1498</v>
      </c>
      <c r="E477" s="56" t="s">
        <v>1498</v>
      </c>
      <c r="F477" s="56" t="s">
        <v>570</v>
      </c>
      <c r="G477">
        <v>0.40910000000000002</v>
      </c>
      <c r="H477" s="56" t="s">
        <v>1227</v>
      </c>
      <c r="I477" s="56" t="s">
        <v>1628</v>
      </c>
      <c r="J477">
        <v>0</v>
      </c>
      <c r="K477">
        <v>0</v>
      </c>
      <c r="L477">
        <v>72</v>
      </c>
      <c r="M477">
        <v>7741</v>
      </c>
      <c r="N477" s="56" t="s">
        <v>328</v>
      </c>
      <c r="O477">
        <v>1</v>
      </c>
      <c r="P477" s="59">
        <v>1.1499999999999999</v>
      </c>
    </row>
    <row r="478" spans="1:16" x14ac:dyDescent="0.25">
      <c r="A478">
        <v>7742</v>
      </c>
      <c r="B478">
        <v>7742</v>
      </c>
      <c r="C478" s="56" t="s">
        <v>1629</v>
      </c>
      <c r="D478" s="56" t="s">
        <v>1498</v>
      </c>
      <c r="E478" s="56" t="s">
        <v>1498</v>
      </c>
      <c r="F478" s="56" t="s">
        <v>570</v>
      </c>
      <c r="G478">
        <v>1.2</v>
      </c>
      <c r="H478" s="56" t="s">
        <v>571</v>
      </c>
      <c r="I478" s="56" t="s">
        <v>1630</v>
      </c>
      <c r="J478">
        <v>0</v>
      </c>
      <c r="K478">
        <v>0</v>
      </c>
      <c r="L478">
        <v>12</v>
      </c>
      <c r="M478">
        <v>7742</v>
      </c>
      <c r="N478" s="56" t="s">
        <v>331</v>
      </c>
      <c r="O478">
        <v>1</v>
      </c>
      <c r="P478" s="59">
        <v>4.2</v>
      </c>
    </row>
    <row r="479" spans="1:16" x14ac:dyDescent="0.25">
      <c r="A479">
        <v>7760</v>
      </c>
      <c r="B479">
        <v>7760</v>
      </c>
      <c r="C479" s="56" t="s">
        <v>1631</v>
      </c>
      <c r="D479" s="56" t="s">
        <v>1498</v>
      </c>
      <c r="E479" s="56" t="s">
        <v>1498</v>
      </c>
      <c r="F479" s="56" t="s">
        <v>570</v>
      </c>
      <c r="G479">
        <v>0.44330000000000003</v>
      </c>
      <c r="H479" s="56" t="s">
        <v>1227</v>
      </c>
      <c r="I479" s="56" t="s">
        <v>1632</v>
      </c>
      <c r="J479">
        <v>0</v>
      </c>
      <c r="K479">
        <v>0</v>
      </c>
      <c r="L479">
        <v>48</v>
      </c>
      <c r="M479">
        <v>7760</v>
      </c>
      <c r="N479" s="56" t="s">
        <v>334</v>
      </c>
      <c r="O479">
        <v>1</v>
      </c>
      <c r="P479" s="59">
        <v>1.25</v>
      </c>
    </row>
    <row r="480" spans="1:16" x14ac:dyDescent="0.25">
      <c r="A480">
        <v>7761</v>
      </c>
      <c r="B480">
        <v>7761</v>
      </c>
      <c r="C480" s="56" t="s">
        <v>1633</v>
      </c>
      <c r="D480" s="56" t="s">
        <v>1498</v>
      </c>
      <c r="E480" s="56" t="s">
        <v>1498</v>
      </c>
      <c r="F480" s="56" t="s">
        <v>570</v>
      </c>
      <c r="G480">
        <v>0.3977</v>
      </c>
      <c r="H480" s="56" t="s">
        <v>1227</v>
      </c>
      <c r="I480" s="56" t="s">
        <v>1634</v>
      </c>
      <c r="J480">
        <v>0</v>
      </c>
      <c r="K480">
        <v>0</v>
      </c>
      <c r="L480">
        <v>72</v>
      </c>
      <c r="M480">
        <v>7761</v>
      </c>
      <c r="N480" s="56" t="s">
        <v>337</v>
      </c>
      <c r="O480">
        <v>1</v>
      </c>
      <c r="P480" s="59">
        <v>1.2</v>
      </c>
    </row>
    <row r="481" spans="1:16" x14ac:dyDescent="0.25">
      <c r="A481">
        <v>7800</v>
      </c>
      <c r="B481">
        <v>7800</v>
      </c>
      <c r="C481" s="56" t="s">
        <v>1635</v>
      </c>
      <c r="D481" s="56" t="s">
        <v>1476</v>
      </c>
      <c r="E481" s="56" t="s">
        <v>1476</v>
      </c>
      <c r="F481" s="56" t="s">
        <v>570</v>
      </c>
      <c r="G481">
        <v>0.19</v>
      </c>
      <c r="H481" s="56" t="s">
        <v>1227</v>
      </c>
      <c r="I481" s="56" t="s">
        <v>1636</v>
      </c>
      <c r="J481">
        <v>0</v>
      </c>
      <c r="K481">
        <v>0</v>
      </c>
      <c r="L481">
        <v>120</v>
      </c>
      <c r="M481">
        <v>7800</v>
      </c>
      <c r="N481" s="56" t="s">
        <v>343</v>
      </c>
      <c r="O481">
        <v>1</v>
      </c>
      <c r="P481" s="59">
        <v>0.65</v>
      </c>
    </row>
    <row r="482" spans="1:16" x14ac:dyDescent="0.25">
      <c r="A482">
        <v>7801</v>
      </c>
      <c r="B482">
        <v>7801</v>
      </c>
      <c r="C482" s="56" t="s">
        <v>1637</v>
      </c>
      <c r="D482" s="56" t="s">
        <v>1476</v>
      </c>
      <c r="E482" s="56" t="s">
        <v>1476</v>
      </c>
      <c r="F482" s="56" t="s">
        <v>570</v>
      </c>
      <c r="G482">
        <v>0.1867</v>
      </c>
      <c r="H482" s="56" t="s">
        <v>1227</v>
      </c>
      <c r="I482" s="56" t="s">
        <v>1638</v>
      </c>
      <c r="J482">
        <v>0</v>
      </c>
      <c r="K482">
        <v>0</v>
      </c>
      <c r="L482">
        <v>120</v>
      </c>
      <c r="M482">
        <v>7801</v>
      </c>
      <c r="N482" s="56" t="s">
        <v>345</v>
      </c>
      <c r="O482">
        <v>1</v>
      </c>
      <c r="P482" s="59">
        <v>0.65</v>
      </c>
    </row>
    <row r="483" spans="1:16" x14ac:dyDescent="0.25">
      <c r="A483">
        <v>7802</v>
      </c>
      <c r="B483">
        <v>7802</v>
      </c>
      <c r="C483" s="56" t="s">
        <v>1639</v>
      </c>
      <c r="D483" s="56" t="s">
        <v>1476</v>
      </c>
      <c r="E483" s="56" t="s">
        <v>1476</v>
      </c>
      <c r="F483" s="56" t="s">
        <v>570</v>
      </c>
      <c r="G483">
        <v>0.19</v>
      </c>
      <c r="H483" s="56" t="s">
        <v>571</v>
      </c>
      <c r="I483" s="56" t="s">
        <v>1640</v>
      </c>
      <c r="J483">
        <v>0</v>
      </c>
      <c r="K483">
        <v>0</v>
      </c>
      <c r="L483">
        <v>120</v>
      </c>
      <c r="M483">
        <v>7802</v>
      </c>
      <c r="N483" s="56" t="s">
        <v>348</v>
      </c>
      <c r="O483">
        <v>1</v>
      </c>
      <c r="P483" s="59">
        <v>0.65</v>
      </c>
    </row>
    <row r="484" spans="1:16" x14ac:dyDescent="0.25">
      <c r="A484">
        <v>7803</v>
      </c>
      <c r="B484">
        <v>7803</v>
      </c>
      <c r="C484" s="56" t="s">
        <v>1641</v>
      </c>
      <c r="D484" s="56" t="s">
        <v>1476</v>
      </c>
      <c r="E484" s="56" t="s">
        <v>1476</v>
      </c>
      <c r="F484" s="56" t="s">
        <v>570</v>
      </c>
      <c r="G484">
        <v>0.19</v>
      </c>
      <c r="H484" s="56" t="s">
        <v>571</v>
      </c>
      <c r="I484" s="56" t="s">
        <v>1642</v>
      </c>
      <c r="J484">
        <v>0</v>
      </c>
      <c r="K484">
        <v>0</v>
      </c>
      <c r="L484">
        <v>120</v>
      </c>
      <c r="M484">
        <v>7803</v>
      </c>
      <c r="N484" s="56" t="s">
        <v>350</v>
      </c>
      <c r="O484">
        <v>1</v>
      </c>
      <c r="P484" s="59">
        <v>0.65</v>
      </c>
    </row>
    <row r="485" spans="1:16" x14ac:dyDescent="0.25">
      <c r="A485">
        <v>7804</v>
      </c>
      <c r="B485">
        <v>7804</v>
      </c>
      <c r="C485" s="56" t="s">
        <v>1643</v>
      </c>
      <c r="D485" s="56" t="s">
        <v>1476</v>
      </c>
      <c r="E485" s="56" t="s">
        <v>1476</v>
      </c>
      <c r="F485" s="56" t="s">
        <v>570</v>
      </c>
      <c r="G485">
        <v>0.19</v>
      </c>
      <c r="H485" s="56" t="s">
        <v>571</v>
      </c>
      <c r="I485" s="56" t="s">
        <v>1644</v>
      </c>
      <c r="J485">
        <v>0</v>
      </c>
      <c r="K485">
        <v>0</v>
      </c>
      <c r="L485">
        <v>120</v>
      </c>
      <c r="M485">
        <v>7804</v>
      </c>
      <c r="N485" s="56" t="s">
        <v>352</v>
      </c>
      <c r="O485">
        <v>1</v>
      </c>
      <c r="P485" s="59">
        <v>0.65</v>
      </c>
    </row>
    <row r="486" spans="1:16" x14ac:dyDescent="0.25">
      <c r="A486">
        <v>7841</v>
      </c>
      <c r="B486">
        <v>7841</v>
      </c>
      <c r="C486" s="56" t="s">
        <v>1645</v>
      </c>
      <c r="D486" s="56" t="s">
        <v>1476</v>
      </c>
      <c r="E486" s="56" t="s">
        <v>1476</v>
      </c>
      <c r="F486" s="56" t="s">
        <v>570</v>
      </c>
      <c r="G486">
        <v>1.0371999999999999</v>
      </c>
      <c r="H486" s="56" t="s">
        <v>1227</v>
      </c>
      <c r="I486" s="56" t="s">
        <v>1646</v>
      </c>
      <c r="J486">
        <v>0</v>
      </c>
      <c r="K486">
        <v>0</v>
      </c>
      <c r="L486">
        <v>36</v>
      </c>
      <c r="M486">
        <v>7841</v>
      </c>
      <c r="N486" s="56" t="s">
        <v>354</v>
      </c>
      <c r="O486">
        <v>1</v>
      </c>
      <c r="P486" s="59">
        <v>3</v>
      </c>
    </row>
    <row r="487" spans="1:16" x14ac:dyDescent="0.25">
      <c r="A487">
        <v>7900</v>
      </c>
      <c r="B487">
        <v>7900</v>
      </c>
      <c r="C487" s="56" t="s">
        <v>1647</v>
      </c>
      <c r="D487" s="56" t="s">
        <v>1648</v>
      </c>
      <c r="E487" s="56" t="s">
        <v>1648</v>
      </c>
      <c r="F487" s="56" t="s">
        <v>570</v>
      </c>
      <c r="G487">
        <v>0.3241</v>
      </c>
      <c r="H487" s="56" t="s">
        <v>1227</v>
      </c>
      <c r="I487" s="56" t="s">
        <v>1649</v>
      </c>
      <c r="J487">
        <v>0</v>
      </c>
      <c r="K487">
        <v>0</v>
      </c>
      <c r="L487">
        <v>60</v>
      </c>
      <c r="M487">
        <v>7900</v>
      </c>
      <c r="N487" s="56" t="s">
        <v>385</v>
      </c>
      <c r="O487">
        <v>1</v>
      </c>
      <c r="P487" s="59">
        <v>1.1000000000000001</v>
      </c>
    </row>
    <row r="488" spans="1:16" x14ac:dyDescent="0.25">
      <c r="A488">
        <v>7901</v>
      </c>
      <c r="B488">
        <v>7901</v>
      </c>
      <c r="C488" s="56" t="s">
        <v>1650</v>
      </c>
      <c r="D488" s="56" t="s">
        <v>1648</v>
      </c>
      <c r="E488" s="56" t="s">
        <v>1648</v>
      </c>
      <c r="F488" s="56" t="s">
        <v>570</v>
      </c>
      <c r="G488">
        <v>0.3241</v>
      </c>
      <c r="H488" s="56" t="s">
        <v>1227</v>
      </c>
      <c r="I488" s="56" t="s">
        <v>1651</v>
      </c>
      <c r="J488">
        <v>0</v>
      </c>
      <c r="K488">
        <v>0</v>
      </c>
      <c r="L488">
        <v>60</v>
      </c>
      <c r="M488">
        <v>7901</v>
      </c>
      <c r="N488" s="56" t="s">
        <v>388</v>
      </c>
      <c r="O488">
        <v>1</v>
      </c>
      <c r="P488" s="59">
        <v>1.1000000000000001</v>
      </c>
    </row>
    <row r="489" spans="1:16" x14ac:dyDescent="0.25">
      <c r="A489">
        <v>7920</v>
      </c>
      <c r="B489">
        <v>7920</v>
      </c>
      <c r="C489" s="56" t="s">
        <v>1652</v>
      </c>
      <c r="D489" s="56" t="s">
        <v>1648</v>
      </c>
      <c r="E489" s="56" t="s">
        <v>1648</v>
      </c>
      <c r="F489" s="56" t="s">
        <v>570</v>
      </c>
      <c r="G489">
        <v>0.42</v>
      </c>
      <c r="H489" s="56" t="s">
        <v>571</v>
      </c>
      <c r="I489" s="56" t="s">
        <v>1653</v>
      </c>
      <c r="J489">
        <v>0</v>
      </c>
      <c r="K489">
        <v>0</v>
      </c>
      <c r="L489">
        <v>60</v>
      </c>
      <c r="M489">
        <v>7920</v>
      </c>
      <c r="N489" s="56" t="s">
        <v>390</v>
      </c>
      <c r="O489">
        <v>1</v>
      </c>
      <c r="P489" s="59">
        <v>1.65</v>
      </c>
    </row>
    <row r="490" spans="1:16" x14ac:dyDescent="0.25">
      <c r="A490">
        <v>7921</v>
      </c>
      <c r="B490">
        <v>7921</v>
      </c>
      <c r="C490" s="56" t="s">
        <v>1654</v>
      </c>
      <c r="D490" s="56" t="s">
        <v>1648</v>
      </c>
      <c r="E490" s="56" t="s">
        <v>1648</v>
      </c>
      <c r="F490" s="56" t="s">
        <v>570</v>
      </c>
      <c r="G490">
        <v>0.42</v>
      </c>
      <c r="H490" s="56" t="s">
        <v>571</v>
      </c>
      <c r="I490" s="56" t="s">
        <v>1655</v>
      </c>
      <c r="J490">
        <v>0</v>
      </c>
      <c r="K490">
        <v>0</v>
      </c>
      <c r="L490">
        <v>60</v>
      </c>
      <c r="M490">
        <v>7921</v>
      </c>
      <c r="N490" s="56" t="s">
        <v>1656</v>
      </c>
      <c r="O490">
        <v>1</v>
      </c>
      <c r="P490" s="59">
        <v>1.65</v>
      </c>
    </row>
    <row r="491" spans="1:16" x14ac:dyDescent="0.25">
      <c r="A491">
        <v>7930</v>
      </c>
      <c r="B491">
        <v>7930</v>
      </c>
      <c r="C491" s="56" t="s">
        <v>1657</v>
      </c>
      <c r="D491" s="56" t="s">
        <v>1648</v>
      </c>
      <c r="E491" s="56" t="s">
        <v>1648</v>
      </c>
      <c r="F491" s="56" t="s">
        <v>570</v>
      </c>
      <c r="G491">
        <v>0.34760000000000002</v>
      </c>
      <c r="H491" s="56" t="s">
        <v>1416</v>
      </c>
      <c r="I491" s="56" t="s">
        <v>1658</v>
      </c>
      <c r="J491">
        <v>0</v>
      </c>
      <c r="K491">
        <v>0</v>
      </c>
      <c r="L491">
        <v>42</v>
      </c>
      <c r="M491">
        <v>7930</v>
      </c>
      <c r="N491" s="56" t="s">
        <v>395</v>
      </c>
      <c r="O491">
        <v>1</v>
      </c>
      <c r="P491" s="59">
        <v>1.05</v>
      </c>
    </row>
    <row r="492" spans="1:16" x14ac:dyDescent="0.25">
      <c r="A492">
        <v>7931</v>
      </c>
      <c r="B492">
        <v>7931</v>
      </c>
      <c r="C492" s="56" t="s">
        <v>1659</v>
      </c>
      <c r="D492" s="56" t="s">
        <v>1648</v>
      </c>
      <c r="E492" s="56" t="s">
        <v>1648</v>
      </c>
      <c r="F492" s="56" t="s">
        <v>570</v>
      </c>
      <c r="G492">
        <v>0.34760000000000002</v>
      </c>
      <c r="H492" s="56" t="s">
        <v>1227</v>
      </c>
      <c r="I492" s="56" t="s">
        <v>1660</v>
      </c>
      <c r="J492">
        <v>0</v>
      </c>
      <c r="K492">
        <v>0</v>
      </c>
      <c r="L492">
        <v>42</v>
      </c>
      <c r="M492">
        <v>7931</v>
      </c>
      <c r="N492" s="56" t="s">
        <v>397</v>
      </c>
      <c r="O492">
        <v>1</v>
      </c>
      <c r="P492" s="59">
        <v>1.05</v>
      </c>
    </row>
    <row r="493" spans="1:16" x14ac:dyDescent="0.25">
      <c r="A493">
        <v>7932</v>
      </c>
      <c r="B493">
        <v>7932</v>
      </c>
      <c r="C493" s="56" t="s">
        <v>1661</v>
      </c>
      <c r="D493" s="56" t="s">
        <v>1648</v>
      </c>
      <c r="E493" s="56" t="s">
        <v>1648</v>
      </c>
      <c r="F493" s="56" t="s">
        <v>570</v>
      </c>
      <c r="G493">
        <v>1.1189</v>
      </c>
      <c r="H493" s="56" t="s">
        <v>1227</v>
      </c>
      <c r="I493" s="56" t="s">
        <v>1662</v>
      </c>
      <c r="J493">
        <v>0</v>
      </c>
      <c r="K493">
        <v>0</v>
      </c>
      <c r="L493">
        <v>28</v>
      </c>
      <c r="M493">
        <v>7932</v>
      </c>
      <c r="N493" s="56" t="s">
        <v>399</v>
      </c>
      <c r="O493">
        <v>1</v>
      </c>
      <c r="P493" s="59">
        <v>3</v>
      </c>
    </row>
    <row r="494" spans="1:16" x14ac:dyDescent="0.25">
      <c r="A494">
        <v>7933</v>
      </c>
      <c r="B494">
        <v>7933</v>
      </c>
      <c r="C494" s="56" t="s">
        <v>1663</v>
      </c>
      <c r="D494" s="56" t="s">
        <v>1648</v>
      </c>
      <c r="E494" s="56" t="s">
        <v>1648</v>
      </c>
      <c r="F494" s="56" t="s">
        <v>570</v>
      </c>
      <c r="G494">
        <v>1.1189</v>
      </c>
      <c r="H494" s="56" t="s">
        <v>1227</v>
      </c>
      <c r="I494" s="56" t="s">
        <v>1664</v>
      </c>
      <c r="J494">
        <v>0</v>
      </c>
      <c r="K494">
        <v>0</v>
      </c>
      <c r="L494">
        <v>28</v>
      </c>
      <c r="M494">
        <v>7933</v>
      </c>
      <c r="N494" s="56" t="s">
        <v>402</v>
      </c>
      <c r="O494">
        <v>1</v>
      </c>
      <c r="P494" s="59">
        <v>3</v>
      </c>
    </row>
    <row r="495" spans="1:16" x14ac:dyDescent="0.25">
      <c r="A495">
        <v>7950</v>
      </c>
      <c r="B495">
        <v>7950</v>
      </c>
      <c r="C495" s="56" t="s">
        <v>1665</v>
      </c>
      <c r="D495" s="56" t="s">
        <v>1648</v>
      </c>
      <c r="E495" s="56" t="s">
        <v>1648</v>
      </c>
      <c r="F495" s="56" t="s">
        <v>570</v>
      </c>
      <c r="G495">
        <v>0.5071</v>
      </c>
      <c r="H495" s="56" t="s">
        <v>1227</v>
      </c>
      <c r="I495" s="56" t="s">
        <v>1666</v>
      </c>
      <c r="J495">
        <v>0</v>
      </c>
      <c r="K495">
        <v>0</v>
      </c>
      <c r="L495">
        <v>42</v>
      </c>
      <c r="M495">
        <v>7950</v>
      </c>
      <c r="N495" s="56" t="s">
        <v>403</v>
      </c>
      <c r="O495">
        <v>1</v>
      </c>
      <c r="P495" s="59">
        <v>1.65</v>
      </c>
    </row>
    <row r="496" spans="1:16" x14ac:dyDescent="0.25">
      <c r="A496">
        <v>7951</v>
      </c>
      <c r="B496">
        <v>7951</v>
      </c>
      <c r="C496" s="56" t="s">
        <v>1667</v>
      </c>
      <c r="D496" s="56" t="s">
        <v>1648</v>
      </c>
      <c r="E496" s="56" t="s">
        <v>1648</v>
      </c>
      <c r="F496" s="56" t="s">
        <v>570</v>
      </c>
      <c r="G496">
        <v>1.1499999999999999</v>
      </c>
      <c r="H496" s="56" t="s">
        <v>571</v>
      </c>
      <c r="I496" s="56" t="s">
        <v>1668</v>
      </c>
      <c r="J496">
        <v>0</v>
      </c>
      <c r="K496">
        <v>0</v>
      </c>
      <c r="L496">
        <v>12</v>
      </c>
      <c r="M496">
        <v>7951</v>
      </c>
      <c r="N496" s="56" t="s">
        <v>407</v>
      </c>
      <c r="O496">
        <v>1</v>
      </c>
      <c r="P496" s="59">
        <v>3.85</v>
      </c>
    </row>
    <row r="497" spans="1:16" x14ac:dyDescent="0.25">
      <c r="A497">
        <v>7952</v>
      </c>
      <c r="B497">
        <v>7952</v>
      </c>
      <c r="C497" s="56" t="s">
        <v>1669</v>
      </c>
      <c r="D497" s="56" t="s">
        <v>1648</v>
      </c>
      <c r="E497" s="56" t="s">
        <v>1648</v>
      </c>
      <c r="F497" s="56" t="s">
        <v>570</v>
      </c>
      <c r="G497">
        <v>1.1499999999999999</v>
      </c>
      <c r="H497" s="56" t="s">
        <v>571</v>
      </c>
      <c r="I497" s="56" t="s">
        <v>1670</v>
      </c>
      <c r="J497">
        <v>0</v>
      </c>
      <c r="K497">
        <v>0</v>
      </c>
      <c r="L497">
        <v>12</v>
      </c>
      <c r="M497">
        <v>7952</v>
      </c>
      <c r="N497" s="56" t="s">
        <v>408</v>
      </c>
      <c r="O497">
        <v>1</v>
      </c>
      <c r="P497" s="59">
        <v>3.85</v>
      </c>
    </row>
    <row r="498" spans="1:16" x14ac:dyDescent="0.25">
      <c r="A498">
        <v>7953</v>
      </c>
      <c r="B498">
        <v>7953</v>
      </c>
      <c r="C498" s="56" t="s">
        <v>1671</v>
      </c>
      <c r="D498" s="56" t="s">
        <v>1648</v>
      </c>
      <c r="E498" s="56" t="s">
        <v>1648</v>
      </c>
      <c r="F498" s="56" t="s">
        <v>570</v>
      </c>
      <c r="G498">
        <v>0.97909999999999997</v>
      </c>
      <c r="H498" s="56" t="s">
        <v>1227</v>
      </c>
      <c r="I498" s="56" t="s">
        <v>1672</v>
      </c>
      <c r="J498">
        <v>0</v>
      </c>
      <c r="K498">
        <v>0</v>
      </c>
      <c r="L498">
        <v>24</v>
      </c>
      <c r="M498">
        <v>7953</v>
      </c>
      <c r="N498" s="56" t="s">
        <v>409</v>
      </c>
      <c r="O498">
        <v>1</v>
      </c>
      <c r="P498" s="59">
        <v>2.8</v>
      </c>
    </row>
    <row r="499" spans="1:16" x14ac:dyDescent="0.25">
      <c r="A499">
        <v>7954</v>
      </c>
      <c r="B499">
        <v>7954</v>
      </c>
      <c r="C499" s="56" t="s">
        <v>1673</v>
      </c>
      <c r="D499" s="56" t="s">
        <v>1648</v>
      </c>
      <c r="E499" s="56" t="s">
        <v>1648</v>
      </c>
      <c r="F499" s="56" t="s">
        <v>570</v>
      </c>
      <c r="G499">
        <v>0.97909999999999997</v>
      </c>
      <c r="H499" s="56" t="s">
        <v>1227</v>
      </c>
      <c r="I499" s="56" t="s">
        <v>1674</v>
      </c>
      <c r="J499">
        <v>0</v>
      </c>
      <c r="K499">
        <v>0</v>
      </c>
      <c r="L499">
        <v>24</v>
      </c>
      <c r="M499">
        <v>7954</v>
      </c>
      <c r="N499" s="56" t="s">
        <v>412</v>
      </c>
      <c r="O499">
        <v>1</v>
      </c>
      <c r="P499" s="59">
        <v>2.8</v>
      </c>
    </row>
    <row r="500" spans="1:16" x14ac:dyDescent="0.25">
      <c r="A500">
        <v>7955</v>
      </c>
      <c r="B500">
        <v>7955</v>
      </c>
      <c r="C500" s="56" t="s">
        <v>1675</v>
      </c>
      <c r="D500" s="56" t="s">
        <v>1648</v>
      </c>
      <c r="E500" s="56" t="s">
        <v>1648</v>
      </c>
      <c r="F500" s="56" t="s">
        <v>570</v>
      </c>
      <c r="G500">
        <v>0.52890000000000004</v>
      </c>
      <c r="H500" s="56" t="s">
        <v>1227</v>
      </c>
      <c r="I500" s="56" t="s">
        <v>1676</v>
      </c>
      <c r="J500">
        <v>0</v>
      </c>
      <c r="K500">
        <v>0</v>
      </c>
      <c r="L500">
        <v>28</v>
      </c>
      <c r="M500">
        <v>7955</v>
      </c>
      <c r="N500" s="56" t="s">
        <v>414</v>
      </c>
      <c r="O500">
        <v>1</v>
      </c>
      <c r="P500" s="59">
        <v>1.75</v>
      </c>
    </row>
    <row r="501" spans="1:16" x14ac:dyDescent="0.25">
      <c r="A501">
        <v>7956</v>
      </c>
      <c r="B501">
        <v>7956</v>
      </c>
      <c r="C501" s="56" t="s">
        <v>1677</v>
      </c>
      <c r="D501" s="56" t="s">
        <v>1648</v>
      </c>
      <c r="E501" s="56" t="s">
        <v>1648</v>
      </c>
      <c r="F501" s="56" t="s">
        <v>570</v>
      </c>
      <c r="G501">
        <v>0.505</v>
      </c>
      <c r="H501" s="56" t="s">
        <v>1227</v>
      </c>
      <c r="I501" s="56" t="s">
        <v>1678</v>
      </c>
      <c r="J501">
        <v>0</v>
      </c>
      <c r="K501">
        <v>0</v>
      </c>
      <c r="L501">
        <v>64</v>
      </c>
      <c r="M501">
        <v>7956</v>
      </c>
      <c r="N501" s="56" t="s">
        <v>418</v>
      </c>
      <c r="O501">
        <v>1</v>
      </c>
      <c r="P501" s="59">
        <v>1.65</v>
      </c>
    </row>
    <row r="502" spans="1:16" x14ac:dyDescent="0.25">
      <c r="A502">
        <v>7958</v>
      </c>
      <c r="B502">
        <v>7958</v>
      </c>
      <c r="C502" s="56" t="s">
        <v>1679</v>
      </c>
      <c r="D502" s="56" t="s">
        <v>1648</v>
      </c>
      <c r="E502" s="56" t="s">
        <v>1648</v>
      </c>
      <c r="F502" s="56" t="s">
        <v>570</v>
      </c>
      <c r="G502">
        <v>1.1499999999999999</v>
      </c>
      <c r="H502" s="56" t="s">
        <v>571</v>
      </c>
      <c r="I502" s="56" t="s">
        <v>1680</v>
      </c>
      <c r="J502">
        <v>0</v>
      </c>
      <c r="K502">
        <v>0</v>
      </c>
      <c r="L502">
        <v>12</v>
      </c>
      <c r="M502">
        <v>7958</v>
      </c>
      <c r="N502" s="56" t="s">
        <v>420</v>
      </c>
      <c r="O502">
        <v>1</v>
      </c>
      <c r="P502" s="59">
        <v>3.5</v>
      </c>
    </row>
    <row r="503" spans="1:16" x14ac:dyDescent="0.25">
      <c r="A503">
        <v>7970</v>
      </c>
      <c r="B503">
        <v>7970</v>
      </c>
      <c r="C503" s="56" t="s">
        <v>1681</v>
      </c>
      <c r="D503" s="56" t="s">
        <v>1648</v>
      </c>
      <c r="E503" s="56" t="s">
        <v>1648</v>
      </c>
      <c r="F503" s="56" t="s">
        <v>570</v>
      </c>
      <c r="G503">
        <v>0.505</v>
      </c>
      <c r="H503" s="56" t="s">
        <v>1227</v>
      </c>
      <c r="I503" s="56" t="s">
        <v>1682</v>
      </c>
      <c r="J503">
        <v>0</v>
      </c>
      <c r="K503">
        <v>0</v>
      </c>
      <c r="L503">
        <v>64</v>
      </c>
      <c r="M503">
        <v>7970</v>
      </c>
      <c r="N503" s="56" t="s">
        <v>423</v>
      </c>
      <c r="O503">
        <v>1</v>
      </c>
      <c r="P503" s="59">
        <v>1.45</v>
      </c>
    </row>
    <row r="504" spans="1:16" x14ac:dyDescent="0.25">
      <c r="A504">
        <v>7971</v>
      </c>
      <c r="B504">
        <v>7971</v>
      </c>
      <c r="C504" s="56" t="s">
        <v>1683</v>
      </c>
      <c r="D504" s="56" t="s">
        <v>1648</v>
      </c>
      <c r="E504" s="56" t="s">
        <v>1648</v>
      </c>
      <c r="F504" s="56" t="s">
        <v>570</v>
      </c>
      <c r="G504">
        <v>0.47799999999999998</v>
      </c>
      <c r="H504" s="56" t="s">
        <v>1227</v>
      </c>
      <c r="I504" s="56" t="s">
        <v>1684</v>
      </c>
      <c r="J504">
        <v>0</v>
      </c>
      <c r="K504">
        <v>0</v>
      </c>
      <c r="L504">
        <v>30</v>
      </c>
      <c r="M504">
        <v>7971</v>
      </c>
      <c r="N504" s="56" t="s">
        <v>426</v>
      </c>
      <c r="O504">
        <v>1</v>
      </c>
      <c r="P504" s="59">
        <v>1.55</v>
      </c>
    </row>
    <row r="505" spans="1:16" x14ac:dyDescent="0.25">
      <c r="A505">
        <v>7973</v>
      </c>
      <c r="B505">
        <v>7973</v>
      </c>
      <c r="C505" s="56" t="s">
        <v>1685</v>
      </c>
      <c r="D505" s="56" t="s">
        <v>1648</v>
      </c>
      <c r="E505" s="56" t="s">
        <v>1648</v>
      </c>
      <c r="F505" s="56" t="s">
        <v>570</v>
      </c>
      <c r="G505">
        <v>0.498</v>
      </c>
      <c r="H505" s="56" t="s">
        <v>1227</v>
      </c>
      <c r="I505" s="56" t="s">
        <v>1686</v>
      </c>
      <c r="J505">
        <v>0</v>
      </c>
      <c r="K505">
        <v>0</v>
      </c>
      <c r="L505">
        <v>30</v>
      </c>
      <c r="M505">
        <v>7973</v>
      </c>
      <c r="N505" s="56" t="s">
        <v>428</v>
      </c>
      <c r="O505">
        <v>1</v>
      </c>
      <c r="P505" s="59">
        <v>1.5</v>
      </c>
    </row>
    <row r="506" spans="1:16" x14ac:dyDescent="0.25">
      <c r="A506">
        <v>7974</v>
      </c>
      <c r="B506">
        <v>7974</v>
      </c>
      <c r="C506" s="56" t="s">
        <v>1687</v>
      </c>
      <c r="D506" s="56" t="s">
        <v>1648</v>
      </c>
      <c r="E506" s="56" t="s">
        <v>1648</v>
      </c>
      <c r="F506" s="56" t="s">
        <v>570</v>
      </c>
      <c r="G506">
        <v>0.505</v>
      </c>
      <c r="H506" s="56" t="s">
        <v>1227</v>
      </c>
      <c r="I506" s="56" t="s">
        <v>1688</v>
      </c>
      <c r="J506">
        <v>0</v>
      </c>
      <c r="K506">
        <v>0</v>
      </c>
      <c r="L506">
        <v>64</v>
      </c>
      <c r="M506">
        <v>7974</v>
      </c>
      <c r="N506" s="56" t="s">
        <v>431</v>
      </c>
      <c r="O506">
        <v>1</v>
      </c>
      <c r="P506" s="59">
        <v>1.45</v>
      </c>
    </row>
    <row r="507" spans="1:16" x14ac:dyDescent="0.25">
      <c r="A507">
        <v>8000</v>
      </c>
      <c r="B507">
        <v>8000</v>
      </c>
      <c r="C507" s="56" t="s">
        <v>1689</v>
      </c>
      <c r="D507" s="56" t="s">
        <v>1690</v>
      </c>
      <c r="E507" s="56" t="s">
        <v>1690</v>
      </c>
      <c r="F507" s="56" t="s">
        <v>570</v>
      </c>
      <c r="G507">
        <v>0.22450000000000001</v>
      </c>
      <c r="H507" s="56" t="s">
        <v>571</v>
      </c>
      <c r="I507" s="56" t="s">
        <v>1691</v>
      </c>
      <c r="J507">
        <v>0</v>
      </c>
      <c r="K507">
        <v>0</v>
      </c>
      <c r="L507">
        <v>24</v>
      </c>
      <c r="M507">
        <v>8000</v>
      </c>
      <c r="N507" s="56" t="s">
        <v>362</v>
      </c>
      <c r="O507">
        <v>1</v>
      </c>
      <c r="P507" s="59">
        <v>0.95</v>
      </c>
    </row>
    <row r="508" spans="1:16" x14ac:dyDescent="0.25">
      <c r="A508">
        <v>8001</v>
      </c>
      <c r="B508">
        <v>8001</v>
      </c>
      <c r="C508" s="56" t="s">
        <v>1692</v>
      </c>
      <c r="D508" s="56" t="s">
        <v>1690</v>
      </c>
      <c r="E508" s="56" t="s">
        <v>1690</v>
      </c>
      <c r="F508" s="56" t="s">
        <v>570</v>
      </c>
      <c r="G508">
        <v>0.2</v>
      </c>
      <c r="H508" s="56" t="s">
        <v>571</v>
      </c>
      <c r="I508" s="56" t="s">
        <v>1693</v>
      </c>
      <c r="J508">
        <v>0</v>
      </c>
      <c r="K508">
        <v>0</v>
      </c>
      <c r="L508">
        <v>24</v>
      </c>
      <c r="M508">
        <v>8001</v>
      </c>
      <c r="N508" s="56" t="s">
        <v>364</v>
      </c>
      <c r="O508">
        <v>1</v>
      </c>
      <c r="P508" s="59">
        <v>0.95</v>
      </c>
    </row>
    <row r="509" spans="1:16" x14ac:dyDescent="0.25">
      <c r="A509">
        <v>8002</v>
      </c>
      <c r="B509">
        <v>8002</v>
      </c>
      <c r="C509" s="56" t="s">
        <v>1694</v>
      </c>
      <c r="D509" s="56" t="s">
        <v>1690</v>
      </c>
      <c r="E509" s="56" t="s">
        <v>1690</v>
      </c>
      <c r="F509" s="56" t="s">
        <v>570</v>
      </c>
      <c r="G509">
        <v>0.2</v>
      </c>
      <c r="H509" s="56" t="s">
        <v>571</v>
      </c>
      <c r="I509" s="56" t="s">
        <v>1695</v>
      </c>
      <c r="J509">
        <v>0</v>
      </c>
      <c r="K509">
        <v>0</v>
      </c>
      <c r="L509">
        <v>24</v>
      </c>
      <c r="M509">
        <v>8002</v>
      </c>
      <c r="N509" s="56" t="s">
        <v>366</v>
      </c>
      <c r="O509">
        <v>1</v>
      </c>
      <c r="P509" s="59">
        <v>0.95</v>
      </c>
    </row>
    <row r="510" spans="1:16" x14ac:dyDescent="0.25">
      <c r="A510">
        <v>8010</v>
      </c>
      <c r="B510">
        <v>8010</v>
      </c>
      <c r="C510" s="56" t="s">
        <v>1696</v>
      </c>
      <c r="D510" s="56" t="s">
        <v>1690</v>
      </c>
      <c r="E510" s="56" t="s">
        <v>1690</v>
      </c>
      <c r="F510" s="56" t="s">
        <v>570</v>
      </c>
      <c r="G510">
        <v>0.2</v>
      </c>
      <c r="H510" s="56" t="s">
        <v>571</v>
      </c>
      <c r="I510" s="56" t="s">
        <v>1697</v>
      </c>
      <c r="J510">
        <v>0</v>
      </c>
      <c r="K510">
        <v>0</v>
      </c>
      <c r="L510">
        <v>24</v>
      </c>
      <c r="M510">
        <v>8010</v>
      </c>
      <c r="N510" s="56" t="s">
        <v>368</v>
      </c>
      <c r="O510">
        <v>1</v>
      </c>
      <c r="P510" s="59">
        <v>0.95</v>
      </c>
    </row>
    <row r="511" spans="1:16" x14ac:dyDescent="0.25">
      <c r="A511">
        <v>8011</v>
      </c>
      <c r="B511">
        <v>8011</v>
      </c>
      <c r="C511" s="56" t="s">
        <v>1698</v>
      </c>
      <c r="D511" s="56" t="s">
        <v>1690</v>
      </c>
      <c r="E511" s="56" t="s">
        <v>1690</v>
      </c>
      <c r="F511" s="56" t="s">
        <v>570</v>
      </c>
      <c r="G511">
        <v>0.2</v>
      </c>
      <c r="H511" s="56" t="s">
        <v>571</v>
      </c>
      <c r="I511" s="56" t="s">
        <v>1699</v>
      </c>
      <c r="J511">
        <v>0</v>
      </c>
      <c r="K511">
        <v>0</v>
      </c>
      <c r="L511">
        <v>24</v>
      </c>
      <c r="M511">
        <v>8011</v>
      </c>
      <c r="N511" s="56" t="s">
        <v>371</v>
      </c>
      <c r="O511">
        <v>1</v>
      </c>
      <c r="P511" s="59">
        <v>0.95</v>
      </c>
    </row>
    <row r="512" spans="1:16" x14ac:dyDescent="0.25">
      <c r="A512">
        <v>8012</v>
      </c>
      <c r="B512">
        <v>8012</v>
      </c>
      <c r="C512" s="56" t="s">
        <v>1700</v>
      </c>
      <c r="D512" s="56" t="s">
        <v>1690</v>
      </c>
      <c r="E512" s="56" t="s">
        <v>1690</v>
      </c>
      <c r="F512" s="56" t="s">
        <v>570</v>
      </c>
      <c r="G512">
        <v>0.2</v>
      </c>
      <c r="H512" s="56" t="s">
        <v>571</v>
      </c>
      <c r="I512" s="56" t="s">
        <v>1701</v>
      </c>
      <c r="J512">
        <v>0</v>
      </c>
      <c r="K512">
        <v>0</v>
      </c>
      <c r="L512">
        <v>24</v>
      </c>
      <c r="M512">
        <v>8012</v>
      </c>
      <c r="N512" s="56" t="s">
        <v>374</v>
      </c>
      <c r="O512">
        <v>1</v>
      </c>
      <c r="P512" s="59">
        <v>0.95</v>
      </c>
    </row>
    <row r="513" spans="1:16" x14ac:dyDescent="0.25">
      <c r="A513">
        <v>8013</v>
      </c>
      <c r="B513">
        <v>8013</v>
      </c>
      <c r="C513" s="56" t="s">
        <v>1702</v>
      </c>
      <c r="D513" s="56" t="s">
        <v>1690</v>
      </c>
      <c r="E513" s="56" t="s">
        <v>1690</v>
      </c>
      <c r="F513" s="56" t="s">
        <v>570</v>
      </c>
      <c r="G513">
        <v>0.2</v>
      </c>
      <c r="H513" s="56" t="s">
        <v>571</v>
      </c>
      <c r="I513" s="56" t="s">
        <v>1703</v>
      </c>
      <c r="J513">
        <v>0</v>
      </c>
      <c r="K513">
        <v>0</v>
      </c>
      <c r="L513">
        <v>24</v>
      </c>
      <c r="M513">
        <v>8013</v>
      </c>
      <c r="N513" s="56" t="s">
        <v>377</v>
      </c>
      <c r="O513">
        <v>1</v>
      </c>
      <c r="P513" s="59">
        <v>0.95</v>
      </c>
    </row>
    <row r="514" spans="1:16" x14ac:dyDescent="0.25">
      <c r="A514">
        <v>8016</v>
      </c>
      <c r="B514">
        <v>8016</v>
      </c>
      <c r="C514" s="56" t="s">
        <v>1704</v>
      </c>
      <c r="D514" s="56" t="s">
        <v>1690</v>
      </c>
      <c r="E514" s="56" t="s">
        <v>1690</v>
      </c>
      <c r="F514" s="56" t="s">
        <v>570</v>
      </c>
      <c r="G514">
        <v>0.2</v>
      </c>
      <c r="H514" s="56" t="s">
        <v>571</v>
      </c>
      <c r="I514" s="56" t="s">
        <v>1705</v>
      </c>
      <c r="J514">
        <v>0</v>
      </c>
      <c r="K514">
        <v>0</v>
      </c>
      <c r="L514">
        <v>24</v>
      </c>
      <c r="M514">
        <v>8016</v>
      </c>
      <c r="N514" s="56" t="s">
        <v>1706</v>
      </c>
      <c r="O514">
        <v>1</v>
      </c>
      <c r="P514" s="59">
        <v>0.95</v>
      </c>
    </row>
    <row r="515" spans="1:16" x14ac:dyDescent="0.25">
      <c r="A515">
        <v>8020</v>
      </c>
      <c r="B515">
        <v>8020</v>
      </c>
      <c r="C515" s="56" t="s">
        <v>1707</v>
      </c>
      <c r="D515" s="56" t="s">
        <v>1690</v>
      </c>
      <c r="E515" s="56" t="s">
        <v>1690</v>
      </c>
      <c r="F515" s="56" t="s">
        <v>570</v>
      </c>
      <c r="G515">
        <v>0.2</v>
      </c>
      <c r="H515" s="56" t="s">
        <v>571</v>
      </c>
      <c r="I515" s="56" t="s">
        <v>1708</v>
      </c>
      <c r="J515">
        <v>0</v>
      </c>
      <c r="K515">
        <v>0</v>
      </c>
      <c r="L515">
        <v>24</v>
      </c>
      <c r="M515">
        <v>8020</v>
      </c>
      <c r="N515" s="56" t="s">
        <v>380</v>
      </c>
      <c r="O515">
        <v>1</v>
      </c>
      <c r="P515" s="59">
        <v>0.95</v>
      </c>
    </row>
    <row r="516" spans="1:16" x14ac:dyDescent="0.25">
      <c r="A516">
        <v>8021</v>
      </c>
      <c r="B516">
        <v>8021</v>
      </c>
      <c r="C516" s="56" t="s">
        <v>1709</v>
      </c>
      <c r="D516" s="56" t="s">
        <v>1690</v>
      </c>
      <c r="E516" s="56" t="s">
        <v>1690</v>
      </c>
      <c r="F516" s="56" t="s">
        <v>570</v>
      </c>
      <c r="G516">
        <v>0.2</v>
      </c>
      <c r="H516" s="56" t="s">
        <v>571</v>
      </c>
      <c r="I516" s="56" t="s">
        <v>1710</v>
      </c>
      <c r="J516">
        <v>0</v>
      </c>
      <c r="K516">
        <v>0</v>
      </c>
      <c r="L516">
        <v>24</v>
      </c>
      <c r="M516">
        <v>8021</v>
      </c>
      <c r="N516" s="56" t="s">
        <v>382</v>
      </c>
      <c r="O516">
        <v>1</v>
      </c>
      <c r="P516" s="59">
        <v>0.95</v>
      </c>
    </row>
    <row r="517" spans="1:16" x14ac:dyDescent="0.25">
      <c r="A517">
        <v>8030</v>
      </c>
      <c r="B517">
        <v>8030</v>
      </c>
      <c r="C517" s="56" t="s">
        <v>1711</v>
      </c>
      <c r="D517" s="56" t="s">
        <v>1690</v>
      </c>
      <c r="E517" s="56" t="s">
        <v>1690</v>
      </c>
      <c r="F517" s="56" t="s">
        <v>570</v>
      </c>
      <c r="G517">
        <v>0.2</v>
      </c>
      <c r="H517" s="56" t="s">
        <v>571</v>
      </c>
      <c r="I517" s="56" t="s">
        <v>1712</v>
      </c>
      <c r="J517">
        <v>0</v>
      </c>
      <c r="K517">
        <v>0</v>
      </c>
      <c r="L517">
        <v>24</v>
      </c>
      <c r="M517">
        <v>8030</v>
      </c>
      <c r="N517" s="56" t="s">
        <v>384</v>
      </c>
      <c r="O517">
        <v>1</v>
      </c>
      <c r="P517" s="59">
        <v>0.95</v>
      </c>
    </row>
    <row r="518" spans="1:16" x14ac:dyDescent="0.25">
      <c r="A518">
        <v>8040</v>
      </c>
      <c r="B518">
        <v>8040</v>
      </c>
      <c r="C518" s="56" t="s">
        <v>1713</v>
      </c>
      <c r="D518" s="56" t="s">
        <v>1690</v>
      </c>
      <c r="E518" s="56" t="s">
        <v>1690</v>
      </c>
      <c r="F518" s="56" t="s">
        <v>570</v>
      </c>
      <c r="G518">
        <v>0.2</v>
      </c>
      <c r="H518" s="56" t="s">
        <v>571</v>
      </c>
      <c r="I518" s="56" t="s">
        <v>1714</v>
      </c>
      <c r="J518">
        <v>0</v>
      </c>
      <c r="K518">
        <v>0</v>
      </c>
      <c r="L518">
        <v>24</v>
      </c>
      <c r="M518">
        <v>8040</v>
      </c>
      <c r="N518" s="56" t="s">
        <v>386</v>
      </c>
      <c r="O518">
        <v>1</v>
      </c>
      <c r="P518" s="59">
        <v>0.95</v>
      </c>
    </row>
    <row r="519" spans="1:16" x14ac:dyDescent="0.25">
      <c r="A519">
        <v>8900</v>
      </c>
      <c r="B519">
        <v>8900</v>
      </c>
      <c r="C519" s="56" t="s">
        <v>1715</v>
      </c>
      <c r="D519" s="56" t="s">
        <v>1716</v>
      </c>
      <c r="E519" s="56" t="s">
        <v>1716</v>
      </c>
      <c r="F519" s="56" t="s">
        <v>570</v>
      </c>
      <c r="G519">
        <v>0.63</v>
      </c>
      <c r="H519" s="56" t="s">
        <v>571</v>
      </c>
      <c r="I519" s="56" t="s">
        <v>1717</v>
      </c>
      <c r="J519">
        <v>0</v>
      </c>
      <c r="K519">
        <v>0</v>
      </c>
      <c r="L519">
        <v>1</v>
      </c>
      <c r="M519">
        <v>8900</v>
      </c>
      <c r="N519" s="56" t="s">
        <v>1718</v>
      </c>
      <c r="O519">
        <v>1</v>
      </c>
      <c r="P519" s="59">
        <v>2.25</v>
      </c>
    </row>
    <row r="520" spans="1:16" x14ac:dyDescent="0.25">
      <c r="C520" s="56"/>
      <c r="D520" s="56"/>
      <c r="E520" s="56"/>
      <c r="F520" s="56"/>
      <c r="H520" s="56"/>
      <c r="I520" s="56"/>
      <c r="N520" s="56"/>
    </row>
    <row r="521" spans="1:16" x14ac:dyDescent="0.25">
      <c r="C521" s="56"/>
      <c r="D521" s="56"/>
      <c r="E521" s="56"/>
      <c r="F521" s="56"/>
      <c r="H521" s="56"/>
      <c r="I521" s="56"/>
      <c r="N521" s="56"/>
    </row>
    <row r="522" spans="1:16" x14ac:dyDescent="0.25">
      <c r="C522" s="56"/>
      <c r="D522" s="56"/>
      <c r="E522" s="56"/>
      <c r="F522" s="56"/>
      <c r="H522" s="56"/>
      <c r="I522" s="56"/>
      <c r="N522" s="56"/>
    </row>
    <row r="523" spans="1:16" x14ac:dyDescent="0.25">
      <c r="C523" s="56"/>
      <c r="D523" s="56"/>
      <c r="E523" s="56"/>
      <c r="F523" s="56"/>
      <c r="H523" s="56"/>
      <c r="I523" s="56"/>
      <c r="N523" s="56"/>
    </row>
    <row r="524" spans="1:16" x14ac:dyDescent="0.25">
      <c r="C524" s="56"/>
      <c r="D524" s="56"/>
      <c r="E524" s="56"/>
      <c r="F524" s="56"/>
      <c r="H524" s="56"/>
      <c r="I524" s="56"/>
      <c r="N524" s="56"/>
    </row>
    <row r="525" spans="1:16" x14ac:dyDescent="0.25">
      <c r="C525" s="56"/>
      <c r="D525" s="56"/>
      <c r="E525" s="56"/>
      <c r="F525" s="56"/>
      <c r="H525" s="56"/>
      <c r="I525" s="56"/>
      <c r="N525" s="56"/>
    </row>
    <row r="526" spans="1:16" x14ac:dyDescent="0.25">
      <c r="C526" s="56"/>
      <c r="D526" s="56"/>
      <c r="E526" s="56"/>
      <c r="F526" s="56"/>
      <c r="H526" s="56"/>
      <c r="I526" s="56"/>
      <c r="N526" s="56"/>
    </row>
    <row r="527" spans="1:16" x14ac:dyDescent="0.25">
      <c r="C527" s="56"/>
      <c r="D527" s="56"/>
      <c r="E527" s="56"/>
      <c r="F527" s="56"/>
      <c r="H527" s="56"/>
      <c r="I527" s="56"/>
      <c r="N527" s="56"/>
    </row>
    <row r="528" spans="1:16" x14ac:dyDescent="0.25">
      <c r="C528" s="56"/>
      <c r="D528" s="56"/>
      <c r="E528" s="56"/>
      <c r="F528" s="56"/>
      <c r="H528" s="56"/>
      <c r="I528" s="56"/>
      <c r="N528" s="56"/>
    </row>
    <row r="529" spans="3:14" x14ac:dyDescent="0.25">
      <c r="C529" s="56"/>
      <c r="D529" s="56"/>
      <c r="E529" s="56"/>
      <c r="F529" s="56"/>
      <c r="H529" s="56"/>
      <c r="I529" s="56"/>
      <c r="N529" s="56"/>
    </row>
    <row r="530" spans="3:14" x14ac:dyDescent="0.25">
      <c r="C530" s="56"/>
      <c r="D530" s="56"/>
      <c r="E530" s="56"/>
      <c r="F530" s="56"/>
      <c r="H530" s="56"/>
      <c r="I530" s="56"/>
      <c r="N530" s="56"/>
    </row>
    <row r="531" spans="3:14" x14ac:dyDescent="0.25">
      <c r="C531" s="56"/>
      <c r="D531" s="56"/>
      <c r="E531" s="56"/>
      <c r="F531" s="56"/>
      <c r="H531" s="56"/>
      <c r="I531" s="56"/>
      <c r="N531" s="56"/>
    </row>
    <row r="532" spans="3:14" x14ac:dyDescent="0.25">
      <c r="C532" s="56"/>
      <c r="D532" s="56"/>
      <c r="E532" s="56"/>
      <c r="F532" s="56"/>
      <c r="H532" s="56"/>
      <c r="I532" s="56"/>
      <c r="N532" s="56"/>
    </row>
    <row r="533" spans="3:14" x14ac:dyDescent="0.25">
      <c r="C533" s="56"/>
      <c r="D533" s="56"/>
      <c r="E533" s="56"/>
      <c r="F533" s="56"/>
      <c r="H533" s="56"/>
      <c r="I533" s="56"/>
      <c r="N533" s="56"/>
    </row>
    <row r="534" spans="3:14" x14ac:dyDescent="0.25">
      <c r="C534" s="56"/>
      <c r="D534" s="56"/>
      <c r="E534" s="56"/>
      <c r="F534" s="56"/>
      <c r="H534" s="56"/>
      <c r="I534" s="56"/>
      <c r="N534" s="56"/>
    </row>
    <row r="535" spans="3:14" x14ac:dyDescent="0.25">
      <c r="C535" s="56"/>
      <c r="D535" s="56"/>
      <c r="E535" s="56"/>
      <c r="F535" s="56"/>
      <c r="H535" s="56"/>
      <c r="I535" s="56"/>
      <c r="N535" s="56"/>
    </row>
    <row r="536" spans="3:14" x14ac:dyDescent="0.25">
      <c r="C536" s="56"/>
      <c r="D536" s="56"/>
      <c r="E536" s="56"/>
      <c r="F536" s="56"/>
      <c r="H536" s="56"/>
      <c r="I536" s="56"/>
      <c r="N536" s="56"/>
    </row>
    <row r="537" spans="3:14" x14ac:dyDescent="0.25">
      <c r="C537" s="56"/>
      <c r="D537" s="56"/>
      <c r="E537" s="56"/>
      <c r="F537" s="56"/>
      <c r="H537" s="56"/>
      <c r="I537" s="56"/>
      <c r="N537" s="56"/>
    </row>
    <row r="538" spans="3:14" x14ac:dyDescent="0.25">
      <c r="C538" s="56"/>
      <c r="D538" s="56"/>
      <c r="E538" s="56"/>
      <c r="F538" s="56"/>
      <c r="H538" s="56"/>
      <c r="I538" s="56"/>
      <c r="N538" s="56"/>
    </row>
    <row r="539" spans="3:14" x14ac:dyDescent="0.25">
      <c r="C539" s="56"/>
      <c r="D539" s="56"/>
      <c r="E539" s="56"/>
      <c r="F539" s="56"/>
      <c r="H539" s="56"/>
      <c r="I539" s="56"/>
      <c r="N539" s="56"/>
    </row>
    <row r="540" spans="3:14" x14ac:dyDescent="0.25">
      <c r="C540" s="56"/>
      <c r="D540" s="56"/>
      <c r="E540" s="56"/>
      <c r="F540" s="56"/>
      <c r="H540" s="56"/>
      <c r="I540" s="56"/>
      <c r="N540" s="56"/>
    </row>
    <row r="541" spans="3:14" x14ac:dyDescent="0.25">
      <c r="C541" s="56"/>
      <c r="D541" s="56"/>
      <c r="E541" s="56"/>
      <c r="F541" s="56"/>
      <c r="H541" s="56"/>
      <c r="I541" s="56"/>
      <c r="N541" s="56"/>
    </row>
    <row r="542" spans="3:14" x14ac:dyDescent="0.25">
      <c r="C542" s="56"/>
      <c r="D542" s="56"/>
      <c r="E542" s="56"/>
      <c r="F542" s="56"/>
      <c r="H542" s="56"/>
      <c r="I542" s="56"/>
      <c r="N542" s="56"/>
    </row>
    <row r="543" spans="3:14" x14ac:dyDescent="0.25">
      <c r="C543" s="56"/>
      <c r="D543" s="56"/>
      <c r="E543" s="56"/>
      <c r="F543" s="56"/>
      <c r="H543" s="56"/>
      <c r="I543" s="56"/>
      <c r="N543" s="56"/>
    </row>
    <row r="544" spans="3:14" x14ac:dyDescent="0.25">
      <c r="C544" s="56"/>
      <c r="D544" s="56"/>
      <c r="E544" s="56"/>
      <c r="F544" s="56"/>
      <c r="H544" s="56"/>
      <c r="I544" s="56"/>
      <c r="N544" s="56"/>
    </row>
    <row r="545" spans="3:14" x14ac:dyDescent="0.25">
      <c r="C545" s="56"/>
      <c r="D545" s="56"/>
      <c r="E545" s="56"/>
      <c r="F545" s="56"/>
      <c r="H545" s="56"/>
      <c r="I545" s="56"/>
      <c r="N545" s="56"/>
    </row>
    <row r="546" spans="3:14" x14ac:dyDescent="0.25">
      <c r="C546" s="56"/>
      <c r="D546" s="56"/>
      <c r="E546" s="56"/>
      <c r="F546" s="56"/>
      <c r="H546" s="56"/>
      <c r="I546" s="56"/>
      <c r="N546" s="56"/>
    </row>
    <row r="547" spans="3:14" x14ac:dyDescent="0.25">
      <c r="C547" s="56"/>
      <c r="D547" s="56"/>
      <c r="E547" s="56"/>
      <c r="F547" s="56"/>
      <c r="H547" s="56"/>
      <c r="I547" s="56"/>
      <c r="N547" s="56"/>
    </row>
    <row r="548" spans="3:14" x14ac:dyDescent="0.25">
      <c r="C548" s="56"/>
      <c r="D548" s="56"/>
      <c r="E548" s="56"/>
      <c r="F548" s="56"/>
      <c r="H548" s="56"/>
      <c r="I548" s="56"/>
      <c r="N548" s="56"/>
    </row>
    <row r="549" spans="3:14" x14ac:dyDescent="0.25">
      <c r="C549" s="56"/>
      <c r="D549" s="56"/>
      <c r="E549" s="56"/>
      <c r="F549" s="56"/>
      <c r="H549" s="56"/>
      <c r="I549" s="56"/>
      <c r="N549" s="56"/>
    </row>
    <row r="550" spans="3:14" x14ac:dyDescent="0.25">
      <c r="C550" s="56"/>
      <c r="D550" s="56"/>
      <c r="E550" s="56"/>
      <c r="F550" s="56"/>
      <c r="H550" s="56"/>
      <c r="I550" s="56"/>
      <c r="N550" s="56"/>
    </row>
    <row r="551" spans="3:14" x14ac:dyDescent="0.25">
      <c r="C551" s="56"/>
      <c r="D551" s="56"/>
      <c r="E551" s="56"/>
      <c r="F551" s="56"/>
      <c r="H551" s="56"/>
      <c r="I551" s="56"/>
      <c r="N551" s="56"/>
    </row>
    <row r="552" spans="3:14" x14ac:dyDescent="0.25">
      <c r="C552" s="56"/>
      <c r="D552" s="56"/>
      <c r="E552" s="56"/>
      <c r="F552" s="56"/>
      <c r="H552" s="56"/>
      <c r="I552" s="56"/>
      <c r="N552" s="56"/>
    </row>
    <row r="553" spans="3:14" x14ac:dyDescent="0.25">
      <c r="C553" s="56"/>
      <c r="D553" s="56"/>
      <c r="E553" s="56"/>
      <c r="F553" s="56"/>
      <c r="H553" s="56"/>
      <c r="I553" s="56"/>
      <c r="N553" s="56"/>
    </row>
    <row r="554" spans="3:14" x14ac:dyDescent="0.25">
      <c r="C554" s="56"/>
      <c r="D554" s="56"/>
      <c r="E554" s="56"/>
      <c r="F554" s="56"/>
      <c r="H554" s="56"/>
      <c r="I554" s="56"/>
      <c r="N554" s="56"/>
    </row>
    <row r="555" spans="3:14" x14ac:dyDescent="0.25">
      <c r="C555" s="56"/>
      <c r="D555" s="56"/>
      <c r="E555" s="56"/>
      <c r="F555" s="56"/>
      <c r="H555" s="56"/>
      <c r="I555" s="56"/>
      <c r="N555" s="56"/>
    </row>
    <row r="556" spans="3:14" x14ac:dyDescent="0.25">
      <c r="C556" s="56"/>
      <c r="D556" s="56"/>
      <c r="E556" s="56"/>
      <c r="F556" s="56"/>
      <c r="H556" s="56"/>
      <c r="I556" s="56"/>
      <c r="N556" s="56"/>
    </row>
    <row r="557" spans="3:14" x14ac:dyDescent="0.25">
      <c r="C557" s="56"/>
      <c r="D557" s="56"/>
      <c r="E557" s="56"/>
      <c r="F557" s="56"/>
      <c r="H557" s="56"/>
      <c r="I557" s="56"/>
      <c r="N557" s="56"/>
    </row>
    <row r="558" spans="3:14" x14ac:dyDescent="0.25">
      <c r="C558" s="56"/>
      <c r="D558" s="56"/>
      <c r="E558" s="56"/>
      <c r="F558" s="56"/>
      <c r="H558" s="56"/>
      <c r="I558" s="56"/>
      <c r="N558" s="56"/>
    </row>
    <row r="559" spans="3:14" x14ac:dyDescent="0.25">
      <c r="C559" s="56"/>
      <c r="D559" s="56"/>
      <c r="E559" s="56"/>
      <c r="F559" s="56"/>
      <c r="H559" s="56"/>
      <c r="I559" s="56"/>
      <c r="N559" s="56"/>
    </row>
    <row r="560" spans="3:14" x14ac:dyDescent="0.25">
      <c r="C560" s="56"/>
      <c r="D560" s="56"/>
      <c r="E560" s="56"/>
      <c r="F560" s="56"/>
      <c r="H560" s="56"/>
      <c r="I560" s="56"/>
      <c r="N560" s="56"/>
    </row>
    <row r="561" spans="3:14" x14ac:dyDescent="0.25">
      <c r="C561" s="56"/>
      <c r="D561" s="56"/>
      <c r="E561" s="56"/>
      <c r="F561" s="56"/>
      <c r="H561" s="56"/>
      <c r="I561" s="56"/>
      <c r="N561" s="56"/>
    </row>
    <row r="562" spans="3:14" x14ac:dyDescent="0.25">
      <c r="C562" s="56"/>
      <c r="D562" s="56"/>
      <c r="E562" s="56"/>
      <c r="F562" s="56"/>
      <c r="H562" s="56"/>
      <c r="I562" s="56"/>
      <c r="N562" s="56"/>
    </row>
    <row r="563" spans="3:14" x14ac:dyDescent="0.25">
      <c r="C563" s="56"/>
      <c r="D563" s="56"/>
      <c r="E563" s="56"/>
      <c r="F563" s="56"/>
      <c r="H563" s="56"/>
      <c r="I563" s="56"/>
      <c r="N563" s="56"/>
    </row>
    <row r="564" spans="3:14" x14ac:dyDescent="0.25">
      <c r="C564" s="56"/>
      <c r="D564" s="56"/>
      <c r="E564" s="56"/>
      <c r="F564" s="56"/>
      <c r="H564" s="56"/>
      <c r="I564" s="56"/>
      <c r="N564" s="56"/>
    </row>
    <row r="565" spans="3:14" x14ac:dyDescent="0.25">
      <c r="C565" s="56"/>
      <c r="D565" s="56"/>
      <c r="E565" s="56"/>
      <c r="F565" s="56"/>
      <c r="H565" s="56"/>
      <c r="I565" s="56"/>
      <c r="N565" s="56"/>
    </row>
    <row r="566" spans="3:14" x14ac:dyDescent="0.25">
      <c r="C566" s="56"/>
      <c r="D566" s="56"/>
      <c r="E566" s="56"/>
      <c r="F566" s="56"/>
      <c r="H566" s="56"/>
      <c r="I566" s="56"/>
      <c r="N566" s="56"/>
    </row>
    <row r="567" spans="3:14" x14ac:dyDescent="0.25">
      <c r="C567" s="56"/>
      <c r="D567" s="56"/>
      <c r="E567" s="56"/>
      <c r="F567" s="56"/>
      <c r="H567" s="56"/>
      <c r="I567" s="56"/>
      <c r="N567" s="56"/>
    </row>
    <row r="568" spans="3:14" x14ac:dyDescent="0.25">
      <c r="C568" s="56"/>
      <c r="D568" s="56"/>
      <c r="E568" s="56"/>
      <c r="F568" s="56"/>
      <c r="H568" s="56"/>
      <c r="I568" s="56"/>
      <c r="N568" s="56"/>
    </row>
    <row r="569" spans="3:14" x14ac:dyDescent="0.25">
      <c r="C569" s="56"/>
      <c r="D569" s="56"/>
      <c r="E569" s="56"/>
      <c r="F569" s="56"/>
      <c r="H569" s="56"/>
      <c r="I569" s="56"/>
      <c r="N569" s="56"/>
    </row>
    <row r="570" spans="3:14" x14ac:dyDescent="0.25">
      <c r="C570" s="56"/>
      <c r="D570" s="56"/>
      <c r="E570" s="56"/>
      <c r="F570" s="56"/>
      <c r="H570" s="56"/>
      <c r="I570" s="56"/>
      <c r="N570" s="56"/>
    </row>
    <row r="571" spans="3:14" x14ac:dyDescent="0.25">
      <c r="C571" s="56"/>
      <c r="D571" s="56"/>
      <c r="E571" s="56"/>
      <c r="F571" s="56"/>
      <c r="H571" s="56"/>
      <c r="I571" s="56"/>
      <c r="N571" s="56"/>
    </row>
    <row r="572" spans="3:14" x14ac:dyDescent="0.25">
      <c r="C572" s="56"/>
      <c r="D572" s="56"/>
      <c r="E572" s="56"/>
      <c r="F572" s="56"/>
      <c r="H572" s="56"/>
      <c r="I572" s="56"/>
      <c r="N572" s="56"/>
    </row>
    <row r="573" spans="3:14" x14ac:dyDescent="0.25">
      <c r="C573" s="56"/>
      <c r="D573" s="56"/>
      <c r="E573" s="56"/>
      <c r="F573" s="56"/>
      <c r="H573" s="56"/>
      <c r="I573" s="56"/>
      <c r="N573" s="56"/>
    </row>
    <row r="574" spans="3:14" x14ac:dyDescent="0.25">
      <c r="C574" s="56"/>
      <c r="D574" s="56"/>
      <c r="E574" s="56"/>
      <c r="F574" s="56"/>
      <c r="H574" s="56"/>
      <c r="I574" s="56"/>
      <c r="N574" s="56"/>
    </row>
    <row r="575" spans="3:14" x14ac:dyDescent="0.25">
      <c r="C575" s="56"/>
      <c r="D575" s="56"/>
      <c r="E575" s="56"/>
      <c r="F575" s="56"/>
      <c r="H575" s="56"/>
      <c r="I575" s="56"/>
      <c r="N575" s="56"/>
    </row>
    <row r="576" spans="3:14" x14ac:dyDescent="0.25">
      <c r="C576" s="56"/>
      <c r="D576" s="56"/>
      <c r="E576" s="56"/>
      <c r="F576" s="56"/>
      <c r="H576" s="56"/>
      <c r="I576" s="56"/>
      <c r="N576" s="56"/>
    </row>
    <row r="577" spans="3:14" x14ac:dyDescent="0.25">
      <c r="C577" s="56"/>
      <c r="D577" s="56"/>
      <c r="E577" s="56"/>
      <c r="F577" s="56"/>
      <c r="H577" s="56"/>
      <c r="I577" s="56"/>
      <c r="N577" s="56"/>
    </row>
    <row r="578" spans="3:14" x14ac:dyDescent="0.25">
      <c r="C578" s="56"/>
      <c r="D578" s="56"/>
      <c r="E578" s="56"/>
      <c r="F578" s="56"/>
      <c r="H578" s="56"/>
      <c r="I578" s="56"/>
      <c r="N578" s="56"/>
    </row>
    <row r="579" spans="3:14" x14ac:dyDescent="0.25">
      <c r="C579" s="56"/>
      <c r="D579" s="56"/>
      <c r="E579" s="56"/>
      <c r="F579" s="56"/>
      <c r="H579" s="56"/>
      <c r="I579" s="56"/>
      <c r="N579" s="56"/>
    </row>
    <row r="580" spans="3:14" x14ac:dyDescent="0.25">
      <c r="C580" s="56"/>
      <c r="D580" s="56"/>
      <c r="E580" s="56"/>
      <c r="F580" s="56"/>
      <c r="H580" s="56"/>
      <c r="I580" s="56"/>
      <c r="N580" s="56"/>
    </row>
    <row r="581" spans="3:14" x14ac:dyDescent="0.25">
      <c r="C581" s="56"/>
      <c r="D581" s="56"/>
      <c r="E581" s="56"/>
      <c r="F581" s="56"/>
      <c r="H581" s="56"/>
      <c r="I581" s="56"/>
      <c r="N581" s="56"/>
    </row>
    <row r="582" spans="3:14" x14ac:dyDescent="0.25">
      <c r="C582" s="56"/>
      <c r="D582" s="56"/>
      <c r="E582" s="56"/>
      <c r="F582" s="56"/>
      <c r="H582" s="56"/>
      <c r="I582" s="56"/>
      <c r="N582" s="56"/>
    </row>
    <row r="583" spans="3:14" x14ac:dyDescent="0.25">
      <c r="C583" s="56"/>
      <c r="D583" s="56"/>
      <c r="E583" s="56"/>
      <c r="F583" s="56"/>
      <c r="H583" s="56"/>
      <c r="I583" s="56"/>
      <c r="N583" s="56"/>
    </row>
    <row r="584" spans="3:14" x14ac:dyDescent="0.25">
      <c r="C584" s="56"/>
      <c r="D584" s="56"/>
      <c r="E584" s="56"/>
      <c r="F584" s="56"/>
      <c r="H584" s="56"/>
      <c r="I584" s="56"/>
      <c r="N584" s="56"/>
    </row>
    <row r="585" spans="3:14" x14ac:dyDescent="0.25">
      <c r="C585" s="56"/>
      <c r="D585" s="56"/>
      <c r="E585" s="56"/>
      <c r="F585" s="56"/>
      <c r="H585" s="56"/>
      <c r="I585" s="56"/>
      <c r="N585" s="56"/>
    </row>
    <row r="586" spans="3:14" x14ac:dyDescent="0.25">
      <c r="C586" s="56"/>
      <c r="D586" s="56"/>
      <c r="E586" s="56"/>
      <c r="F586" s="56"/>
      <c r="H586" s="56"/>
      <c r="I586" s="56"/>
      <c r="N586" s="56"/>
    </row>
    <row r="587" spans="3:14" x14ac:dyDescent="0.25">
      <c r="C587" s="56"/>
      <c r="D587" s="56"/>
      <c r="E587" s="56"/>
      <c r="F587" s="56"/>
      <c r="H587" s="56"/>
      <c r="I587" s="56"/>
      <c r="N587" s="56"/>
    </row>
    <row r="588" spans="3:14" x14ac:dyDescent="0.25">
      <c r="C588" s="56"/>
      <c r="D588" s="56"/>
      <c r="E588" s="56"/>
      <c r="F588" s="56"/>
      <c r="H588" s="56"/>
      <c r="I588" s="56"/>
      <c r="N588" s="56"/>
    </row>
    <row r="589" spans="3:14" x14ac:dyDescent="0.25">
      <c r="C589" s="56"/>
      <c r="D589" s="56"/>
      <c r="E589" s="56"/>
      <c r="F589" s="56"/>
      <c r="H589" s="56"/>
      <c r="I589" s="56"/>
      <c r="N589" s="56"/>
    </row>
    <row r="590" spans="3:14" x14ac:dyDescent="0.25">
      <c r="C590" s="56"/>
      <c r="D590" s="56"/>
      <c r="E590" s="56"/>
      <c r="F590" s="56"/>
      <c r="H590" s="56"/>
      <c r="I590" s="56"/>
      <c r="N590" s="56"/>
    </row>
    <row r="591" spans="3:14" x14ac:dyDescent="0.25">
      <c r="C591" s="56"/>
      <c r="D591" s="56"/>
      <c r="E591" s="56"/>
      <c r="F591" s="56"/>
      <c r="H591" s="56"/>
      <c r="I591" s="56"/>
      <c r="N591" s="56"/>
    </row>
    <row r="592" spans="3:14" x14ac:dyDescent="0.25">
      <c r="C592" s="56"/>
      <c r="D592" s="56"/>
      <c r="E592" s="56"/>
      <c r="F592" s="56"/>
      <c r="H592" s="56"/>
      <c r="I592" s="56"/>
      <c r="N592" s="56"/>
    </row>
    <row r="593" spans="3:14" x14ac:dyDescent="0.25">
      <c r="C593" s="56"/>
      <c r="D593" s="56"/>
      <c r="E593" s="56"/>
      <c r="F593" s="56"/>
      <c r="H593" s="56"/>
      <c r="I593" s="56"/>
      <c r="N593" s="56"/>
    </row>
    <row r="594" spans="3:14" x14ac:dyDescent="0.25">
      <c r="C594" s="56"/>
      <c r="D594" s="56"/>
      <c r="E594" s="56"/>
      <c r="F594" s="56"/>
      <c r="H594" s="56"/>
      <c r="I594" s="56"/>
      <c r="N594" s="56"/>
    </row>
    <row r="595" spans="3:14" x14ac:dyDescent="0.25">
      <c r="C595" s="56"/>
      <c r="D595" s="56"/>
      <c r="E595" s="56"/>
      <c r="F595" s="56"/>
      <c r="H595" s="56"/>
      <c r="I595" s="56"/>
      <c r="N595" s="56"/>
    </row>
    <row r="596" spans="3:14" x14ac:dyDescent="0.25">
      <c r="C596" s="56"/>
      <c r="D596" s="56"/>
      <c r="E596" s="56"/>
      <c r="F596" s="56"/>
      <c r="H596" s="56"/>
      <c r="I596" s="56"/>
      <c r="N596" s="56"/>
    </row>
    <row r="597" spans="3:14" x14ac:dyDescent="0.25">
      <c r="C597" s="56"/>
      <c r="D597" s="56"/>
      <c r="E597" s="56"/>
      <c r="F597" s="56"/>
      <c r="H597" s="56"/>
      <c r="I597" s="56"/>
      <c r="N597" s="56"/>
    </row>
    <row r="598" spans="3:14" x14ac:dyDescent="0.25">
      <c r="C598" s="56"/>
      <c r="D598" s="56"/>
      <c r="E598" s="56"/>
      <c r="F598" s="56"/>
      <c r="H598" s="56"/>
      <c r="I598" s="56"/>
      <c r="N598" s="56"/>
    </row>
    <row r="599" spans="3:14" x14ac:dyDescent="0.25">
      <c r="C599" s="56"/>
      <c r="D599" s="56"/>
      <c r="E599" s="56"/>
      <c r="F599" s="56"/>
      <c r="H599" s="56"/>
      <c r="I599" s="56"/>
      <c r="N599" s="56"/>
    </row>
    <row r="600" spans="3:14" x14ac:dyDescent="0.25">
      <c r="C600" s="56"/>
      <c r="D600" s="56"/>
      <c r="E600" s="56"/>
      <c r="F600" s="56"/>
      <c r="H600" s="56"/>
      <c r="I600" s="56"/>
      <c r="N600" s="56"/>
    </row>
    <row r="601" spans="3:14" x14ac:dyDescent="0.25">
      <c r="C601" s="56"/>
      <c r="D601" s="56"/>
      <c r="E601" s="56"/>
      <c r="F601" s="56"/>
      <c r="H601" s="56"/>
      <c r="I601" s="56"/>
      <c r="N601" s="56"/>
    </row>
    <row r="602" spans="3:14" x14ac:dyDescent="0.25">
      <c r="C602" s="56"/>
      <c r="D602" s="56"/>
      <c r="E602" s="56"/>
      <c r="F602" s="56"/>
      <c r="H602" s="56"/>
      <c r="I602" s="56"/>
      <c r="N602" s="56"/>
    </row>
    <row r="603" spans="3:14" x14ac:dyDescent="0.25">
      <c r="C603" s="56"/>
      <c r="D603" s="56"/>
      <c r="E603" s="56"/>
      <c r="F603" s="56"/>
      <c r="H603" s="56"/>
      <c r="I603" s="56"/>
      <c r="N603" s="56"/>
    </row>
    <row r="604" spans="3:14" x14ac:dyDescent="0.25">
      <c r="C604" s="56"/>
      <c r="D604" s="56"/>
      <c r="E604" s="56"/>
      <c r="F604" s="56"/>
      <c r="H604" s="56"/>
      <c r="I604" s="56"/>
      <c r="N604" s="56"/>
    </row>
    <row r="605" spans="3:14" x14ac:dyDescent="0.25">
      <c r="C605" s="56"/>
      <c r="D605" s="56"/>
      <c r="E605" s="56"/>
      <c r="F605" s="56"/>
      <c r="H605" s="56"/>
      <c r="I605" s="56"/>
      <c r="N605" s="56"/>
    </row>
    <row r="606" spans="3:14" x14ac:dyDescent="0.25">
      <c r="C606" s="56"/>
      <c r="D606" s="56"/>
      <c r="E606" s="56"/>
      <c r="F606" s="56"/>
      <c r="H606" s="56"/>
      <c r="I606" s="56"/>
      <c r="N606" s="56"/>
    </row>
    <row r="607" spans="3:14" x14ac:dyDescent="0.25">
      <c r="C607" s="56"/>
      <c r="D607" s="56"/>
      <c r="E607" s="56"/>
      <c r="F607" s="56"/>
      <c r="H607" s="56"/>
      <c r="I607" s="56"/>
      <c r="N607" s="56"/>
    </row>
    <row r="608" spans="3:14" x14ac:dyDescent="0.25">
      <c r="C608" s="56"/>
      <c r="D608" s="56"/>
      <c r="E608" s="56"/>
      <c r="F608" s="56"/>
      <c r="H608" s="56"/>
      <c r="I608" s="56"/>
      <c r="N608" s="56"/>
    </row>
    <row r="609" spans="3:14" x14ac:dyDescent="0.25">
      <c r="C609" s="56"/>
      <c r="D609" s="56"/>
      <c r="E609" s="56"/>
      <c r="F609" s="56"/>
      <c r="H609" s="56"/>
      <c r="I609" s="56"/>
      <c r="N609" s="56"/>
    </row>
    <row r="610" spans="3:14" x14ac:dyDescent="0.25">
      <c r="C610" s="56"/>
      <c r="D610" s="56"/>
      <c r="E610" s="56"/>
      <c r="F610" s="56"/>
      <c r="H610" s="56"/>
      <c r="I610" s="56"/>
      <c r="N610" s="56"/>
    </row>
    <row r="611" spans="3:14" x14ac:dyDescent="0.25">
      <c r="C611" s="56"/>
      <c r="D611" s="56"/>
      <c r="E611" s="56"/>
      <c r="F611" s="56"/>
      <c r="H611" s="56"/>
      <c r="I611" s="56"/>
      <c r="N611" s="56"/>
    </row>
    <row r="612" spans="3:14" x14ac:dyDescent="0.25">
      <c r="C612" s="56"/>
      <c r="D612" s="56"/>
      <c r="E612" s="56"/>
      <c r="F612" s="56"/>
      <c r="H612" s="56"/>
      <c r="I612" s="56"/>
      <c r="N612" s="56"/>
    </row>
    <row r="613" spans="3:14" x14ac:dyDescent="0.25">
      <c r="C613" s="56"/>
      <c r="D613" s="56"/>
      <c r="E613" s="56"/>
      <c r="F613" s="56"/>
      <c r="H613" s="56"/>
      <c r="I613" s="56"/>
      <c r="N613" s="56"/>
    </row>
    <row r="614" spans="3:14" x14ac:dyDescent="0.25">
      <c r="C614" s="56"/>
      <c r="D614" s="56"/>
      <c r="E614" s="56"/>
      <c r="F614" s="56"/>
      <c r="H614" s="56"/>
      <c r="I614" s="56"/>
      <c r="N614" s="56"/>
    </row>
    <row r="615" spans="3:14" x14ac:dyDescent="0.25">
      <c r="C615" s="56"/>
      <c r="D615" s="56"/>
      <c r="E615" s="56"/>
      <c r="F615" s="56"/>
      <c r="H615" s="56"/>
      <c r="I615" s="56"/>
      <c r="N615" s="56"/>
    </row>
    <row r="616" spans="3:14" x14ac:dyDescent="0.25">
      <c r="C616" s="56"/>
      <c r="D616" s="56"/>
      <c r="E616" s="56"/>
      <c r="F616" s="56"/>
      <c r="H616" s="56"/>
      <c r="I616" s="56"/>
      <c r="N616" s="56"/>
    </row>
    <row r="617" spans="3:14" x14ac:dyDescent="0.25">
      <c r="C617" s="56"/>
      <c r="D617" s="56"/>
      <c r="E617" s="56"/>
      <c r="F617" s="56"/>
      <c r="H617" s="56"/>
      <c r="I617" s="56"/>
      <c r="N617" s="56"/>
    </row>
    <row r="618" spans="3:14" x14ac:dyDescent="0.25">
      <c r="C618" s="56"/>
      <c r="D618" s="56"/>
      <c r="E618" s="56"/>
      <c r="F618" s="56"/>
      <c r="H618" s="56"/>
      <c r="I618" s="56"/>
      <c r="N618" s="56"/>
    </row>
    <row r="619" spans="3:14" x14ac:dyDescent="0.25">
      <c r="C619" s="56"/>
      <c r="D619" s="56"/>
      <c r="E619" s="56"/>
      <c r="F619" s="56"/>
      <c r="H619" s="56"/>
      <c r="I619" s="56"/>
      <c r="N619" s="56"/>
    </row>
    <row r="620" spans="3:14" x14ac:dyDescent="0.25">
      <c r="C620" s="56"/>
      <c r="D620" s="56"/>
      <c r="E620" s="56"/>
      <c r="F620" s="56"/>
      <c r="H620" s="56"/>
      <c r="I620" s="56"/>
      <c r="N620" s="56"/>
    </row>
    <row r="621" spans="3:14" x14ac:dyDescent="0.25">
      <c r="C621" s="56"/>
      <c r="D621" s="56"/>
      <c r="E621" s="56"/>
      <c r="F621" s="56"/>
      <c r="H621" s="56"/>
      <c r="I621" s="56"/>
      <c r="N621" s="56"/>
    </row>
    <row r="622" spans="3:14" x14ac:dyDescent="0.25">
      <c r="C622" s="56"/>
      <c r="D622" s="56"/>
      <c r="E622" s="56"/>
      <c r="F622" s="56"/>
      <c r="H622" s="56"/>
      <c r="I622" s="56"/>
      <c r="N622" s="56"/>
    </row>
    <row r="623" spans="3:14" x14ac:dyDescent="0.25">
      <c r="C623" s="56"/>
      <c r="D623" s="56"/>
      <c r="E623" s="56"/>
      <c r="F623" s="56"/>
      <c r="H623" s="56"/>
      <c r="I623" s="56"/>
      <c r="N623" s="56"/>
    </row>
    <row r="624" spans="3:14" x14ac:dyDescent="0.25">
      <c r="C624" s="56"/>
      <c r="D624" s="56"/>
      <c r="E624" s="56"/>
      <c r="F624" s="56"/>
      <c r="H624" s="56"/>
      <c r="I624" s="56"/>
      <c r="N624" s="56"/>
    </row>
    <row r="625" spans="3:14" x14ac:dyDescent="0.25">
      <c r="C625" s="56"/>
      <c r="D625" s="56"/>
      <c r="E625" s="56"/>
      <c r="F625" s="56"/>
      <c r="H625" s="56"/>
      <c r="I625" s="56"/>
      <c r="N625" s="56"/>
    </row>
    <row r="626" spans="3:14" x14ac:dyDescent="0.25">
      <c r="C626" s="56"/>
      <c r="D626" s="56"/>
      <c r="E626" s="56"/>
      <c r="F626" s="56"/>
      <c r="H626" s="56"/>
      <c r="I626" s="56"/>
      <c r="N626" s="56"/>
    </row>
    <row r="627" spans="3:14" x14ac:dyDescent="0.25">
      <c r="C627" s="56"/>
      <c r="D627" s="56"/>
      <c r="E627" s="56"/>
      <c r="F627" s="56"/>
      <c r="H627" s="56"/>
      <c r="I627" s="56"/>
      <c r="N627" s="56"/>
    </row>
    <row r="628" spans="3:14" x14ac:dyDescent="0.25">
      <c r="C628" s="56"/>
      <c r="D628" s="56"/>
      <c r="E628" s="56"/>
      <c r="F628" s="56"/>
      <c r="H628" s="56"/>
      <c r="I628" s="56"/>
      <c r="N628" s="56"/>
    </row>
    <row r="629" spans="3:14" x14ac:dyDescent="0.25">
      <c r="C629" s="56"/>
      <c r="D629" s="56"/>
      <c r="E629" s="56"/>
      <c r="F629" s="56"/>
      <c r="H629" s="56"/>
      <c r="I629" s="56"/>
      <c r="N629" s="56"/>
    </row>
    <row r="630" spans="3:14" x14ac:dyDescent="0.25">
      <c r="C630" s="56"/>
      <c r="D630" s="56"/>
      <c r="E630" s="56"/>
      <c r="F630" s="56"/>
      <c r="H630" s="56"/>
      <c r="I630" s="56"/>
      <c r="N630" s="56"/>
    </row>
    <row r="631" spans="3:14" x14ac:dyDescent="0.25">
      <c r="C631" s="56"/>
      <c r="D631" s="56"/>
      <c r="E631" s="56"/>
      <c r="F631" s="56"/>
      <c r="H631" s="56"/>
      <c r="I631" s="56"/>
      <c r="N631" s="56"/>
    </row>
    <row r="632" spans="3:14" x14ac:dyDescent="0.25">
      <c r="C632" s="56"/>
      <c r="D632" s="56"/>
      <c r="E632" s="56"/>
      <c r="F632" s="56"/>
      <c r="H632" s="56"/>
      <c r="I632" s="56"/>
      <c r="N632" s="56"/>
    </row>
    <row r="633" spans="3:14" x14ac:dyDescent="0.25">
      <c r="C633" s="56"/>
      <c r="D633" s="56"/>
      <c r="E633" s="56"/>
      <c r="F633" s="56"/>
      <c r="H633" s="56"/>
      <c r="I633" s="56"/>
      <c r="N633" s="56"/>
    </row>
    <row r="634" spans="3:14" x14ac:dyDescent="0.25">
      <c r="C634" s="56"/>
      <c r="D634" s="56"/>
      <c r="E634" s="56"/>
      <c r="F634" s="56"/>
      <c r="H634" s="56"/>
      <c r="I634" s="56"/>
      <c r="N634" s="56"/>
    </row>
    <row r="635" spans="3:14" x14ac:dyDescent="0.25">
      <c r="C635" s="56"/>
      <c r="D635" s="56"/>
      <c r="E635" s="56"/>
      <c r="F635" s="56"/>
      <c r="H635" s="56"/>
      <c r="I635" s="56"/>
      <c r="N635" s="56"/>
    </row>
    <row r="636" spans="3:14" x14ac:dyDescent="0.25">
      <c r="C636" s="56"/>
      <c r="D636" s="56"/>
      <c r="E636" s="56"/>
      <c r="F636" s="56"/>
      <c r="H636" s="56"/>
      <c r="I636" s="56"/>
      <c r="N636" s="56"/>
    </row>
    <row r="637" spans="3:14" x14ac:dyDescent="0.25">
      <c r="C637" s="56"/>
      <c r="D637" s="56"/>
      <c r="E637" s="56"/>
      <c r="F637" s="56"/>
      <c r="H637" s="56"/>
      <c r="I637" s="56"/>
      <c r="N637" s="56"/>
    </row>
    <row r="638" spans="3:14" x14ac:dyDescent="0.25">
      <c r="C638" s="56"/>
      <c r="D638" s="56"/>
      <c r="E638" s="56"/>
      <c r="F638" s="56"/>
      <c r="H638" s="56"/>
      <c r="I638" s="56"/>
      <c r="N638" s="56"/>
    </row>
    <row r="639" spans="3:14" x14ac:dyDescent="0.25">
      <c r="C639" s="56"/>
      <c r="D639" s="56"/>
      <c r="E639" s="56"/>
      <c r="F639" s="56"/>
      <c r="H639" s="56"/>
      <c r="I639" s="56"/>
      <c r="N639" s="56"/>
    </row>
    <row r="640" spans="3:14" x14ac:dyDescent="0.25">
      <c r="C640" s="56"/>
      <c r="D640" s="56"/>
      <c r="E640" s="56"/>
      <c r="F640" s="56"/>
      <c r="H640" s="56"/>
      <c r="I640" s="56"/>
      <c r="N640" s="56"/>
    </row>
    <row r="641" spans="3:14" x14ac:dyDescent="0.25">
      <c r="C641" s="56"/>
      <c r="D641" s="56"/>
      <c r="E641" s="56"/>
      <c r="F641" s="56"/>
      <c r="H641" s="56"/>
      <c r="I641" s="56"/>
      <c r="N641" s="56"/>
    </row>
    <row r="642" spans="3:14" x14ac:dyDescent="0.25">
      <c r="C642" s="56"/>
      <c r="D642" s="56"/>
      <c r="E642" s="56"/>
      <c r="F642" s="56"/>
      <c r="H642" s="56"/>
      <c r="I642" s="56"/>
      <c r="N642" s="56"/>
    </row>
    <row r="643" spans="3:14" x14ac:dyDescent="0.25">
      <c r="C643" s="56"/>
      <c r="D643" s="56"/>
      <c r="E643" s="56"/>
      <c r="F643" s="56"/>
      <c r="H643" s="56"/>
      <c r="I643" s="56"/>
      <c r="N643" s="56"/>
    </row>
    <row r="644" spans="3:14" x14ac:dyDescent="0.25">
      <c r="C644" s="56"/>
      <c r="D644" s="56"/>
      <c r="E644" s="56"/>
      <c r="F644" s="56"/>
      <c r="H644" s="56"/>
      <c r="I644" s="56"/>
      <c r="N644" s="56"/>
    </row>
    <row r="645" spans="3:14" x14ac:dyDescent="0.25">
      <c r="C645" s="56"/>
      <c r="D645" s="56"/>
      <c r="E645" s="56"/>
      <c r="F645" s="56"/>
      <c r="H645" s="56"/>
      <c r="I645" s="56"/>
      <c r="N645" s="56"/>
    </row>
    <row r="646" spans="3:14" x14ac:dyDescent="0.25">
      <c r="C646" s="56"/>
      <c r="D646" s="56"/>
      <c r="E646" s="56"/>
      <c r="F646" s="56"/>
      <c r="H646" s="56"/>
      <c r="I646" s="56"/>
      <c r="N646" s="56"/>
    </row>
    <row r="647" spans="3:14" x14ac:dyDescent="0.25">
      <c r="C647" s="56"/>
      <c r="D647" s="56"/>
      <c r="E647" s="56"/>
      <c r="F647" s="56"/>
      <c r="H647" s="56"/>
      <c r="I647" s="56"/>
      <c r="N647" s="56"/>
    </row>
    <row r="648" spans="3:14" x14ac:dyDescent="0.25">
      <c r="C648" s="56"/>
      <c r="D648" s="56"/>
      <c r="E648" s="56"/>
      <c r="F648" s="56"/>
      <c r="H648" s="56"/>
      <c r="I648" s="56"/>
      <c r="N648" s="56"/>
    </row>
    <row r="649" spans="3:14" x14ac:dyDescent="0.25">
      <c r="C649" s="56"/>
      <c r="D649" s="56"/>
      <c r="E649" s="56"/>
      <c r="F649" s="56"/>
      <c r="H649" s="56"/>
      <c r="I649" s="56"/>
      <c r="N649" s="56"/>
    </row>
    <row r="650" spans="3:14" x14ac:dyDescent="0.25">
      <c r="C650" s="56"/>
      <c r="D650" s="56"/>
      <c r="E650" s="56"/>
      <c r="F650" s="56"/>
      <c r="H650" s="56"/>
      <c r="I650" s="56"/>
      <c r="N650" s="56"/>
    </row>
    <row r="651" spans="3:14" x14ac:dyDescent="0.25">
      <c r="C651" s="56"/>
      <c r="D651" s="56"/>
      <c r="E651" s="56"/>
      <c r="F651" s="56"/>
      <c r="H651" s="56"/>
      <c r="I651" s="56"/>
      <c r="N651" s="56"/>
    </row>
    <row r="652" spans="3:14" x14ac:dyDescent="0.25">
      <c r="C652" s="56"/>
      <c r="D652" s="56"/>
      <c r="E652" s="56"/>
      <c r="F652" s="56"/>
      <c r="H652" s="56"/>
      <c r="I652" s="56"/>
      <c r="N652" s="56"/>
    </row>
    <row r="653" spans="3:14" x14ac:dyDescent="0.25">
      <c r="C653" s="56"/>
      <c r="D653" s="56"/>
      <c r="E653" s="56"/>
      <c r="F653" s="56"/>
      <c r="H653" s="56"/>
      <c r="I653" s="56"/>
      <c r="N653" s="56"/>
    </row>
    <row r="654" spans="3:14" x14ac:dyDescent="0.25">
      <c r="C654" s="56"/>
      <c r="D654" s="56"/>
      <c r="E654" s="56"/>
      <c r="F654" s="56"/>
      <c r="H654" s="56"/>
      <c r="I654" s="56"/>
      <c r="N654" s="56"/>
    </row>
    <row r="655" spans="3:14" x14ac:dyDescent="0.25">
      <c r="C655" s="56"/>
      <c r="D655" s="56"/>
      <c r="E655" s="56"/>
      <c r="F655" s="56"/>
      <c r="H655" s="56"/>
      <c r="I655" s="56"/>
      <c r="N655" s="56"/>
    </row>
    <row r="656" spans="3:14" x14ac:dyDescent="0.25">
      <c r="C656" s="56"/>
      <c r="D656" s="56"/>
      <c r="E656" s="56"/>
      <c r="F656" s="56"/>
      <c r="H656" s="56"/>
      <c r="I656" s="56"/>
      <c r="N656" s="56"/>
    </row>
    <row r="657" spans="3:14" x14ac:dyDescent="0.25">
      <c r="C657" s="56"/>
      <c r="D657" s="56"/>
      <c r="E657" s="56"/>
      <c r="F657" s="56"/>
      <c r="H657" s="56"/>
      <c r="I657" s="56"/>
      <c r="N657" s="56"/>
    </row>
    <row r="658" spans="3:14" x14ac:dyDescent="0.25">
      <c r="C658" s="56"/>
      <c r="D658" s="56"/>
      <c r="E658" s="56"/>
      <c r="F658" s="56"/>
      <c r="H658" s="56"/>
      <c r="I658" s="56"/>
      <c r="N658" s="56"/>
    </row>
    <row r="659" spans="3:14" x14ac:dyDescent="0.25">
      <c r="C659" s="56"/>
      <c r="D659" s="56"/>
      <c r="E659" s="56"/>
      <c r="F659" s="56"/>
      <c r="H659" s="56"/>
      <c r="I659" s="56"/>
      <c r="N659" s="56"/>
    </row>
    <row r="660" spans="3:14" x14ac:dyDescent="0.25">
      <c r="C660" s="56"/>
      <c r="D660" s="56"/>
      <c r="E660" s="56"/>
      <c r="F660" s="56"/>
      <c r="H660" s="56"/>
      <c r="I660" s="56"/>
      <c r="N660" s="56"/>
    </row>
    <row r="661" spans="3:14" x14ac:dyDescent="0.25">
      <c r="C661" s="56"/>
      <c r="D661" s="56"/>
      <c r="E661" s="56"/>
      <c r="F661" s="56"/>
      <c r="H661" s="56"/>
      <c r="I661" s="56"/>
      <c r="N661" s="56"/>
    </row>
    <row r="662" spans="3:14" x14ac:dyDescent="0.25">
      <c r="C662" s="56"/>
      <c r="D662" s="56"/>
      <c r="E662" s="56"/>
      <c r="F662" s="56"/>
      <c r="H662" s="56"/>
      <c r="I662" s="56"/>
      <c r="N662" s="56"/>
    </row>
    <row r="663" spans="3:14" x14ac:dyDescent="0.25">
      <c r="C663" s="56"/>
      <c r="D663" s="56"/>
      <c r="E663" s="56"/>
      <c r="F663" s="56"/>
      <c r="H663" s="56"/>
      <c r="I663" s="56"/>
      <c r="N663" s="56"/>
    </row>
    <row r="664" spans="3:14" x14ac:dyDescent="0.25">
      <c r="C664" s="56"/>
      <c r="D664" s="56"/>
      <c r="E664" s="56"/>
      <c r="F664" s="56"/>
      <c r="H664" s="56"/>
      <c r="I664" s="56"/>
      <c r="N664" s="56"/>
    </row>
    <row r="665" spans="3:14" x14ac:dyDescent="0.25">
      <c r="C665" s="56"/>
      <c r="D665" s="56"/>
      <c r="E665" s="56"/>
      <c r="F665" s="56"/>
      <c r="H665" s="56"/>
      <c r="I665" s="56"/>
      <c r="N665" s="56"/>
    </row>
    <row r="666" spans="3:14" x14ac:dyDescent="0.25">
      <c r="C666" s="56"/>
      <c r="D666" s="56"/>
      <c r="E666" s="56"/>
      <c r="F666" s="56"/>
      <c r="H666" s="56"/>
      <c r="I666" s="56"/>
      <c r="N666" s="56"/>
    </row>
    <row r="667" spans="3:14" x14ac:dyDescent="0.25">
      <c r="C667" s="56"/>
      <c r="D667" s="56"/>
      <c r="E667" s="56"/>
      <c r="F667" s="56"/>
      <c r="H667" s="56"/>
      <c r="I667" s="56"/>
      <c r="N667" s="56"/>
    </row>
    <row r="668" spans="3:14" x14ac:dyDescent="0.25">
      <c r="C668" s="56"/>
      <c r="D668" s="56"/>
      <c r="E668" s="56"/>
      <c r="F668" s="56"/>
      <c r="H668" s="56"/>
      <c r="I668" s="56"/>
      <c r="N668" s="56"/>
    </row>
    <row r="669" spans="3:14" x14ac:dyDescent="0.25">
      <c r="C669" s="56"/>
      <c r="D669" s="56"/>
      <c r="E669" s="56"/>
      <c r="F669" s="56"/>
      <c r="H669" s="56"/>
      <c r="I669" s="56"/>
      <c r="N669" s="56"/>
    </row>
    <row r="670" spans="3:14" x14ac:dyDescent="0.25">
      <c r="C670" s="56"/>
      <c r="D670" s="56"/>
      <c r="E670" s="56"/>
      <c r="F670" s="56"/>
      <c r="H670" s="56"/>
      <c r="I670" s="56"/>
      <c r="N670" s="56"/>
    </row>
    <row r="671" spans="3:14" x14ac:dyDescent="0.25">
      <c r="C671" s="56"/>
      <c r="D671" s="56"/>
      <c r="E671" s="56"/>
      <c r="F671" s="56"/>
      <c r="H671" s="56"/>
      <c r="I671" s="56"/>
      <c r="N671" s="56"/>
    </row>
    <row r="672" spans="3:14" x14ac:dyDescent="0.25">
      <c r="C672" s="56"/>
      <c r="D672" s="56"/>
      <c r="E672" s="56"/>
      <c r="F672" s="56"/>
      <c r="H672" s="56"/>
      <c r="I672" s="56"/>
      <c r="N672" s="56"/>
    </row>
    <row r="673" spans="3:14" x14ac:dyDescent="0.25">
      <c r="C673" s="56"/>
      <c r="D673" s="56"/>
      <c r="E673" s="56"/>
      <c r="F673" s="56"/>
      <c r="H673" s="56"/>
      <c r="I673" s="56"/>
      <c r="N673" s="56"/>
    </row>
    <row r="674" spans="3:14" x14ac:dyDescent="0.25">
      <c r="C674" s="56"/>
      <c r="D674" s="56"/>
      <c r="E674" s="56"/>
      <c r="F674" s="56"/>
      <c r="H674" s="56"/>
      <c r="I674" s="56"/>
      <c r="N674" s="56"/>
    </row>
    <row r="675" spans="3:14" x14ac:dyDescent="0.25">
      <c r="C675" s="56"/>
      <c r="D675" s="56"/>
      <c r="E675" s="56"/>
      <c r="F675" s="56"/>
      <c r="H675" s="56"/>
      <c r="I675" s="56"/>
      <c r="N675" s="56"/>
    </row>
    <row r="676" spans="3:14" x14ac:dyDescent="0.25">
      <c r="C676" s="56"/>
      <c r="D676" s="56"/>
      <c r="E676" s="56"/>
      <c r="F676" s="56"/>
      <c r="H676" s="56"/>
      <c r="I676" s="56"/>
      <c r="N676" s="56"/>
    </row>
    <row r="677" spans="3:14" x14ac:dyDescent="0.25">
      <c r="C677" s="56"/>
      <c r="D677" s="56"/>
      <c r="E677" s="56"/>
      <c r="F677" s="56"/>
      <c r="H677" s="56"/>
      <c r="I677" s="56"/>
      <c r="N677" s="56"/>
    </row>
    <row r="678" spans="3:14" x14ac:dyDescent="0.25">
      <c r="C678" s="56"/>
      <c r="D678" s="56"/>
      <c r="E678" s="56"/>
      <c r="F678" s="56"/>
      <c r="H678" s="56"/>
      <c r="I678" s="56"/>
      <c r="N678" s="56"/>
    </row>
    <row r="679" spans="3:14" x14ac:dyDescent="0.25">
      <c r="C679" s="56"/>
      <c r="D679" s="56"/>
      <c r="E679" s="56"/>
      <c r="F679" s="56"/>
      <c r="H679" s="56"/>
      <c r="I679" s="56"/>
      <c r="N679" s="56"/>
    </row>
    <row r="680" spans="3:14" x14ac:dyDescent="0.25">
      <c r="C680" s="56"/>
      <c r="D680" s="56"/>
      <c r="E680" s="56"/>
      <c r="F680" s="56"/>
      <c r="H680" s="56"/>
      <c r="I680" s="56"/>
      <c r="N680" s="56"/>
    </row>
    <row r="681" spans="3:14" x14ac:dyDescent="0.25">
      <c r="C681" s="56"/>
      <c r="D681" s="56"/>
      <c r="E681" s="56"/>
      <c r="F681" s="56"/>
      <c r="H681" s="56"/>
      <c r="I681" s="56"/>
      <c r="N681" s="56"/>
    </row>
    <row r="682" spans="3:14" x14ac:dyDescent="0.25">
      <c r="C682" s="56"/>
      <c r="D682" s="56"/>
      <c r="E682" s="56"/>
      <c r="F682" s="56"/>
      <c r="H682" s="56"/>
      <c r="I682" s="56"/>
      <c r="N682" s="56"/>
    </row>
    <row r="683" spans="3:14" x14ac:dyDescent="0.25">
      <c r="C683" s="56"/>
      <c r="D683" s="56"/>
      <c r="E683" s="56"/>
      <c r="F683" s="56"/>
      <c r="H683" s="56"/>
      <c r="I683" s="56"/>
      <c r="N683" s="56"/>
    </row>
    <row r="684" spans="3:14" x14ac:dyDescent="0.25">
      <c r="C684" s="56"/>
      <c r="D684" s="56"/>
      <c r="E684" s="56"/>
      <c r="F684" s="56"/>
      <c r="H684" s="56"/>
      <c r="I684" s="56"/>
      <c r="N684" s="56"/>
    </row>
    <row r="685" spans="3:14" x14ac:dyDescent="0.25">
      <c r="C685" s="56"/>
      <c r="D685" s="56"/>
      <c r="E685" s="56"/>
      <c r="F685" s="56"/>
      <c r="H685" s="56"/>
      <c r="I685" s="56"/>
      <c r="N685" s="56"/>
    </row>
    <row r="686" spans="3:14" x14ac:dyDescent="0.25">
      <c r="C686" s="56"/>
      <c r="D686" s="56"/>
      <c r="E686" s="56"/>
      <c r="F686" s="56"/>
      <c r="H686" s="56"/>
      <c r="I686" s="56"/>
      <c r="N686" s="56"/>
    </row>
    <row r="687" spans="3:14" x14ac:dyDescent="0.25">
      <c r="C687" s="56"/>
      <c r="D687" s="56"/>
      <c r="E687" s="56"/>
      <c r="F687" s="56"/>
      <c r="H687" s="56"/>
      <c r="I687" s="56"/>
      <c r="N687" s="56"/>
    </row>
    <row r="688" spans="3:14" x14ac:dyDescent="0.25">
      <c r="C688" s="56"/>
      <c r="D688" s="56"/>
      <c r="E688" s="56"/>
      <c r="F688" s="56"/>
      <c r="H688" s="56"/>
      <c r="I688" s="56"/>
      <c r="N688" s="56"/>
    </row>
    <row r="689" spans="3:14" x14ac:dyDescent="0.25">
      <c r="C689" s="56"/>
      <c r="D689" s="56"/>
      <c r="E689" s="56"/>
      <c r="F689" s="56"/>
      <c r="H689" s="56"/>
      <c r="I689" s="56"/>
      <c r="N689" s="56"/>
    </row>
    <row r="690" spans="3:14" x14ac:dyDescent="0.25">
      <c r="C690" s="56"/>
      <c r="D690" s="56"/>
      <c r="E690" s="56"/>
      <c r="F690" s="56"/>
      <c r="H690" s="56"/>
      <c r="I690" s="56"/>
      <c r="N690" s="56"/>
    </row>
    <row r="691" spans="3:14" x14ac:dyDescent="0.25">
      <c r="C691" s="56"/>
      <c r="D691" s="56"/>
      <c r="E691" s="56"/>
      <c r="F691" s="56"/>
      <c r="H691" s="56"/>
      <c r="I691" s="56"/>
      <c r="N691" s="56"/>
    </row>
    <row r="692" spans="3:14" x14ac:dyDescent="0.25">
      <c r="C692" s="56"/>
      <c r="D692" s="56"/>
      <c r="E692" s="56"/>
      <c r="F692" s="56"/>
      <c r="H692" s="56"/>
      <c r="I692" s="56"/>
      <c r="N692" s="56"/>
    </row>
    <row r="693" spans="3:14" x14ac:dyDescent="0.25">
      <c r="C693" s="56"/>
      <c r="D693" s="56"/>
      <c r="E693" s="56"/>
      <c r="F693" s="56"/>
      <c r="H693" s="56"/>
      <c r="I693" s="56"/>
      <c r="N693" s="56"/>
    </row>
    <row r="694" spans="3:14" x14ac:dyDescent="0.25">
      <c r="C694" s="56"/>
      <c r="D694" s="56"/>
      <c r="E694" s="56"/>
      <c r="F694" s="56"/>
      <c r="H694" s="56"/>
      <c r="I694" s="56"/>
      <c r="N694" s="56"/>
    </row>
    <row r="695" spans="3:14" x14ac:dyDescent="0.25">
      <c r="C695" s="56"/>
      <c r="D695" s="56"/>
      <c r="E695" s="56"/>
      <c r="F695" s="56"/>
      <c r="H695" s="56"/>
      <c r="I695" s="56"/>
      <c r="N695" s="56"/>
    </row>
    <row r="696" spans="3:14" x14ac:dyDescent="0.25">
      <c r="C696" s="56"/>
      <c r="D696" s="56"/>
      <c r="E696" s="56"/>
      <c r="F696" s="56"/>
      <c r="H696" s="56"/>
      <c r="I696" s="56"/>
      <c r="N696" s="56"/>
    </row>
    <row r="697" spans="3:14" x14ac:dyDescent="0.25">
      <c r="C697" s="56"/>
      <c r="D697" s="56"/>
      <c r="E697" s="56"/>
      <c r="F697" s="56"/>
      <c r="H697" s="56"/>
      <c r="I697" s="56"/>
      <c r="N697" s="56"/>
    </row>
    <row r="698" spans="3:14" x14ac:dyDescent="0.25">
      <c r="C698" s="56"/>
      <c r="D698" s="56"/>
      <c r="E698" s="56"/>
      <c r="F698" s="56"/>
      <c r="H698" s="56"/>
      <c r="I698" s="56"/>
      <c r="N698" s="56"/>
    </row>
    <row r="699" spans="3:14" x14ac:dyDescent="0.25">
      <c r="C699" s="56"/>
      <c r="D699" s="56"/>
      <c r="E699" s="56"/>
      <c r="F699" s="56"/>
      <c r="H699" s="56"/>
      <c r="I699" s="56"/>
      <c r="N699" s="56"/>
    </row>
    <row r="700" spans="3:14" x14ac:dyDescent="0.25">
      <c r="C700" s="56"/>
      <c r="D700" s="56"/>
      <c r="E700" s="56"/>
      <c r="F700" s="56"/>
      <c r="H700" s="56"/>
      <c r="I700" s="56"/>
      <c r="N700" s="56"/>
    </row>
    <row r="701" spans="3:14" x14ac:dyDescent="0.25">
      <c r="C701" s="56"/>
      <c r="D701" s="56"/>
      <c r="E701" s="56"/>
      <c r="F701" s="56"/>
      <c r="H701" s="56"/>
      <c r="I701" s="56"/>
      <c r="N701" s="56"/>
    </row>
    <row r="702" spans="3:14" x14ac:dyDescent="0.25">
      <c r="C702" s="56"/>
      <c r="D702" s="56"/>
      <c r="E702" s="56"/>
      <c r="F702" s="56"/>
      <c r="H702" s="56"/>
      <c r="I702" s="56"/>
      <c r="N702" s="56"/>
    </row>
    <row r="703" spans="3:14" x14ac:dyDescent="0.25">
      <c r="C703" s="56"/>
      <c r="D703" s="56"/>
      <c r="E703" s="56"/>
      <c r="F703" s="56"/>
      <c r="H703" s="56"/>
      <c r="I703" s="56"/>
      <c r="N703" s="56"/>
    </row>
    <row r="704" spans="3:14" x14ac:dyDescent="0.25">
      <c r="C704" s="56"/>
      <c r="D704" s="56"/>
      <c r="E704" s="56"/>
      <c r="F704" s="56"/>
      <c r="H704" s="56"/>
      <c r="I704" s="56"/>
      <c r="N704" s="56"/>
    </row>
    <row r="705" spans="3:14" x14ac:dyDescent="0.25">
      <c r="C705" s="56"/>
      <c r="D705" s="56"/>
      <c r="E705" s="56"/>
      <c r="F705" s="56"/>
      <c r="H705" s="56"/>
      <c r="I705" s="56"/>
      <c r="N705" s="56"/>
    </row>
    <row r="706" spans="3:14" x14ac:dyDescent="0.25">
      <c r="C706" s="56"/>
      <c r="D706" s="56"/>
      <c r="E706" s="56"/>
      <c r="F706" s="56"/>
      <c r="H706" s="56"/>
      <c r="I706" s="56"/>
      <c r="N706" s="56"/>
    </row>
    <row r="707" spans="3:14" x14ac:dyDescent="0.25">
      <c r="C707" s="56"/>
      <c r="D707" s="56"/>
      <c r="E707" s="56"/>
      <c r="F707" s="56"/>
      <c r="H707" s="56"/>
      <c r="I707" s="56"/>
      <c r="N707" s="56"/>
    </row>
    <row r="708" spans="3:14" x14ac:dyDescent="0.25">
      <c r="C708" s="56"/>
      <c r="D708" s="56"/>
      <c r="E708" s="56"/>
      <c r="F708" s="56"/>
      <c r="H708" s="56"/>
      <c r="I708" s="56"/>
      <c r="N708" s="56"/>
    </row>
    <row r="709" spans="3:14" x14ac:dyDescent="0.25">
      <c r="C709" s="56"/>
      <c r="D709" s="56"/>
      <c r="E709" s="56"/>
      <c r="F709" s="56"/>
      <c r="H709" s="56"/>
      <c r="I709" s="56"/>
      <c r="N709" s="56"/>
    </row>
    <row r="710" spans="3:14" x14ac:dyDescent="0.25">
      <c r="C710" s="56"/>
      <c r="D710" s="56"/>
      <c r="E710" s="56"/>
      <c r="F710" s="56"/>
      <c r="H710" s="56"/>
      <c r="I710" s="56"/>
      <c r="N710" s="56"/>
    </row>
    <row r="711" spans="3:14" x14ac:dyDescent="0.25">
      <c r="C711" s="56"/>
      <c r="D711" s="56"/>
      <c r="E711" s="56"/>
      <c r="F711" s="56"/>
      <c r="H711" s="56"/>
      <c r="I711" s="56"/>
      <c r="N711" s="56"/>
    </row>
    <row r="712" spans="3:14" x14ac:dyDescent="0.25">
      <c r="C712" s="56"/>
      <c r="D712" s="56"/>
      <c r="E712" s="56"/>
      <c r="F712" s="56"/>
      <c r="H712" s="56"/>
      <c r="I712" s="56"/>
      <c r="N712" s="56"/>
    </row>
    <row r="713" spans="3:14" x14ac:dyDescent="0.25">
      <c r="C713" s="56"/>
      <c r="D713" s="56"/>
      <c r="E713" s="56"/>
      <c r="F713" s="56"/>
      <c r="H713" s="56"/>
      <c r="I713" s="56"/>
      <c r="N713" s="56"/>
    </row>
    <row r="714" spans="3:14" x14ac:dyDescent="0.25">
      <c r="C714" s="56"/>
      <c r="D714" s="56"/>
      <c r="E714" s="56"/>
      <c r="F714" s="56"/>
      <c r="H714" s="56"/>
      <c r="I714" s="56"/>
      <c r="N714" s="56"/>
    </row>
    <row r="715" spans="3:14" x14ac:dyDescent="0.25">
      <c r="C715" s="56"/>
      <c r="D715" s="56"/>
      <c r="E715" s="56"/>
      <c r="F715" s="56"/>
      <c r="H715" s="56"/>
      <c r="I715" s="56"/>
      <c r="N715" s="56"/>
    </row>
    <row r="716" spans="3:14" x14ac:dyDescent="0.25">
      <c r="C716" s="56"/>
      <c r="D716" s="56"/>
      <c r="E716" s="56"/>
      <c r="F716" s="56"/>
      <c r="H716" s="56"/>
      <c r="I716" s="56"/>
      <c r="N716" s="56"/>
    </row>
    <row r="717" spans="3:14" x14ac:dyDescent="0.25">
      <c r="C717" s="56"/>
      <c r="D717" s="56"/>
      <c r="E717" s="56"/>
      <c r="F717" s="56"/>
      <c r="H717" s="56"/>
      <c r="I717" s="56"/>
      <c r="N717" s="56"/>
    </row>
    <row r="718" spans="3:14" x14ac:dyDescent="0.25">
      <c r="C718" s="56"/>
      <c r="D718" s="56"/>
      <c r="E718" s="56"/>
      <c r="F718" s="56"/>
      <c r="H718" s="56"/>
      <c r="I718" s="56"/>
      <c r="N718" s="56"/>
    </row>
    <row r="719" spans="3:14" x14ac:dyDescent="0.25">
      <c r="C719" s="56"/>
      <c r="D719" s="56"/>
      <c r="E719" s="56"/>
      <c r="F719" s="56"/>
      <c r="H719" s="56"/>
      <c r="I719" s="56"/>
      <c r="N719" s="56"/>
    </row>
    <row r="720" spans="3:14" x14ac:dyDescent="0.25">
      <c r="C720" s="56"/>
      <c r="D720" s="56"/>
      <c r="E720" s="56"/>
      <c r="F720" s="56"/>
      <c r="H720" s="56"/>
      <c r="I720" s="56"/>
      <c r="N720" s="56"/>
    </row>
    <row r="721" spans="3:14" x14ac:dyDescent="0.25">
      <c r="C721" s="56"/>
      <c r="D721" s="56"/>
      <c r="E721" s="56"/>
      <c r="F721" s="56"/>
      <c r="H721" s="56"/>
      <c r="I721" s="56"/>
      <c r="N721" s="56"/>
    </row>
    <row r="722" spans="3:14" x14ac:dyDescent="0.25">
      <c r="C722" s="56"/>
      <c r="D722" s="56"/>
      <c r="E722" s="56"/>
      <c r="F722" s="56"/>
      <c r="H722" s="56"/>
      <c r="I722" s="56"/>
      <c r="N722" s="56"/>
    </row>
    <row r="723" spans="3:14" x14ac:dyDescent="0.25">
      <c r="C723" s="56"/>
      <c r="D723" s="56"/>
      <c r="E723" s="56"/>
      <c r="F723" s="56"/>
      <c r="H723" s="56"/>
      <c r="I723" s="56"/>
      <c r="N723" s="56"/>
    </row>
    <row r="724" spans="3:14" x14ac:dyDescent="0.25">
      <c r="C724" s="56"/>
      <c r="D724" s="56"/>
      <c r="E724" s="56"/>
      <c r="F724" s="56"/>
      <c r="H724" s="56"/>
      <c r="I724" s="56"/>
      <c r="N724" s="56"/>
    </row>
    <row r="725" spans="3:14" x14ac:dyDescent="0.25">
      <c r="C725" s="56"/>
      <c r="D725" s="56"/>
      <c r="E725" s="56"/>
      <c r="F725" s="56"/>
      <c r="H725" s="56"/>
      <c r="I725" s="56"/>
      <c r="N725" s="56"/>
    </row>
    <row r="726" spans="3:14" x14ac:dyDescent="0.25">
      <c r="C726" s="56"/>
      <c r="D726" s="56"/>
      <c r="E726" s="56"/>
      <c r="F726" s="56"/>
      <c r="H726" s="56"/>
      <c r="I726" s="56"/>
      <c r="N726" s="56"/>
    </row>
    <row r="727" spans="3:14" x14ac:dyDescent="0.25">
      <c r="C727" s="56"/>
      <c r="D727" s="56"/>
      <c r="E727" s="56"/>
      <c r="F727" s="56"/>
      <c r="H727" s="56"/>
      <c r="I727" s="56"/>
      <c r="N727" s="56"/>
    </row>
    <row r="728" spans="3:14" x14ac:dyDescent="0.25">
      <c r="C728" s="56"/>
      <c r="D728" s="56"/>
      <c r="E728" s="56"/>
      <c r="F728" s="56"/>
      <c r="H728" s="56"/>
      <c r="I728" s="56"/>
      <c r="N728" s="56"/>
    </row>
    <row r="729" spans="3:14" x14ac:dyDescent="0.25">
      <c r="C729" s="56"/>
      <c r="D729" s="56"/>
      <c r="E729" s="56"/>
      <c r="F729" s="56"/>
      <c r="H729" s="56"/>
      <c r="I729" s="56"/>
      <c r="N729" s="56"/>
    </row>
    <row r="730" spans="3:14" x14ac:dyDescent="0.25">
      <c r="C730" s="56"/>
      <c r="D730" s="56"/>
      <c r="E730" s="56"/>
      <c r="F730" s="56"/>
      <c r="H730" s="56"/>
      <c r="I730" s="56"/>
      <c r="N730" s="56"/>
    </row>
    <row r="731" spans="3:14" x14ac:dyDescent="0.25">
      <c r="C731" s="56"/>
      <c r="D731" s="56"/>
      <c r="E731" s="56"/>
      <c r="F731" s="56"/>
      <c r="H731" s="56"/>
      <c r="I731" s="56"/>
      <c r="N731" s="56"/>
    </row>
    <row r="732" spans="3:14" x14ac:dyDescent="0.25">
      <c r="C732" s="56"/>
      <c r="D732" s="56"/>
      <c r="E732" s="56"/>
      <c r="F732" s="56"/>
      <c r="H732" s="56"/>
      <c r="I732" s="56"/>
      <c r="N732" s="56"/>
    </row>
    <row r="733" spans="3:14" x14ac:dyDescent="0.25">
      <c r="C733" s="56"/>
      <c r="D733" s="56"/>
      <c r="E733" s="56"/>
      <c r="F733" s="56"/>
      <c r="H733" s="56"/>
      <c r="I733" s="56"/>
      <c r="N733" s="56"/>
    </row>
    <row r="734" spans="3:14" x14ac:dyDescent="0.25">
      <c r="C734" s="56"/>
      <c r="D734" s="56"/>
      <c r="E734" s="56"/>
      <c r="F734" s="56"/>
      <c r="H734" s="56"/>
      <c r="I734" s="56"/>
      <c r="N734" s="56"/>
    </row>
    <row r="735" spans="3:14" x14ac:dyDescent="0.25">
      <c r="C735" s="56"/>
      <c r="D735" s="56"/>
      <c r="E735" s="56"/>
      <c r="F735" s="56"/>
      <c r="H735" s="56"/>
      <c r="I735" s="56"/>
      <c r="N735" s="56"/>
    </row>
    <row r="736" spans="3:14" x14ac:dyDescent="0.25">
      <c r="C736" s="56"/>
      <c r="D736" s="56"/>
      <c r="E736" s="56"/>
      <c r="F736" s="56"/>
      <c r="H736" s="56"/>
      <c r="I736" s="56"/>
      <c r="N736" s="56"/>
    </row>
    <row r="737" spans="3:14" x14ac:dyDescent="0.25">
      <c r="C737" s="56"/>
      <c r="D737" s="56"/>
      <c r="E737" s="56"/>
      <c r="F737" s="56"/>
      <c r="H737" s="56"/>
      <c r="I737" s="56"/>
      <c r="N737" s="56"/>
    </row>
    <row r="738" spans="3:14" x14ac:dyDescent="0.25">
      <c r="C738" s="56"/>
      <c r="D738" s="56"/>
      <c r="E738" s="56"/>
      <c r="F738" s="56"/>
      <c r="H738" s="56"/>
      <c r="I738" s="56"/>
      <c r="N738" s="56"/>
    </row>
    <row r="739" spans="3:14" x14ac:dyDescent="0.25">
      <c r="C739" s="56"/>
      <c r="D739" s="56"/>
      <c r="E739" s="56"/>
      <c r="F739" s="56"/>
      <c r="H739" s="56"/>
      <c r="I739" s="56"/>
      <c r="N739" s="56"/>
    </row>
    <row r="740" spans="3:14" x14ac:dyDescent="0.25">
      <c r="C740" s="56"/>
      <c r="D740" s="56"/>
      <c r="E740" s="56"/>
      <c r="F740" s="56"/>
      <c r="H740" s="56"/>
      <c r="I740" s="56"/>
      <c r="N740" s="56"/>
    </row>
    <row r="741" spans="3:14" x14ac:dyDescent="0.25">
      <c r="C741" s="56"/>
      <c r="D741" s="56"/>
      <c r="E741" s="56"/>
      <c r="F741" s="56"/>
      <c r="H741" s="56"/>
      <c r="I741" s="56"/>
      <c r="N741" s="56"/>
    </row>
    <row r="742" spans="3:14" x14ac:dyDescent="0.25">
      <c r="C742" s="56"/>
      <c r="D742" s="56"/>
      <c r="E742" s="56"/>
      <c r="F742" s="56"/>
      <c r="H742" s="56"/>
      <c r="I742" s="56"/>
      <c r="N742" s="56"/>
    </row>
    <row r="743" spans="3:14" x14ac:dyDescent="0.25">
      <c r="C743" s="56"/>
      <c r="D743" s="56"/>
      <c r="E743" s="56"/>
      <c r="F743" s="56"/>
      <c r="H743" s="56"/>
      <c r="I743" s="56"/>
      <c r="N743" s="56"/>
    </row>
    <row r="744" spans="3:14" x14ac:dyDescent="0.25">
      <c r="C744" s="56"/>
      <c r="D744" s="56"/>
      <c r="E744" s="56"/>
      <c r="F744" s="56"/>
      <c r="H744" s="56"/>
      <c r="I744" s="56"/>
      <c r="N744" s="56"/>
    </row>
    <row r="745" spans="3:14" x14ac:dyDescent="0.25">
      <c r="C745" s="56"/>
      <c r="D745" s="56"/>
      <c r="E745" s="56"/>
      <c r="F745" s="56"/>
      <c r="H745" s="56"/>
      <c r="I745" s="56"/>
      <c r="N745" s="56"/>
    </row>
    <row r="746" spans="3:14" x14ac:dyDescent="0.25">
      <c r="C746" s="56"/>
      <c r="D746" s="56"/>
      <c r="E746" s="56"/>
      <c r="F746" s="56"/>
      <c r="H746" s="56"/>
      <c r="I746" s="56"/>
      <c r="N746" s="56"/>
    </row>
    <row r="747" spans="3:14" x14ac:dyDescent="0.25">
      <c r="C747" s="56"/>
      <c r="D747" s="56"/>
      <c r="E747" s="56"/>
      <c r="F747" s="56"/>
      <c r="H747" s="56"/>
      <c r="I747" s="56"/>
      <c r="N747" s="56"/>
    </row>
    <row r="748" spans="3:14" x14ac:dyDescent="0.25">
      <c r="C748" s="56"/>
      <c r="D748" s="56"/>
      <c r="E748" s="56"/>
      <c r="F748" s="56"/>
      <c r="H748" s="56"/>
      <c r="I748" s="56"/>
      <c r="N748" s="56"/>
    </row>
    <row r="749" spans="3:14" x14ac:dyDescent="0.25">
      <c r="C749" s="56"/>
      <c r="D749" s="56"/>
      <c r="E749" s="56"/>
      <c r="F749" s="56"/>
      <c r="H749" s="56"/>
      <c r="I749" s="56"/>
      <c r="N749" s="56"/>
    </row>
    <row r="750" spans="3:14" x14ac:dyDescent="0.25">
      <c r="C750" s="56"/>
      <c r="D750" s="56"/>
      <c r="E750" s="56"/>
      <c r="F750" s="56"/>
      <c r="H750" s="56"/>
      <c r="I750" s="56"/>
      <c r="N750" s="56"/>
    </row>
    <row r="751" spans="3:14" x14ac:dyDescent="0.25">
      <c r="C751" s="56"/>
      <c r="D751" s="56"/>
      <c r="E751" s="56"/>
      <c r="F751" s="56"/>
      <c r="H751" s="56"/>
      <c r="I751" s="56"/>
      <c r="N751" s="56"/>
    </row>
    <row r="752" spans="3:14" x14ac:dyDescent="0.25">
      <c r="C752" s="56"/>
      <c r="D752" s="56"/>
      <c r="E752" s="56"/>
      <c r="F752" s="56"/>
      <c r="H752" s="56"/>
      <c r="I752" s="56"/>
      <c r="N752" s="56"/>
    </row>
    <row r="753" spans="3:14" x14ac:dyDescent="0.25">
      <c r="C753" s="56"/>
      <c r="D753" s="56"/>
      <c r="E753" s="56"/>
      <c r="F753" s="56"/>
      <c r="H753" s="56"/>
      <c r="I753" s="56"/>
      <c r="N753" s="56"/>
    </row>
    <row r="754" spans="3:14" x14ac:dyDescent="0.25">
      <c r="C754" s="56"/>
      <c r="D754" s="56"/>
      <c r="E754" s="56"/>
      <c r="F754" s="56"/>
      <c r="H754" s="56"/>
      <c r="I754" s="56"/>
      <c r="N754" s="56"/>
    </row>
    <row r="755" spans="3:14" x14ac:dyDescent="0.25">
      <c r="C755" s="56"/>
      <c r="D755" s="56"/>
      <c r="E755" s="56"/>
      <c r="F755" s="56"/>
      <c r="H755" s="56"/>
      <c r="I755" s="56"/>
      <c r="N755" s="56"/>
    </row>
    <row r="756" spans="3:14" x14ac:dyDescent="0.25">
      <c r="C756" s="56"/>
      <c r="D756" s="56"/>
      <c r="E756" s="56"/>
      <c r="F756" s="56"/>
      <c r="H756" s="56"/>
      <c r="I756" s="56"/>
      <c r="N756" s="56"/>
    </row>
    <row r="757" spans="3:14" x14ac:dyDescent="0.25">
      <c r="C757" s="56"/>
      <c r="D757" s="56"/>
      <c r="E757" s="56"/>
      <c r="F757" s="56"/>
      <c r="H757" s="56"/>
      <c r="I757" s="56"/>
      <c r="N757" s="56"/>
    </row>
    <row r="758" spans="3:14" x14ac:dyDescent="0.25">
      <c r="C758" s="56"/>
      <c r="D758" s="56"/>
      <c r="E758" s="56"/>
      <c r="F758" s="56"/>
      <c r="H758" s="56"/>
      <c r="I758" s="56"/>
      <c r="N758" s="56"/>
    </row>
    <row r="759" spans="3:14" x14ac:dyDescent="0.25">
      <c r="C759" s="56"/>
      <c r="D759" s="56"/>
      <c r="E759" s="56"/>
      <c r="F759" s="56"/>
      <c r="H759" s="56"/>
      <c r="I759" s="56"/>
      <c r="N759" s="56"/>
    </row>
    <row r="760" spans="3:14" x14ac:dyDescent="0.25">
      <c r="C760" s="56"/>
      <c r="D760" s="56"/>
      <c r="E760" s="56"/>
      <c r="F760" s="56"/>
      <c r="H760" s="56"/>
      <c r="I760" s="56"/>
      <c r="N760" s="56"/>
    </row>
    <row r="761" spans="3:14" x14ac:dyDescent="0.25">
      <c r="C761" s="56"/>
      <c r="D761" s="56"/>
      <c r="E761" s="56"/>
      <c r="F761" s="56"/>
      <c r="H761" s="56"/>
      <c r="I761" s="56"/>
      <c r="N761" s="56"/>
    </row>
    <row r="762" spans="3:14" x14ac:dyDescent="0.25">
      <c r="C762" s="56"/>
      <c r="D762" s="56"/>
      <c r="E762" s="56"/>
      <c r="F762" s="56"/>
      <c r="H762" s="56"/>
      <c r="I762" s="56"/>
      <c r="N762" s="56"/>
    </row>
    <row r="763" spans="3:14" x14ac:dyDescent="0.25">
      <c r="C763" s="56"/>
      <c r="D763" s="56"/>
      <c r="E763" s="56"/>
      <c r="F763" s="56"/>
      <c r="H763" s="56"/>
      <c r="I763" s="56"/>
      <c r="N763" s="56"/>
    </row>
    <row r="764" spans="3:14" x14ac:dyDescent="0.25">
      <c r="C764" s="56"/>
      <c r="D764" s="56"/>
      <c r="E764" s="56"/>
      <c r="F764" s="56"/>
      <c r="H764" s="56"/>
      <c r="I764" s="56"/>
      <c r="N764" s="56"/>
    </row>
    <row r="765" spans="3:14" x14ac:dyDescent="0.25">
      <c r="C765" s="56"/>
      <c r="D765" s="56"/>
      <c r="E765" s="56"/>
      <c r="F765" s="56"/>
      <c r="H765" s="56"/>
      <c r="I765" s="56"/>
      <c r="N765" s="56"/>
    </row>
    <row r="766" spans="3:14" x14ac:dyDescent="0.25">
      <c r="C766" s="56"/>
      <c r="D766" s="56"/>
      <c r="E766" s="56"/>
      <c r="F766" s="56"/>
      <c r="H766" s="56"/>
      <c r="I766" s="56"/>
      <c r="N766" s="56"/>
    </row>
    <row r="767" spans="3:14" x14ac:dyDescent="0.25">
      <c r="C767" s="56"/>
      <c r="D767" s="56"/>
      <c r="E767" s="56"/>
      <c r="F767" s="56"/>
      <c r="H767" s="56"/>
      <c r="I767" s="56"/>
      <c r="N767" s="56"/>
    </row>
    <row r="768" spans="3:14" x14ac:dyDescent="0.25">
      <c r="C768" s="56"/>
      <c r="D768" s="56"/>
      <c r="E768" s="56"/>
      <c r="F768" s="56"/>
      <c r="H768" s="56"/>
      <c r="I768" s="56"/>
      <c r="N768" s="56"/>
    </row>
    <row r="769" spans="3:14" x14ac:dyDescent="0.25">
      <c r="C769" s="56"/>
      <c r="D769" s="56"/>
      <c r="E769" s="56"/>
      <c r="F769" s="56"/>
      <c r="H769" s="56"/>
      <c r="I769" s="56"/>
      <c r="N769" s="56"/>
    </row>
    <row r="770" spans="3:14" x14ac:dyDescent="0.25">
      <c r="C770" s="56"/>
      <c r="D770" s="56"/>
      <c r="E770" s="56"/>
      <c r="F770" s="56"/>
      <c r="H770" s="56"/>
      <c r="I770" s="56"/>
      <c r="N770" s="56"/>
    </row>
    <row r="771" spans="3:14" x14ac:dyDescent="0.25">
      <c r="C771" s="56"/>
      <c r="D771" s="56"/>
      <c r="E771" s="56"/>
      <c r="F771" s="56"/>
      <c r="H771" s="56"/>
      <c r="I771" s="56"/>
      <c r="N771" s="56"/>
    </row>
    <row r="772" spans="3:14" x14ac:dyDescent="0.25">
      <c r="C772" s="56"/>
      <c r="D772" s="56"/>
      <c r="E772" s="56"/>
      <c r="F772" s="56"/>
      <c r="H772" s="56"/>
      <c r="I772" s="56"/>
      <c r="N772" s="56"/>
    </row>
    <row r="773" spans="3:14" x14ac:dyDescent="0.25">
      <c r="C773" s="56"/>
      <c r="D773" s="56"/>
      <c r="E773" s="56"/>
      <c r="F773" s="56"/>
      <c r="H773" s="56"/>
      <c r="I773" s="56"/>
      <c r="N773" s="56"/>
    </row>
    <row r="774" spans="3:14" x14ac:dyDescent="0.25">
      <c r="C774" s="56"/>
      <c r="D774" s="56"/>
      <c r="E774" s="56"/>
      <c r="F774" s="56"/>
      <c r="H774" s="56"/>
      <c r="I774" s="56"/>
      <c r="N774" s="56"/>
    </row>
    <row r="775" spans="3:14" x14ac:dyDescent="0.25">
      <c r="C775" s="56"/>
      <c r="D775" s="56"/>
      <c r="E775" s="56"/>
      <c r="F775" s="56"/>
      <c r="H775" s="56"/>
      <c r="I775" s="56"/>
      <c r="N775" s="56"/>
    </row>
    <row r="776" spans="3:14" x14ac:dyDescent="0.25">
      <c r="C776" s="56"/>
      <c r="D776" s="56"/>
      <c r="E776" s="56"/>
      <c r="F776" s="56"/>
      <c r="H776" s="56"/>
      <c r="I776" s="56"/>
      <c r="N776" s="56"/>
    </row>
    <row r="777" spans="3:14" x14ac:dyDescent="0.25">
      <c r="C777" s="56"/>
      <c r="D777" s="56"/>
      <c r="E777" s="56"/>
      <c r="F777" s="56"/>
      <c r="H777" s="56"/>
      <c r="I777" s="56"/>
      <c r="N777" s="56"/>
    </row>
    <row r="778" spans="3:14" x14ac:dyDescent="0.25">
      <c r="C778" s="56"/>
      <c r="D778" s="56"/>
      <c r="E778" s="56"/>
      <c r="F778" s="56"/>
      <c r="H778" s="56"/>
      <c r="I778" s="56"/>
      <c r="N778" s="56"/>
    </row>
    <row r="779" spans="3:14" x14ac:dyDescent="0.25">
      <c r="C779" s="56"/>
      <c r="D779" s="56"/>
      <c r="E779" s="56"/>
      <c r="F779" s="56"/>
      <c r="H779" s="56"/>
      <c r="I779" s="56"/>
      <c r="N779" s="56"/>
    </row>
    <row r="780" spans="3:14" x14ac:dyDescent="0.25">
      <c r="C780" s="56"/>
      <c r="D780" s="56"/>
      <c r="E780" s="56"/>
      <c r="F780" s="56"/>
      <c r="H780" s="56"/>
      <c r="I780" s="56"/>
      <c r="N780" s="56"/>
    </row>
    <row r="781" spans="3:14" x14ac:dyDescent="0.25">
      <c r="C781" s="56"/>
      <c r="D781" s="56"/>
      <c r="E781" s="56"/>
      <c r="F781" s="56"/>
      <c r="H781" s="56"/>
      <c r="I781" s="56"/>
      <c r="N781" s="56"/>
    </row>
    <row r="782" spans="3:14" x14ac:dyDescent="0.25">
      <c r="C782" s="56"/>
      <c r="D782" s="56"/>
      <c r="E782" s="56"/>
      <c r="F782" s="56"/>
      <c r="H782" s="56"/>
      <c r="I782" s="56"/>
      <c r="N782" s="56"/>
    </row>
    <row r="783" spans="3:14" x14ac:dyDescent="0.25">
      <c r="C783" s="56"/>
      <c r="D783" s="56"/>
      <c r="E783" s="56"/>
      <c r="F783" s="56"/>
      <c r="H783" s="56"/>
      <c r="I783" s="56"/>
      <c r="N783" s="56"/>
    </row>
    <row r="784" spans="3:14" x14ac:dyDescent="0.25">
      <c r="C784" s="56"/>
      <c r="D784" s="56"/>
      <c r="E784" s="56"/>
      <c r="F784" s="56"/>
      <c r="H784" s="56"/>
      <c r="I784" s="56"/>
      <c r="N784" s="56"/>
    </row>
    <row r="785" spans="3:14" x14ac:dyDescent="0.25">
      <c r="C785" s="56"/>
      <c r="D785" s="56"/>
      <c r="E785" s="56"/>
      <c r="F785" s="56"/>
      <c r="H785" s="56"/>
      <c r="I785" s="56"/>
      <c r="N785" s="56"/>
    </row>
    <row r="786" spans="3:14" x14ac:dyDescent="0.25">
      <c r="C786" s="56"/>
      <c r="D786" s="56"/>
      <c r="E786" s="56"/>
      <c r="F786" s="56"/>
      <c r="H786" s="56"/>
      <c r="I786" s="56"/>
      <c r="N786" s="56"/>
    </row>
    <row r="787" spans="3:14" x14ac:dyDescent="0.25">
      <c r="C787" s="56"/>
      <c r="D787" s="56"/>
      <c r="E787" s="56"/>
      <c r="F787" s="56"/>
      <c r="H787" s="56"/>
      <c r="I787" s="56"/>
      <c r="N787" s="56"/>
    </row>
    <row r="788" spans="3:14" x14ac:dyDescent="0.25">
      <c r="C788" s="56"/>
      <c r="D788" s="56"/>
      <c r="E788" s="56"/>
      <c r="F788" s="56"/>
      <c r="H788" s="56"/>
      <c r="I788" s="56"/>
      <c r="N788" s="56"/>
    </row>
    <row r="789" spans="3:14" x14ac:dyDescent="0.25">
      <c r="C789" s="56"/>
      <c r="D789" s="56"/>
      <c r="E789" s="56"/>
      <c r="F789" s="56"/>
      <c r="H789" s="56"/>
      <c r="I789" s="56"/>
      <c r="N789" s="56"/>
    </row>
    <row r="790" spans="3:14" x14ac:dyDescent="0.25">
      <c r="C790" s="56"/>
      <c r="D790" s="56"/>
      <c r="E790" s="56"/>
      <c r="F790" s="56"/>
      <c r="H790" s="56"/>
      <c r="I790" s="56"/>
      <c r="N790" s="56"/>
    </row>
    <row r="791" spans="3:14" x14ac:dyDescent="0.25">
      <c r="C791" s="56"/>
      <c r="D791" s="56"/>
      <c r="E791" s="56"/>
      <c r="F791" s="56"/>
      <c r="H791" s="56"/>
      <c r="I791" s="56"/>
      <c r="N791" s="56"/>
    </row>
    <row r="792" spans="3:14" x14ac:dyDescent="0.25">
      <c r="C792" s="56"/>
      <c r="D792" s="56"/>
      <c r="E792" s="56"/>
      <c r="F792" s="56"/>
      <c r="H792" s="56"/>
      <c r="I792" s="56"/>
      <c r="N792" s="56"/>
    </row>
    <row r="793" spans="3:14" x14ac:dyDescent="0.25">
      <c r="C793" s="56"/>
      <c r="D793" s="56"/>
      <c r="E793" s="56"/>
      <c r="F793" s="56"/>
      <c r="H793" s="56"/>
      <c r="I793" s="56"/>
      <c r="N793" s="56"/>
    </row>
    <row r="794" spans="3:14" x14ac:dyDescent="0.25">
      <c r="C794" s="56"/>
      <c r="D794" s="56"/>
      <c r="E794" s="56"/>
      <c r="F794" s="56"/>
      <c r="H794" s="56"/>
      <c r="I794" s="56"/>
      <c r="N794" s="56"/>
    </row>
    <row r="795" spans="3:14" x14ac:dyDescent="0.25">
      <c r="C795" s="56"/>
      <c r="D795" s="56"/>
      <c r="E795" s="56"/>
      <c r="F795" s="56"/>
      <c r="H795" s="56"/>
      <c r="I795" s="56"/>
      <c r="N795" s="56"/>
    </row>
    <row r="796" spans="3:14" x14ac:dyDescent="0.25">
      <c r="C796" s="56"/>
      <c r="D796" s="56"/>
      <c r="E796" s="56"/>
      <c r="F796" s="56"/>
      <c r="H796" s="56"/>
      <c r="I796" s="56"/>
      <c r="N796" s="56"/>
    </row>
    <row r="797" spans="3:14" x14ac:dyDescent="0.25">
      <c r="C797" s="56"/>
      <c r="D797" s="56"/>
      <c r="E797" s="56"/>
      <c r="F797" s="56"/>
      <c r="H797" s="56"/>
      <c r="I797" s="56"/>
      <c r="N797" s="56"/>
    </row>
    <row r="798" spans="3:14" x14ac:dyDescent="0.25">
      <c r="C798" s="56"/>
      <c r="D798" s="56"/>
      <c r="E798" s="56"/>
      <c r="F798" s="56"/>
      <c r="H798" s="56"/>
      <c r="I798" s="56"/>
      <c r="N798" s="56"/>
    </row>
    <row r="799" spans="3:14" x14ac:dyDescent="0.25">
      <c r="C799" s="56"/>
      <c r="D799" s="56"/>
      <c r="E799" s="56"/>
      <c r="F799" s="56"/>
      <c r="H799" s="56"/>
      <c r="I799" s="56"/>
      <c r="N799" s="56"/>
    </row>
    <row r="800" spans="3:14" x14ac:dyDescent="0.25">
      <c r="C800" s="56"/>
      <c r="D800" s="56"/>
      <c r="E800" s="56"/>
      <c r="F800" s="56"/>
      <c r="H800" s="56"/>
      <c r="I800" s="56"/>
      <c r="N800" s="56"/>
    </row>
    <row r="801" spans="3:14" x14ac:dyDescent="0.25">
      <c r="C801" s="56"/>
      <c r="D801" s="56"/>
      <c r="E801" s="56"/>
      <c r="F801" s="56"/>
      <c r="H801" s="56"/>
      <c r="I801" s="56"/>
      <c r="N801" s="56"/>
    </row>
    <row r="802" spans="3:14" x14ac:dyDescent="0.25">
      <c r="C802" s="56"/>
      <c r="D802" s="56"/>
      <c r="E802" s="56"/>
      <c r="F802" s="56"/>
      <c r="H802" s="56"/>
      <c r="I802" s="56"/>
      <c r="N802" s="56"/>
    </row>
    <row r="803" spans="3:14" x14ac:dyDescent="0.25">
      <c r="C803" s="56"/>
      <c r="D803" s="56"/>
      <c r="E803" s="56"/>
      <c r="F803" s="56"/>
      <c r="H803" s="56"/>
      <c r="I803" s="56"/>
      <c r="N803" s="56"/>
    </row>
    <row r="804" spans="3:14" x14ac:dyDescent="0.25">
      <c r="C804" s="56"/>
      <c r="D804" s="56"/>
      <c r="E804" s="56"/>
      <c r="F804" s="56"/>
      <c r="H804" s="56"/>
      <c r="I804" s="56"/>
      <c r="N804" s="56"/>
    </row>
    <row r="805" spans="3:14" x14ac:dyDescent="0.25">
      <c r="C805" s="56"/>
      <c r="D805" s="56"/>
      <c r="E805" s="56"/>
      <c r="F805" s="56"/>
      <c r="H805" s="56"/>
      <c r="I805" s="56"/>
      <c r="N805" s="56"/>
    </row>
    <row r="806" spans="3:14" x14ac:dyDescent="0.25">
      <c r="C806" s="56"/>
      <c r="D806" s="56"/>
      <c r="E806" s="56"/>
      <c r="F806" s="56"/>
      <c r="H806" s="56"/>
      <c r="I806" s="56"/>
      <c r="N806" s="56"/>
    </row>
    <row r="807" spans="3:14" x14ac:dyDescent="0.25">
      <c r="C807" s="56"/>
      <c r="D807" s="56"/>
      <c r="E807" s="56"/>
      <c r="F807" s="56"/>
      <c r="H807" s="56"/>
      <c r="I807" s="56"/>
      <c r="N807" s="56"/>
    </row>
    <row r="808" spans="3:14" x14ac:dyDescent="0.25">
      <c r="C808" s="56"/>
      <c r="D808" s="56"/>
      <c r="E808" s="56"/>
      <c r="F808" s="56"/>
      <c r="H808" s="56"/>
      <c r="I808" s="56"/>
      <c r="N808" s="56"/>
    </row>
    <row r="809" spans="3:14" x14ac:dyDescent="0.25">
      <c r="C809" s="56"/>
      <c r="D809" s="56"/>
      <c r="E809" s="56"/>
      <c r="F809" s="56"/>
      <c r="H809" s="56"/>
      <c r="I809" s="56"/>
      <c r="N809" s="56"/>
    </row>
    <row r="810" spans="3:14" x14ac:dyDescent="0.25">
      <c r="C810" s="56"/>
      <c r="D810" s="56"/>
      <c r="E810" s="56"/>
      <c r="F810" s="56"/>
      <c r="H810" s="56"/>
      <c r="I810" s="56"/>
      <c r="N810" s="56"/>
    </row>
    <row r="811" spans="3:14" x14ac:dyDescent="0.25">
      <c r="C811" s="56"/>
      <c r="D811" s="56"/>
      <c r="E811" s="56"/>
      <c r="F811" s="56"/>
      <c r="H811" s="56"/>
      <c r="I811" s="56"/>
      <c r="N811" s="56"/>
    </row>
    <row r="812" spans="3:14" x14ac:dyDescent="0.25">
      <c r="C812" s="56"/>
      <c r="D812" s="56"/>
      <c r="E812" s="56"/>
      <c r="F812" s="56"/>
      <c r="H812" s="56"/>
      <c r="I812" s="56"/>
      <c r="N812" s="56"/>
    </row>
    <row r="813" spans="3:14" x14ac:dyDescent="0.25">
      <c r="C813" s="56"/>
      <c r="D813" s="56"/>
      <c r="E813" s="56"/>
      <c r="F813" s="56"/>
      <c r="H813" s="56"/>
      <c r="I813" s="56"/>
      <c r="N813" s="56"/>
    </row>
    <row r="814" spans="3:14" x14ac:dyDescent="0.25">
      <c r="C814" s="56"/>
      <c r="D814" s="56"/>
      <c r="E814" s="56"/>
      <c r="F814" s="56"/>
      <c r="H814" s="56"/>
      <c r="I814" s="56"/>
      <c r="N814" s="56"/>
    </row>
    <row r="815" spans="3:14" x14ac:dyDescent="0.25">
      <c r="C815" s="56"/>
      <c r="D815" s="56"/>
      <c r="E815" s="56"/>
      <c r="F815" s="56"/>
      <c r="H815" s="56"/>
      <c r="I815" s="56"/>
      <c r="N815" s="56"/>
    </row>
    <row r="816" spans="3:14" x14ac:dyDescent="0.25">
      <c r="C816" s="56"/>
      <c r="D816" s="56"/>
      <c r="E816" s="56"/>
      <c r="F816" s="56"/>
      <c r="H816" s="56"/>
      <c r="I816" s="56"/>
      <c r="N816" s="56"/>
    </row>
    <row r="817" spans="3:14" x14ac:dyDescent="0.25">
      <c r="C817" s="56"/>
      <c r="D817" s="56"/>
      <c r="E817" s="56"/>
      <c r="F817" s="56"/>
      <c r="H817" s="56"/>
      <c r="I817" s="56"/>
      <c r="N817" s="56"/>
    </row>
    <row r="818" spans="3:14" x14ac:dyDescent="0.25">
      <c r="C818" s="56"/>
      <c r="D818" s="56"/>
      <c r="E818" s="56"/>
      <c r="F818" s="56"/>
      <c r="H818" s="56"/>
      <c r="I818" s="56"/>
      <c r="N818" s="56"/>
    </row>
    <row r="819" spans="3:14" x14ac:dyDescent="0.25">
      <c r="C819" s="56"/>
      <c r="D819" s="56"/>
      <c r="E819" s="56"/>
      <c r="F819" s="56"/>
      <c r="H819" s="56"/>
      <c r="I819" s="56"/>
      <c r="N819" s="56"/>
    </row>
    <row r="820" spans="3:14" x14ac:dyDescent="0.25">
      <c r="C820" s="56"/>
      <c r="D820" s="56"/>
      <c r="E820" s="56"/>
      <c r="F820" s="56"/>
      <c r="H820" s="56"/>
      <c r="I820" s="56"/>
      <c r="N820" s="56"/>
    </row>
    <row r="821" spans="3:14" x14ac:dyDescent="0.25">
      <c r="C821" s="56"/>
      <c r="D821" s="56"/>
      <c r="E821" s="56"/>
      <c r="F821" s="56"/>
      <c r="H821" s="56"/>
      <c r="I821" s="56"/>
      <c r="N821" s="56"/>
    </row>
    <row r="822" spans="3:14" x14ac:dyDescent="0.25">
      <c r="C822" s="56"/>
      <c r="D822" s="56"/>
      <c r="E822" s="56"/>
      <c r="F822" s="56"/>
      <c r="H822" s="56"/>
      <c r="I822" s="56"/>
      <c r="N822" s="56"/>
    </row>
    <row r="823" spans="3:14" x14ac:dyDescent="0.25">
      <c r="C823" s="56"/>
      <c r="D823" s="56"/>
      <c r="E823" s="56"/>
      <c r="F823" s="56"/>
      <c r="H823" s="56"/>
      <c r="I823" s="56"/>
      <c r="N823" s="56"/>
    </row>
    <row r="824" spans="3:14" x14ac:dyDescent="0.25">
      <c r="C824" s="56"/>
      <c r="D824" s="56"/>
      <c r="E824" s="56"/>
      <c r="F824" s="56"/>
      <c r="H824" s="56"/>
      <c r="I824" s="56"/>
      <c r="N824" s="56"/>
    </row>
    <row r="825" spans="3:14" x14ac:dyDescent="0.25">
      <c r="C825" s="56"/>
      <c r="D825" s="56"/>
      <c r="E825" s="56"/>
      <c r="F825" s="56"/>
      <c r="H825" s="56"/>
      <c r="I825" s="56"/>
      <c r="N825" s="56"/>
    </row>
    <row r="826" spans="3:14" x14ac:dyDescent="0.25">
      <c r="C826" s="56"/>
      <c r="D826" s="56"/>
      <c r="E826" s="56"/>
      <c r="F826" s="56"/>
      <c r="H826" s="56"/>
      <c r="I826" s="56"/>
      <c r="N826" s="56"/>
    </row>
    <row r="827" spans="3:14" x14ac:dyDescent="0.25">
      <c r="C827" s="56"/>
      <c r="D827" s="56"/>
      <c r="E827" s="56"/>
      <c r="F827" s="56"/>
      <c r="H827" s="56"/>
      <c r="I827" s="56"/>
      <c r="N827" s="56"/>
    </row>
    <row r="828" spans="3:14" x14ac:dyDescent="0.25">
      <c r="C828" s="56"/>
      <c r="D828" s="56"/>
      <c r="E828" s="56"/>
      <c r="F828" s="56"/>
      <c r="H828" s="56"/>
      <c r="I828" s="56"/>
      <c r="N828" s="56"/>
    </row>
    <row r="829" spans="3:14" x14ac:dyDescent="0.25">
      <c r="C829" s="56"/>
      <c r="D829" s="56"/>
      <c r="E829" s="56"/>
      <c r="F829" s="56"/>
      <c r="H829" s="56"/>
      <c r="I829" s="56"/>
      <c r="N829" s="56"/>
    </row>
    <row r="830" spans="3:14" x14ac:dyDescent="0.25">
      <c r="C830" s="56"/>
      <c r="D830" s="56"/>
      <c r="E830" s="56"/>
      <c r="F830" s="56"/>
      <c r="H830" s="56"/>
      <c r="I830" s="56"/>
      <c r="N830" s="56"/>
    </row>
    <row r="831" spans="3:14" x14ac:dyDescent="0.25">
      <c r="C831" s="56"/>
      <c r="D831" s="56"/>
      <c r="E831" s="56"/>
      <c r="F831" s="56"/>
      <c r="H831" s="56"/>
      <c r="I831" s="56"/>
      <c r="N831" s="56"/>
    </row>
    <row r="832" spans="3:14" x14ac:dyDescent="0.25">
      <c r="C832" s="56"/>
      <c r="D832" s="56"/>
      <c r="E832" s="56"/>
      <c r="F832" s="56"/>
      <c r="H832" s="56"/>
      <c r="I832" s="56"/>
      <c r="N832" s="56"/>
    </row>
    <row r="833" spans="3:14" x14ac:dyDescent="0.25">
      <c r="C833" s="56"/>
      <c r="D833" s="56"/>
      <c r="E833" s="56"/>
      <c r="F833" s="56"/>
      <c r="H833" s="56"/>
      <c r="I833" s="56"/>
      <c r="N833" s="56"/>
    </row>
    <row r="834" spans="3:14" x14ac:dyDescent="0.25">
      <c r="C834" s="56"/>
      <c r="D834" s="56"/>
      <c r="E834" s="56"/>
      <c r="F834" s="56"/>
      <c r="H834" s="56"/>
      <c r="I834" s="56"/>
      <c r="N834" s="56"/>
    </row>
    <row r="835" spans="3:14" x14ac:dyDescent="0.25">
      <c r="C835" s="56"/>
      <c r="D835" s="56"/>
      <c r="E835" s="56"/>
      <c r="F835" s="56"/>
      <c r="H835" s="56"/>
      <c r="I835" s="56"/>
      <c r="N835" s="56"/>
    </row>
    <row r="836" spans="3:14" x14ac:dyDescent="0.25">
      <c r="C836" s="56"/>
      <c r="D836" s="56"/>
      <c r="E836" s="56"/>
      <c r="F836" s="56"/>
      <c r="H836" s="56"/>
      <c r="I836" s="56"/>
      <c r="N836" s="56"/>
    </row>
    <row r="837" spans="3:14" x14ac:dyDescent="0.25">
      <c r="C837" s="56"/>
      <c r="D837" s="56"/>
      <c r="E837" s="56"/>
      <c r="F837" s="56"/>
      <c r="H837" s="56"/>
      <c r="I837" s="56"/>
      <c r="N837" s="56"/>
    </row>
    <row r="838" spans="3:14" x14ac:dyDescent="0.25">
      <c r="C838" s="56"/>
      <c r="D838" s="56"/>
      <c r="E838" s="56"/>
      <c r="F838" s="56"/>
      <c r="H838" s="56"/>
      <c r="I838" s="56"/>
      <c r="N838" s="56"/>
    </row>
    <row r="839" spans="3:14" x14ac:dyDescent="0.25">
      <c r="C839" s="56"/>
      <c r="D839" s="56"/>
      <c r="E839" s="56"/>
      <c r="F839" s="56"/>
      <c r="H839" s="56"/>
      <c r="I839" s="56"/>
      <c r="N839" s="56"/>
    </row>
    <row r="840" spans="3:14" x14ac:dyDescent="0.25">
      <c r="C840" s="56"/>
      <c r="D840" s="56"/>
      <c r="E840" s="56"/>
      <c r="F840" s="56"/>
      <c r="H840" s="56"/>
      <c r="I840" s="56"/>
      <c r="N840" s="56"/>
    </row>
    <row r="841" spans="3:14" x14ac:dyDescent="0.25">
      <c r="C841" s="56"/>
      <c r="D841" s="56"/>
      <c r="E841" s="56"/>
      <c r="F841" s="56"/>
      <c r="H841" s="56"/>
      <c r="I841" s="56"/>
      <c r="N841" s="56"/>
    </row>
    <row r="842" spans="3:14" x14ac:dyDescent="0.25">
      <c r="C842" s="56"/>
      <c r="D842" s="56"/>
      <c r="E842" s="56"/>
      <c r="F842" s="56"/>
      <c r="H842" s="56"/>
      <c r="I842" s="56"/>
      <c r="N842" s="56"/>
    </row>
    <row r="843" spans="3:14" x14ac:dyDescent="0.25">
      <c r="C843" s="56"/>
      <c r="D843" s="56"/>
      <c r="E843" s="56"/>
      <c r="F843" s="56"/>
      <c r="H843" s="56"/>
      <c r="I843" s="56"/>
      <c r="N843" s="56"/>
    </row>
    <row r="844" spans="3:14" x14ac:dyDescent="0.25">
      <c r="C844" s="56"/>
      <c r="D844" s="56"/>
      <c r="E844" s="56"/>
      <c r="F844" s="56"/>
      <c r="H844" s="56"/>
      <c r="I844" s="56"/>
      <c r="N844" s="56"/>
    </row>
    <row r="845" spans="3:14" x14ac:dyDescent="0.25">
      <c r="C845" s="56"/>
      <c r="D845" s="56"/>
      <c r="E845" s="56"/>
      <c r="F845" s="56"/>
      <c r="H845" s="56"/>
      <c r="I845" s="56"/>
      <c r="N845" s="56"/>
    </row>
    <row r="846" spans="3:14" x14ac:dyDescent="0.25">
      <c r="C846" s="56"/>
      <c r="D846" s="56"/>
      <c r="E846" s="56"/>
      <c r="F846" s="56"/>
      <c r="H846" s="56"/>
      <c r="I846" s="56"/>
      <c r="N846" s="56"/>
    </row>
    <row r="847" spans="3:14" x14ac:dyDescent="0.25">
      <c r="C847" s="56"/>
      <c r="D847" s="56"/>
      <c r="E847" s="56"/>
      <c r="F847" s="56"/>
      <c r="H847" s="56"/>
      <c r="I847" s="56"/>
      <c r="N847" s="56"/>
    </row>
    <row r="848" spans="3:14" x14ac:dyDescent="0.25">
      <c r="C848" s="56"/>
      <c r="D848" s="56"/>
      <c r="E848" s="56"/>
      <c r="F848" s="56"/>
      <c r="H848" s="56"/>
      <c r="I848" s="56"/>
      <c r="N848" s="56"/>
    </row>
    <row r="849" spans="3:14" x14ac:dyDescent="0.25">
      <c r="C849" s="56"/>
      <c r="D849" s="56"/>
      <c r="E849" s="56"/>
      <c r="F849" s="56"/>
      <c r="H849" s="56"/>
      <c r="I849" s="56"/>
      <c r="N849" s="56"/>
    </row>
    <row r="850" spans="3:14" x14ac:dyDescent="0.25">
      <c r="C850" s="56"/>
      <c r="D850" s="56"/>
      <c r="E850" s="56"/>
      <c r="F850" s="56"/>
      <c r="H850" s="56"/>
      <c r="I850" s="56"/>
      <c r="N850" s="56"/>
    </row>
    <row r="851" spans="3:14" x14ac:dyDescent="0.25">
      <c r="C851" s="56"/>
      <c r="D851" s="56"/>
      <c r="E851" s="56"/>
      <c r="F851" s="56"/>
      <c r="H851" s="56"/>
      <c r="I851" s="56"/>
      <c r="N851" s="56"/>
    </row>
    <row r="852" spans="3:14" x14ac:dyDescent="0.25">
      <c r="C852" s="56"/>
      <c r="D852" s="56"/>
      <c r="E852" s="56"/>
      <c r="F852" s="56"/>
      <c r="H852" s="56"/>
      <c r="I852" s="56"/>
      <c r="N852" s="56"/>
    </row>
    <row r="853" spans="3:14" x14ac:dyDescent="0.25">
      <c r="C853" s="56"/>
      <c r="D853" s="56"/>
      <c r="E853" s="56"/>
      <c r="F853" s="56"/>
      <c r="H853" s="56"/>
      <c r="I853" s="56"/>
      <c r="N853" s="56"/>
    </row>
    <row r="854" spans="3:14" x14ac:dyDescent="0.25">
      <c r="C854" s="56"/>
      <c r="D854" s="56"/>
      <c r="E854" s="56"/>
      <c r="F854" s="56"/>
      <c r="H854" s="56"/>
      <c r="I854" s="56"/>
      <c r="N854" s="56"/>
    </row>
    <row r="855" spans="3:14" x14ac:dyDescent="0.25">
      <c r="C855" s="56"/>
      <c r="D855" s="56"/>
      <c r="E855" s="56"/>
      <c r="F855" s="56"/>
      <c r="H855" s="56"/>
      <c r="I855" s="56"/>
      <c r="N855" s="56"/>
    </row>
    <row r="856" spans="3:14" x14ac:dyDescent="0.25">
      <c r="C856" s="56"/>
      <c r="D856" s="56"/>
      <c r="E856" s="56"/>
      <c r="F856" s="56"/>
      <c r="H856" s="56"/>
      <c r="I856" s="56"/>
      <c r="N856" s="56"/>
    </row>
    <row r="857" spans="3:14" x14ac:dyDescent="0.25">
      <c r="C857" s="56"/>
      <c r="D857" s="56"/>
      <c r="E857" s="56"/>
      <c r="F857" s="56"/>
      <c r="H857" s="56"/>
      <c r="I857" s="56"/>
      <c r="N857" s="56"/>
    </row>
    <row r="858" spans="3:14" x14ac:dyDescent="0.25">
      <c r="C858" s="56"/>
      <c r="D858" s="56"/>
      <c r="E858" s="56"/>
      <c r="F858" s="56"/>
      <c r="H858" s="56"/>
      <c r="I858" s="56"/>
      <c r="N858" s="56"/>
    </row>
    <row r="859" spans="3:14" x14ac:dyDescent="0.25">
      <c r="C859" s="56"/>
      <c r="D859" s="56"/>
      <c r="E859" s="56"/>
      <c r="F859" s="56"/>
      <c r="H859" s="56"/>
      <c r="I859" s="56"/>
      <c r="N859" s="56"/>
    </row>
    <row r="860" spans="3:14" x14ac:dyDescent="0.25">
      <c r="C860" s="56"/>
      <c r="D860" s="56"/>
      <c r="E860" s="56"/>
      <c r="F860" s="56"/>
      <c r="H860" s="56"/>
      <c r="I860" s="56"/>
      <c r="N860" s="56"/>
    </row>
    <row r="861" spans="3:14" x14ac:dyDescent="0.25">
      <c r="C861" s="56"/>
      <c r="D861" s="56"/>
      <c r="E861" s="56"/>
      <c r="F861" s="56"/>
      <c r="H861" s="56"/>
      <c r="I861" s="56"/>
      <c r="N861" s="56"/>
    </row>
    <row r="862" spans="3:14" x14ac:dyDescent="0.25">
      <c r="C862" s="56"/>
      <c r="D862" s="56"/>
      <c r="E862" s="56"/>
      <c r="F862" s="56"/>
      <c r="H862" s="56"/>
      <c r="I862" s="56"/>
      <c r="N862" s="56"/>
    </row>
    <row r="863" spans="3:14" x14ac:dyDescent="0.25">
      <c r="C863" s="56"/>
      <c r="D863" s="56"/>
      <c r="E863" s="56"/>
      <c r="F863" s="56"/>
      <c r="H863" s="56"/>
      <c r="I863" s="56"/>
      <c r="N863" s="56"/>
    </row>
    <row r="864" spans="3:14" x14ac:dyDescent="0.25">
      <c r="C864" s="56"/>
      <c r="D864" s="56"/>
      <c r="E864" s="56"/>
      <c r="F864" s="56"/>
      <c r="H864" s="56"/>
      <c r="I864" s="56"/>
      <c r="N864" s="56"/>
    </row>
    <row r="865" spans="3:14" x14ac:dyDescent="0.25">
      <c r="C865" s="56"/>
      <c r="D865" s="56"/>
      <c r="E865" s="56"/>
      <c r="F865" s="56"/>
      <c r="H865" s="56"/>
      <c r="I865" s="56"/>
      <c r="N865" s="56"/>
    </row>
    <row r="866" spans="3:14" x14ac:dyDescent="0.25">
      <c r="C866" s="56"/>
      <c r="D866" s="56"/>
      <c r="E866" s="56"/>
      <c r="F866" s="56"/>
      <c r="H866" s="56"/>
      <c r="I866" s="56"/>
      <c r="N866" s="56"/>
    </row>
    <row r="867" spans="3:14" x14ac:dyDescent="0.25">
      <c r="C867" s="56"/>
      <c r="D867" s="56"/>
      <c r="E867" s="56"/>
      <c r="F867" s="56"/>
      <c r="H867" s="56"/>
      <c r="I867" s="56"/>
      <c r="N867" s="56"/>
    </row>
    <row r="868" spans="3:14" x14ac:dyDescent="0.25">
      <c r="C868" s="56"/>
      <c r="D868" s="56"/>
      <c r="E868" s="56"/>
      <c r="F868" s="56"/>
      <c r="H868" s="56"/>
      <c r="I868" s="56"/>
      <c r="N868" s="56"/>
    </row>
    <row r="869" spans="3:14" x14ac:dyDescent="0.25">
      <c r="C869" s="56"/>
      <c r="D869" s="56"/>
      <c r="E869" s="56"/>
      <c r="F869" s="56"/>
      <c r="H869" s="56"/>
      <c r="I869" s="56"/>
      <c r="N869" s="56"/>
    </row>
    <row r="870" spans="3:14" x14ac:dyDescent="0.25">
      <c r="C870" s="56"/>
      <c r="D870" s="56"/>
      <c r="E870" s="56"/>
      <c r="F870" s="56"/>
      <c r="H870" s="56"/>
      <c r="I870" s="56"/>
      <c r="N870" s="56"/>
    </row>
    <row r="871" spans="3:14" x14ac:dyDescent="0.25">
      <c r="C871" s="56"/>
      <c r="D871" s="56"/>
      <c r="E871" s="56"/>
      <c r="F871" s="56"/>
      <c r="H871" s="56"/>
      <c r="I871" s="56"/>
      <c r="N871" s="56"/>
    </row>
    <row r="872" spans="3:14" x14ac:dyDescent="0.25">
      <c r="C872" s="56"/>
      <c r="D872" s="56"/>
      <c r="E872" s="56"/>
      <c r="F872" s="56"/>
      <c r="H872" s="56"/>
      <c r="I872" s="56"/>
      <c r="N872" s="56"/>
    </row>
    <row r="873" spans="3:14" x14ac:dyDescent="0.25">
      <c r="C873" s="56"/>
      <c r="D873" s="56"/>
      <c r="E873" s="56"/>
      <c r="F873" s="56"/>
      <c r="H873" s="56"/>
      <c r="I873" s="56"/>
      <c r="N873" s="56"/>
    </row>
    <row r="874" spans="3:14" x14ac:dyDescent="0.25">
      <c r="C874" s="56"/>
      <c r="D874" s="56"/>
      <c r="E874" s="56"/>
      <c r="F874" s="56"/>
      <c r="H874" s="56"/>
      <c r="I874" s="56"/>
      <c r="N874" s="56"/>
    </row>
    <row r="875" spans="3:14" x14ac:dyDescent="0.25">
      <c r="C875" s="56"/>
      <c r="D875" s="56"/>
      <c r="E875" s="56"/>
      <c r="F875" s="56"/>
      <c r="H875" s="56"/>
      <c r="I875" s="56"/>
      <c r="N875" s="56"/>
    </row>
    <row r="876" spans="3:14" x14ac:dyDescent="0.25">
      <c r="C876" s="56"/>
      <c r="D876" s="56"/>
      <c r="E876" s="56"/>
      <c r="F876" s="56"/>
      <c r="H876" s="56"/>
      <c r="I876" s="56"/>
      <c r="N876" s="56"/>
    </row>
    <row r="877" spans="3:14" x14ac:dyDescent="0.25">
      <c r="C877" s="56"/>
      <c r="D877" s="56"/>
      <c r="E877" s="56"/>
      <c r="F877" s="56"/>
      <c r="H877" s="56"/>
      <c r="I877" s="56"/>
      <c r="N877" s="56"/>
    </row>
    <row r="878" spans="3:14" x14ac:dyDescent="0.25">
      <c r="C878" s="56"/>
      <c r="D878" s="56"/>
      <c r="E878" s="56"/>
      <c r="F878" s="56"/>
      <c r="H878" s="56"/>
      <c r="I878" s="56"/>
      <c r="N878" s="56"/>
    </row>
    <row r="879" spans="3:14" x14ac:dyDescent="0.25">
      <c r="C879" s="56"/>
      <c r="D879" s="56"/>
      <c r="E879" s="56"/>
      <c r="F879" s="56"/>
      <c r="H879" s="56"/>
      <c r="I879" s="56"/>
      <c r="N879" s="56"/>
    </row>
    <row r="880" spans="3:14" x14ac:dyDescent="0.25">
      <c r="C880" s="56"/>
      <c r="D880" s="56"/>
      <c r="E880" s="56"/>
      <c r="F880" s="56"/>
      <c r="H880" s="56"/>
      <c r="I880" s="56"/>
      <c r="N880" s="56"/>
    </row>
    <row r="881" spans="3:14" x14ac:dyDescent="0.25">
      <c r="C881" s="56"/>
      <c r="D881" s="56"/>
      <c r="E881" s="56"/>
      <c r="F881" s="56"/>
      <c r="H881" s="56"/>
      <c r="I881" s="56"/>
      <c r="N881" s="56"/>
    </row>
    <row r="882" spans="3:14" x14ac:dyDescent="0.25">
      <c r="C882" s="56"/>
      <c r="D882" s="56"/>
      <c r="E882" s="56"/>
      <c r="F882" s="56"/>
      <c r="H882" s="56"/>
      <c r="I882" s="56"/>
      <c r="N882" s="56"/>
    </row>
    <row r="883" spans="3:14" x14ac:dyDescent="0.25">
      <c r="C883" s="56"/>
      <c r="D883" s="56"/>
      <c r="E883" s="56"/>
      <c r="F883" s="56"/>
      <c r="H883" s="56"/>
      <c r="I883" s="56"/>
      <c r="N883" s="56"/>
    </row>
    <row r="884" spans="3:14" x14ac:dyDescent="0.25">
      <c r="C884" s="56"/>
      <c r="D884" s="56"/>
      <c r="E884" s="56"/>
      <c r="F884" s="56"/>
      <c r="H884" s="56"/>
      <c r="I884" s="56"/>
      <c r="N884" s="56"/>
    </row>
    <row r="885" spans="3:14" x14ac:dyDescent="0.25">
      <c r="C885" s="56"/>
      <c r="D885" s="56"/>
      <c r="E885" s="56"/>
      <c r="F885" s="56"/>
      <c r="H885" s="56"/>
      <c r="I885" s="56"/>
      <c r="N885" s="56"/>
    </row>
    <row r="886" spans="3:14" x14ac:dyDescent="0.25">
      <c r="C886" s="56"/>
      <c r="D886" s="56"/>
      <c r="E886" s="56"/>
      <c r="F886" s="56"/>
      <c r="H886" s="56"/>
      <c r="I886" s="56"/>
      <c r="N886" s="56"/>
    </row>
    <row r="887" spans="3:14" x14ac:dyDescent="0.25">
      <c r="C887" s="56"/>
      <c r="D887" s="56"/>
      <c r="E887" s="56"/>
      <c r="F887" s="56"/>
      <c r="H887" s="56"/>
      <c r="I887" s="56"/>
      <c r="N887" s="56"/>
    </row>
    <row r="888" spans="3:14" x14ac:dyDescent="0.25">
      <c r="C888" s="56"/>
      <c r="D888" s="56"/>
      <c r="E888" s="56"/>
      <c r="F888" s="56"/>
      <c r="H888" s="56"/>
      <c r="I888" s="56"/>
      <c r="N888" s="56"/>
    </row>
    <row r="889" spans="3:14" x14ac:dyDescent="0.25">
      <c r="C889" s="56"/>
      <c r="D889" s="56"/>
      <c r="E889" s="56"/>
      <c r="F889" s="56"/>
      <c r="H889" s="56"/>
      <c r="I889" s="56"/>
      <c r="N889" s="56"/>
    </row>
    <row r="890" spans="3:14" x14ac:dyDescent="0.25">
      <c r="C890" s="56"/>
      <c r="D890" s="56"/>
      <c r="E890" s="56"/>
      <c r="F890" s="56"/>
      <c r="H890" s="56"/>
      <c r="I890" s="56"/>
      <c r="N890" s="56"/>
    </row>
    <row r="891" spans="3:14" x14ac:dyDescent="0.25">
      <c r="C891" s="56"/>
      <c r="D891" s="56"/>
      <c r="E891" s="56"/>
      <c r="F891" s="56"/>
      <c r="H891" s="56"/>
      <c r="I891" s="56"/>
      <c r="N891" s="56"/>
    </row>
    <row r="892" spans="3:14" x14ac:dyDescent="0.25">
      <c r="C892" s="56"/>
      <c r="D892" s="56"/>
      <c r="E892" s="56"/>
      <c r="F892" s="56"/>
      <c r="H892" s="56"/>
      <c r="I892" s="56"/>
      <c r="N892" s="56"/>
    </row>
    <row r="893" spans="3:14" x14ac:dyDescent="0.25">
      <c r="C893" s="56"/>
      <c r="D893" s="56"/>
      <c r="E893" s="56"/>
      <c r="F893" s="56"/>
      <c r="H893" s="56"/>
      <c r="I893" s="56"/>
      <c r="N893" s="56"/>
    </row>
    <row r="894" spans="3:14" x14ac:dyDescent="0.25">
      <c r="C894" s="56"/>
      <c r="D894" s="56"/>
      <c r="E894" s="56"/>
      <c r="F894" s="56"/>
      <c r="H894" s="56"/>
      <c r="I894" s="56"/>
      <c r="N894" s="56"/>
    </row>
    <row r="895" spans="3:14" x14ac:dyDescent="0.25">
      <c r="C895" s="56"/>
      <c r="D895" s="56"/>
      <c r="E895" s="56"/>
      <c r="F895" s="56"/>
      <c r="H895" s="56"/>
      <c r="I895" s="56"/>
      <c r="N895" s="56"/>
    </row>
    <row r="896" spans="3:14" x14ac:dyDescent="0.25">
      <c r="C896" s="56"/>
      <c r="D896" s="56"/>
      <c r="E896" s="56"/>
      <c r="F896" s="56"/>
      <c r="H896" s="56"/>
      <c r="I896" s="56"/>
      <c r="N896" s="56"/>
    </row>
    <row r="897" spans="3:14" x14ac:dyDescent="0.25">
      <c r="C897" s="56"/>
      <c r="D897" s="56"/>
      <c r="E897" s="56"/>
      <c r="F897" s="56"/>
      <c r="H897" s="56"/>
      <c r="I897" s="56"/>
      <c r="N897" s="56"/>
    </row>
    <row r="898" spans="3:14" x14ac:dyDescent="0.25">
      <c r="C898" s="56"/>
      <c r="D898" s="56"/>
      <c r="E898" s="56"/>
      <c r="F898" s="56"/>
      <c r="H898" s="56"/>
      <c r="I898" s="56"/>
      <c r="N898" s="56"/>
    </row>
    <row r="899" spans="3:14" x14ac:dyDescent="0.25">
      <c r="C899" s="56"/>
      <c r="D899" s="56"/>
      <c r="E899" s="56"/>
      <c r="F899" s="56"/>
      <c r="H899" s="56"/>
      <c r="I899" s="56"/>
      <c r="N899" s="56"/>
    </row>
    <row r="900" spans="3:14" x14ac:dyDescent="0.25">
      <c r="C900" s="56"/>
      <c r="D900" s="56"/>
      <c r="E900" s="56"/>
      <c r="F900" s="56"/>
      <c r="H900" s="56"/>
      <c r="I900" s="56"/>
      <c r="N900" s="56"/>
    </row>
    <row r="901" spans="3:14" x14ac:dyDescent="0.25">
      <c r="C901" s="56"/>
      <c r="D901" s="56"/>
      <c r="E901" s="56"/>
      <c r="F901" s="56"/>
      <c r="H901" s="56"/>
      <c r="I901" s="56"/>
      <c r="N901" s="56"/>
    </row>
    <row r="902" spans="3:14" x14ac:dyDescent="0.25">
      <c r="C902" s="56"/>
      <c r="D902" s="56"/>
      <c r="E902" s="56"/>
      <c r="F902" s="56"/>
      <c r="H902" s="56"/>
      <c r="I902" s="56"/>
      <c r="N902" s="56"/>
    </row>
    <row r="903" spans="3:14" x14ac:dyDescent="0.25">
      <c r="C903" s="56"/>
      <c r="D903" s="56"/>
      <c r="E903" s="56"/>
      <c r="F903" s="56"/>
      <c r="H903" s="56"/>
      <c r="I903" s="56"/>
      <c r="N903" s="56"/>
    </row>
    <row r="904" spans="3:14" x14ac:dyDescent="0.25">
      <c r="C904" s="56"/>
      <c r="D904" s="56"/>
      <c r="E904" s="56"/>
      <c r="F904" s="56"/>
      <c r="H904" s="56"/>
      <c r="I904" s="56"/>
      <c r="N904" s="56"/>
    </row>
    <row r="905" spans="3:14" x14ac:dyDescent="0.25">
      <c r="C905" s="56"/>
      <c r="D905" s="56"/>
      <c r="E905" s="56"/>
      <c r="F905" s="56"/>
      <c r="H905" s="56"/>
      <c r="I905" s="56"/>
      <c r="N905" s="56"/>
    </row>
    <row r="906" spans="3:14" x14ac:dyDescent="0.25">
      <c r="C906" s="56"/>
      <c r="D906" s="56"/>
      <c r="E906" s="56"/>
      <c r="F906" s="56"/>
      <c r="H906" s="56"/>
      <c r="I906" s="56"/>
      <c r="N906" s="56"/>
    </row>
    <row r="907" spans="3:14" x14ac:dyDescent="0.25">
      <c r="C907" s="56"/>
      <c r="D907" s="56"/>
      <c r="E907" s="56"/>
      <c r="F907" s="56"/>
      <c r="H907" s="56"/>
      <c r="I907" s="56"/>
      <c r="N907" s="56"/>
    </row>
    <row r="908" spans="3:14" x14ac:dyDescent="0.25">
      <c r="C908" s="56"/>
      <c r="D908" s="56"/>
      <c r="E908" s="56"/>
      <c r="F908" s="56"/>
      <c r="H908" s="56"/>
      <c r="I908" s="56"/>
      <c r="N908" s="56"/>
    </row>
    <row r="909" spans="3:14" x14ac:dyDescent="0.25">
      <c r="C909" s="56"/>
      <c r="D909" s="56"/>
      <c r="E909" s="56"/>
      <c r="F909" s="56"/>
      <c r="H909" s="56"/>
      <c r="I909" s="56"/>
      <c r="N909" s="56"/>
    </row>
    <row r="910" spans="3:14" x14ac:dyDescent="0.25">
      <c r="C910" s="56"/>
      <c r="D910" s="56"/>
      <c r="E910" s="56"/>
      <c r="F910" s="56"/>
      <c r="H910" s="56"/>
      <c r="I910" s="56"/>
      <c r="N910" s="56"/>
    </row>
    <row r="911" spans="3:14" x14ac:dyDescent="0.25">
      <c r="C911" s="56"/>
      <c r="D911" s="56"/>
      <c r="E911" s="56"/>
      <c r="F911" s="56"/>
      <c r="H911" s="56"/>
      <c r="I911" s="56"/>
      <c r="N911" s="56"/>
    </row>
    <row r="912" spans="3:14" x14ac:dyDescent="0.25">
      <c r="C912" s="56"/>
      <c r="D912" s="56"/>
      <c r="E912" s="56"/>
      <c r="F912" s="56"/>
      <c r="H912" s="56"/>
      <c r="I912" s="56"/>
      <c r="N912" s="56"/>
    </row>
    <row r="913" spans="3:14" x14ac:dyDescent="0.25">
      <c r="C913" s="56"/>
      <c r="D913" s="56"/>
      <c r="E913" s="56"/>
      <c r="F913" s="56"/>
      <c r="H913" s="56"/>
      <c r="I913" s="56"/>
      <c r="N913" s="56"/>
    </row>
    <row r="914" spans="3:14" x14ac:dyDescent="0.25">
      <c r="C914" s="56"/>
      <c r="D914" s="56"/>
      <c r="E914" s="56"/>
      <c r="F914" s="56"/>
      <c r="H914" s="56"/>
      <c r="I914" s="56"/>
      <c r="N914" s="56"/>
    </row>
    <row r="915" spans="3:14" x14ac:dyDescent="0.25">
      <c r="C915" s="56"/>
      <c r="D915" s="56"/>
      <c r="E915" s="56"/>
      <c r="F915" s="56"/>
      <c r="H915" s="56"/>
      <c r="I915" s="56"/>
      <c r="N915" s="56"/>
    </row>
    <row r="916" spans="3:14" x14ac:dyDescent="0.25">
      <c r="C916" s="56"/>
      <c r="D916" s="56"/>
      <c r="E916" s="56"/>
      <c r="F916" s="56"/>
      <c r="H916" s="56"/>
      <c r="I916" s="56"/>
      <c r="N916" s="56"/>
    </row>
    <row r="917" spans="3:14" x14ac:dyDescent="0.25">
      <c r="C917" s="56"/>
      <c r="D917" s="56"/>
      <c r="E917" s="56"/>
      <c r="F917" s="56"/>
      <c r="H917" s="56"/>
      <c r="I917" s="56"/>
      <c r="N917" s="56"/>
    </row>
    <row r="918" spans="3:14" x14ac:dyDescent="0.25">
      <c r="C918" s="56"/>
      <c r="D918" s="56"/>
      <c r="E918" s="56"/>
      <c r="F918" s="56"/>
      <c r="H918" s="56"/>
      <c r="I918" s="56"/>
      <c r="N918" s="56"/>
    </row>
    <row r="919" spans="3:14" x14ac:dyDescent="0.25">
      <c r="C919" s="56"/>
      <c r="D919" s="56"/>
      <c r="E919" s="56"/>
      <c r="F919" s="56"/>
      <c r="H919" s="56"/>
      <c r="I919" s="56"/>
      <c r="N919" s="56"/>
    </row>
    <row r="920" spans="3:14" x14ac:dyDescent="0.25">
      <c r="C920" s="56"/>
      <c r="D920" s="56"/>
      <c r="E920" s="56"/>
      <c r="F920" s="56"/>
      <c r="H920" s="56"/>
      <c r="I920" s="56"/>
      <c r="N920" s="56"/>
    </row>
    <row r="921" spans="3:14" x14ac:dyDescent="0.25">
      <c r="C921" s="56"/>
      <c r="D921" s="56"/>
      <c r="E921" s="56"/>
      <c r="F921" s="56"/>
      <c r="H921" s="56"/>
      <c r="I921" s="56"/>
      <c r="N921" s="56"/>
    </row>
    <row r="922" spans="3:14" x14ac:dyDescent="0.25">
      <c r="C922" s="56"/>
      <c r="D922" s="56"/>
      <c r="E922" s="56"/>
      <c r="F922" s="56"/>
      <c r="H922" s="56"/>
      <c r="I922" s="56"/>
      <c r="N922" s="56"/>
    </row>
    <row r="923" spans="3:14" x14ac:dyDescent="0.25">
      <c r="C923" s="56"/>
      <c r="D923" s="56"/>
      <c r="E923" s="56"/>
      <c r="F923" s="56"/>
      <c r="H923" s="56"/>
      <c r="I923" s="56"/>
      <c r="N923" s="56"/>
    </row>
    <row r="924" spans="3:14" x14ac:dyDescent="0.25">
      <c r="C924" s="56"/>
      <c r="D924" s="56"/>
      <c r="E924" s="56"/>
      <c r="F924" s="56"/>
      <c r="H924" s="56"/>
      <c r="I924" s="56"/>
      <c r="N924" s="56"/>
    </row>
    <row r="925" spans="3:14" x14ac:dyDescent="0.25">
      <c r="C925" s="56"/>
      <c r="D925" s="56"/>
      <c r="E925" s="56"/>
      <c r="F925" s="56"/>
      <c r="H925" s="56"/>
      <c r="I925" s="56"/>
      <c r="N925" s="56"/>
    </row>
    <row r="926" spans="3:14" x14ac:dyDescent="0.25">
      <c r="C926" s="56"/>
      <c r="D926" s="56"/>
      <c r="E926" s="56"/>
      <c r="F926" s="56"/>
      <c r="H926" s="56"/>
      <c r="I926" s="56"/>
      <c r="N926" s="56"/>
    </row>
    <row r="927" spans="3:14" x14ac:dyDescent="0.25">
      <c r="C927" s="56"/>
      <c r="D927" s="56"/>
      <c r="E927" s="56"/>
      <c r="F927" s="56"/>
      <c r="H927" s="56"/>
      <c r="I927" s="56"/>
      <c r="N927" s="56"/>
    </row>
    <row r="928" spans="3:14" x14ac:dyDescent="0.25">
      <c r="C928" s="56"/>
      <c r="D928" s="56"/>
      <c r="E928" s="56"/>
      <c r="F928" s="56"/>
      <c r="H928" s="56"/>
      <c r="I928" s="56"/>
      <c r="N928" s="56"/>
    </row>
    <row r="929" spans="3:14" x14ac:dyDescent="0.25">
      <c r="C929" s="56"/>
      <c r="D929" s="56"/>
      <c r="E929" s="56"/>
      <c r="F929" s="56"/>
      <c r="H929" s="56"/>
      <c r="I929" s="56"/>
      <c r="N929" s="56"/>
    </row>
    <row r="930" spans="3:14" x14ac:dyDescent="0.25">
      <c r="C930" s="56"/>
      <c r="D930" s="56"/>
      <c r="E930" s="56"/>
      <c r="F930" s="56"/>
      <c r="H930" s="56"/>
      <c r="I930" s="56"/>
      <c r="N930" s="56"/>
    </row>
    <row r="931" spans="3:14" x14ac:dyDescent="0.25">
      <c r="C931" s="56"/>
      <c r="D931" s="56"/>
      <c r="E931" s="56"/>
      <c r="F931" s="56"/>
      <c r="H931" s="56"/>
      <c r="I931" s="56"/>
      <c r="N931" s="56"/>
    </row>
    <row r="932" spans="3:14" x14ac:dyDescent="0.25">
      <c r="C932" s="56"/>
      <c r="D932" s="56"/>
      <c r="E932" s="56"/>
      <c r="F932" s="56"/>
      <c r="H932" s="56"/>
      <c r="I932" s="56"/>
      <c r="N932" s="56"/>
    </row>
    <row r="933" spans="3:14" x14ac:dyDescent="0.25">
      <c r="C933" s="56"/>
      <c r="D933" s="56"/>
      <c r="E933" s="56"/>
      <c r="F933" s="56"/>
      <c r="H933" s="56"/>
      <c r="I933" s="56"/>
      <c r="N933" s="56"/>
    </row>
    <row r="934" spans="3:14" x14ac:dyDescent="0.25">
      <c r="C934" s="56"/>
      <c r="D934" s="56"/>
      <c r="E934" s="56"/>
      <c r="F934" s="56"/>
      <c r="H934" s="56"/>
      <c r="I934" s="56"/>
      <c r="N934" s="56"/>
    </row>
    <row r="935" spans="3:14" x14ac:dyDescent="0.25">
      <c r="C935" s="56"/>
      <c r="D935" s="56"/>
      <c r="E935" s="56"/>
      <c r="F935" s="56"/>
      <c r="H935" s="56"/>
      <c r="I935" s="56"/>
      <c r="N935" s="56"/>
    </row>
    <row r="936" spans="3:14" x14ac:dyDescent="0.25">
      <c r="C936" s="56"/>
      <c r="D936" s="56"/>
      <c r="E936" s="56"/>
      <c r="F936" s="56"/>
      <c r="H936" s="56"/>
      <c r="I936" s="56"/>
      <c r="N936" s="56"/>
    </row>
    <row r="937" spans="3:14" x14ac:dyDescent="0.25">
      <c r="C937" s="56"/>
      <c r="D937" s="56"/>
      <c r="E937" s="56"/>
      <c r="F937" s="56"/>
      <c r="H937" s="56"/>
      <c r="I937" s="56"/>
      <c r="N937" s="56"/>
    </row>
    <row r="938" spans="3:14" x14ac:dyDescent="0.25">
      <c r="C938" s="56"/>
      <c r="D938" s="56"/>
      <c r="E938" s="56"/>
      <c r="F938" s="56"/>
      <c r="H938" s="56"/>
      <c r="I938" s="56"/>
      <c r="N938" s="56"/>
    </row>
    <row r="939" spans="3:14" x14ac:dyDescent="0.25">
      <c r="C939" s="56"/>
      <c r="D939" s="56"/>
      <c r="E939" s="56"/>
      <c r="F939" s="56"/>
      <c r="H939" s="56"/>
      <c r="I939" s="56"/>
      <c r="N939" s="56"/>
    </row>
    <row r="940" spans="3:14" x14ac:dyDescent="0.25">
      <c r="C940" s="56"/>
      <c r="D940" s="56"/>
      <c r="E940" s="56"/>
      <c r="F940" s="56"/>
      <c r="H940" s="56"/>
      <c r="I940" s="56"/>
      <c r="N940" s="56"/>
    </row>
    <row r="941" spans="3:14" x14ac:dyDescent="0.25">
      <c r="C941" s="56"/>
      <c r="D941" s="56"/>
      <c r="E941" s="56"/>
      <c r="F941" s="56"/>
      <c r="H941" s="56"/>
      <c r="I941" s="56"/>
      <c r="N941" s="56"/>
    </row>
    <row r="942" spans="3:14" x14ac:dyDescent="0.25">
      <c r="C942" s="56"/>
      <c r="D942" s="56"/>
      <c r="E942" s="56"/>
      <c r="F942" s="56"/>
      <c r="H942" s="56"/>
      <c r="I942" s="56"/>
      <c r="N942" s="56"/>
    </row>
    <row r="943" spans="3:14" x14ac:dyDescent="0.25">
      <c r="C943" s="56"/>
      <c r="D943" s="56"/>
      <c r="E943" s="56"/>
      <c r="F943" s="56"/>
      <c r="H943" s="56"/>
      <c r="I943" s="56"/>
      <c r="N943" s="56"/>
    </row>
    <row r="944" spans="3:14" x14ac:dyDescent="0.25">
      <c r="C944" s="56"/>
      <c r="D944" s="56"/>
      <c r="E944" s="56"/>
      <c r="F944" s="56"/>
      <c r="H944" s="56"/>
      <c r="I944" s="56"/>
      <c r="N944" s="56"/>
    </row>
    <row r="945" spans="3:14" x14ac:dyDescent="0.25">
      <c r="C945" s="56"/>
      <c r="D945" s="56"/>
      <c r="E945" s="56"/>
      <c r="F945" s="56"/>
      <c r="H945" s="56"/>
      <c r="I945" s="56"/>
      <c r="N945" s="56"/>
    </row>
    <row r="946" spans="3:14" x14ac:dyDescent="0.25">
      <c r="C946" s="56"/>
      <c r="D946" s="56"/>
      <c r="E946" s="56"/>
      <c r="F946" s="56"/>
      <c r="H946" s="56"/>
      <c r="I946" s="56"/>
      <c r="N946" s="56"/>
    </row>
    <row r="947" spans="3:14" x14ac:dyDescent="0.25">
      <c r="C947" s="56"/>
      <c r="D947" s="56"/>
      <c r="E947" s="56"/>
      <c r="F947" s="56"/>
      <c r="H947" s="56"/>
      <c r="I947" s="56"/>
      <c r="N947" s="56"/>
    </row>
    <row r="948" spans="3:14" x14ac:dyDescent="0.25">
      <c r="C948" s="56"/>
      <c r="D948" s="56"/>
      <c r="E948" s="56"/>
      <c r="F948" s="56"/>
      <c r="H948" s="56"/>
      <c r="I948" s="56"/>
      <c r="N948" s="56"/>
    </row>
    <row r="949" spans="3:14" x14ac:dyDescent="0.25">
      <c r="C949" s="56"/>
      <c r="D949" s="56"/>
      <c r="E949" s="56"/>
      <c r="F949" s="56"/>
      <c r="H949" s="56"/>
      <c r="I949" s="56"/>
      <c r="N949" s="56"/>
    </row>
    <row r="950" spans="3:14" x14ac:dyDescent="0.25">
      <c r="C950" s="56"/>
      <c r="D950" s="56"/>
      <c r="E950" s="56"/>
      <c r="F950" s="56"/>
      <c r="H950" s="56"/>
      <c r="I950" s="56"/>
      <c r="N950" s="56"/>
    </row>
    <row r="951" spans="3:14" x14ac:dyDescent="0.25">
      <c r="C951" s="56"/>
      <c r="D951" s="56"/>
      <c r="E951" s="56"/>
      <c r="F951" s="56"/>
      <c r="H951" s="56"/>
      <c r="I951" s="56"/>
      <c r="N951" s="56"/>
    </row>
    <row r="952" spans="3:14" x14ac:dyDescent="0.25">
      <c r="C952" s="56"/>
      <c r="D952" s="56"/>
      <c r="E952" s="56"/>
      <c r="F952" s="56"/>
      <c r="H952" s="56"/>
      <c r="I952" s="56"/>
      <c r="N952" s="56"/>
    </row>
    <row r="953" spans="3:14" x14ac:dyDescent="0.25">
      <c r="C953" s="56"/>
      <c r="D953" s="56"/>
      <c r="E953" s="56"/>
      <c r="F953" s="56"/>
      <c r="H953" s="56"/>
      <c r="I953" s="56"/>
      <c r="N953" s="56"/>
    </row>
    <row r="954" spans="3:14" x14ac:dyDescent="0.25">
      <c r="C954" s="56"/>
      <c r="D954" s="56"/>
      <c r="E954" s="56"/>
      <c r="F954" s="56"/>
      <c r="H954" s="56"/>
      <c r="I954" s="56"/>
      <c r="N954" s="56"/>
    </row>
    <row r="955" spans="3:14" x14ac:dyDescent="0.25">
      <c r="C955" s="56"/>
      <c r="D955" s="56"/>
      <c r="E955" s="56"/>
      <c r="F955" s="56"/>
      <c r="H955" s="56"/>
      <c r="I955" s="56"/>
      <c r="N955" s="56"/>
    </row>
    <row r="956" spans="3:14" x14ac:dyDescent="0.25">
      <c r="C956" s="56"/>
      <c r="D956" s="56"/>
      <c r="E956" s="56"/>
      <c r="F956" s="56"/>
      <c r="H956" s="56"/>
      <c r="I956" s="56"/>
      <c r="N956" s="56"/>
    </row>
    <row r="957" spans="3:14" x14ac:dyDescent="0.25">
      <c r="C957" s="56"/>
      <c r="D957" s="56"/>
      <c r="E957" s="56"/>
      <c r="F957" s="56"/>
      <c r="H957" s="56"/>
      <c r="I957" s="56"/>
      <c r="N957" s="56"/>
    </row>
    <row r="958" spans="3:14" x14ac:dyDescent="0.25">
      <c r="C958" s="56"/>
      <c r="D958" s="56"/>
      <c r="E958" s="56"/>
      <c r="F958" s="56"/>
      <c r="H958" s="56"/>
      <c r="I958" s="56"/>
      <c r="N958" s="56"/>
    </row>
    <row r="959" spans="3:14" x14ac:dyDescent="0.25">
      <c r="C959" s="56"/>
      <c r="D959" s="56"/>
      <c r="E959" s="56"/>
      <c r="F959" s="56"/>
      <c r="H959" s="56"/>
      <c r="I959" s="56"/>
      <c r="N959" s="56"/>
    </row>
    <row r="960" spans="3:14" x14ac:dyDescent="0.25">
      <c r="C960" s="56"/>
      <c r="D960" s="56"/>
      <c r="E960" s="56"/>
      <c r="F960" s="56"/>
      <c r="H960" s="56"/>
      <c r="I960" s="56"/>
      <c r="N960" s="56"/>
    </row>
    <row r="961" spans="3:14" x14ac:dyDescent="0.25">
      <c r="C961" s="56"/>
      <c r="D961" s="56"/>
      <c r="E961" s="56"/>
      <c r="F961" s="56"/>
      <c r="H961" s="56"/>
      <c r="I961" s="56"/>
      <c r="N961" s="56"/>
    </row>
    <row r="962" spans="3:14" x14ac:dyDescent="0.25">
      <c r="C962" s="56"/>
      <c r="D962" s="56"/>
      <c r="E962" s="56"/>
      <c r="F962" s="56"/>
      <c r="H962" s="56"/>
      <c r="I962" s="56"/>
      <c r="N962" s="56"/>
    </row>
    <row r="963" spans="3:14" x14ac:dyDescent="0.25">
      <c r="C963" s="56"/>
      <c r="D963" s="56"/>
      <c r="E963" s="56"/>
      <c r="F963" s="56"/>
      <c r="H963" s="56"/>
      <c r="I963" s="56"/>
      <c r="N963" s="56"/>
    </row>
    <row r="964" spans="3:14" x14ac:dyDescent="0.25">
      <c r="C964" s="56"/>
      <c r="D964" s="56"/>
      <c r="E964" s="56"/>
      <c r="F964" s="56"/>
      <c r="H964" s="56"/>
      <c r="I964" s="56"/>
      <c r="N964" s="56"/>
    </row>
    <row r="965" spans="3:14" x14ac:dyDescent="0.25">
      <c r="C965" s="56"/>
      <c r="D965" s="56"/>
      <c r="E965" s="56"/>
      <c r="F965" s="56"/>
      <c r="H965" s="56"/>
      <c r="I965" s="56"/>
      <c r="N965" s="56"/>
    </row>
    <row r="966" spans="3:14" x14ac:dyDescent="0.25">
      <c r="C966" s="56"/>
      <c r="D966" s="56"/>
      <c r="E966" s="56"/>
      <c r="F966" s="56"/>
      <c r="H966" s="56"/>
      <c r="I966" s="56"/>
      <c r="N966" s="56"/>
    </row>
    <row r="967" spans="3:14" x14ac:dyDescent="0.25">
      <c r="C967" s="56"/>
      <c r="D967" s="56"/>
      <c r="E967" s="56"/>
      <c r="F967" s="56"/>
      <c r="H967" s="56"/>
      <c r="I967" s="56"/>
      <c r="N967" s="56"/>
    </row>
    <row r="968" spans="3:14" x14ac:dyDescent="0.25">
      <c r="C968" s="56"/>
      <c r="D968" s="56"/>
      <c r="E968" s="56"/>
      <c r="F968" s="56"/>
      <c r="H968" s="56"/>
      <c r="I968" s="56"/>
      <c r="N968" s="56"/>
    </row>
    <row r="969" spans="3:14" x14ac:dyDescent="0.25">
      <c r="C969" s="56"/>
      <c r="D969" s="56"/>
      <c r="E969" s="56"/>
      <c r="F969" s="56"/>
      <c r="H969" s="56"/>
      <c r="I969" s="56"/>
      <c r="N969" s="56"/>
    </row>
    <row r="970" spans="3:14" x14ac:dyDescent="0.25">
      <c r="C970" s="56"/>
      <c r="D970" s="56"/>
      <c r="E970" s="56"/>
      <c r="F970" s="56"/>
      <c r="H970" s="56"/>
      <c r="I970" s="56"/>
      <c r="N970" s="56"/>
    </row>
    <row r="971" spans="3:14" x14ac:dyDescent="0.25">
      <c r="C971" s="56"/>
      <c r="D971" s="56"/>
      <c r="E971" s="56"/>
      <c r="F971" s="56"/>
      <c r="H971" s="56"/>
      <c r="I971" s="56"/>
      <c r="N971" s="56"/>
    </row>
    <row r="972" spans="3:14" x14ac:dyDescent="0.25">
      <c r="C972" s="56"/>
      <c r="D972" s="56"/>
      <c r="E972" s="56"/>
      <c r="F972" s="56"/>
      <c r="H972" s="56"/>
      <c r="I972" s="56"/>
      <c r="N972" s="56"/>
    </row>
    <row r="973" spans="3:14" x14ac:dyDescent="0.25">
      <c r="C973" s="56"/>
      <c r="D973" s="56"/>
      <c r="E973" s="56"/>
      <c r="F973" s="56"/>
      <c r="H973" s="56"/>
      <c r="I973" s="56"/>
      <c r="N973" s="56"/>
    </row>
    <row r="974" spans="3:14" x14ac:dyDescent="0.25">
      <c r="C974" s="56"/>
      <c r="D974" s="56"/>
      <c r="E974" s="56"/>
      <c r="F974" s="56"/>
      <c r="H974" s="56"/>
      <c r="I974" s="56"/>
      <c r="N974" s="56"/>
    </row>
    <row r="975" spans="3:14" x14ac:dyDescent="0.25">
      <c r="C975" s="56"/>
      <c r="D975" s="56"/>
      <c r="E975" s="56"/>
      <c r="F975" s="56"/>
      <c r="H975" s="56"/>
      <c r="I975" s="56"/>
      <c r="N975" s="56"/>
    </row>
    <row r="976" spans="3:14" x14ac:dyDescent="0.25">
      <c r="C976" s="56"/>
      <c r="D976" s="56"/>
      <c r="E976" s="56"/>
      <c r="F976" s="56"/>
      <c r="H976" s="56"/>
      <c r="I976" s="56"/>
      <c r="N976" s="56"/>
    </row>
    <row r="977" spans="3:14" x14ac:dyDescent="0.25">
      <c r="C977" s="56"/>
      <c r="D977" s="56"/>
      <c r="E977" s="56"/>
      <c r="F977" s="56"/>
      <c r="H977" s="56"/>
      <c r="I977" s="56"/>
      <c r="N977" s="56"/>
    </row>
    <row r="978" spans="3:14" x14ac:dyDescent="0.25">
      <c r="C978" s="56"/>
      <c r="D978" s="56"/>
      <c r="E978" s="56"/>
      <c r="F978" s="56"/>
      <c r="H978" s="56"/>
      <c r="I978" s="56"/>
      <c r="N978" s="56"/>
    </row>
    <row r="979" spans="3:14" x14ac:dyDescent="0.25">
      <c r="C979" s="56"/>
      <c r="D979" s="56"/>
      <c r="E979" s="56"/>
      <c r="F979" s="56"/>
      <c r="H979" s="56"/>
      <c r="I979" s="56"/>
      <c r="N979" s="56"/>
    </row>
    <row r="980" spans="3:14" x14ac:dyDescent="0.25">
      <c r="C980" s="56"/>
      <c r="D980" s="56"/>
      <c r="E980" s="56"/>
      <c r="F980" s="56"/>
      <c r="H980" s="56"/>
      <c r="I980" s="56"/>
      <c r="N980" s="56"/>
    </row>
    <row r="981" spans="3:14" x14ac:dyDescent="0.25">
      <c r="C981" s="56"/>
      <c r="D981" s="56"/>
      <c r="E981" s="56"/>
      <c r="F981" s="56"/>
      <c r="H981" s="56"/>
      <c r="I981" s="56"/>
      <c r="N981" s="56"/>
    </row>
    <row r="982" spans="3:14" x14ac:dyDescent="0.25">
      <c r="C982" s="56"/>
      <c r="D982" s="56"/>
      <c r="E982" s="56"/>
      <c r="F982" s="56"/>
      <c r="H982" s="56"/>
      <c r="I982" s="56"/>
      <c r="N982" s="56"/>
    </row>
    <row r="983" spans="3:14" x14ac:dyDescent="0.25">
      <c r="C983" s="56"/>
      <c r="D983" s="56"/>
      <c r="E983" s="56"/>
      <c r="F983" s="56"/>
      <c r="H983" s="56"/>
      <c r="I983" s="56"/>
      <c r="N983" s="56"/>
    </row>
    <row r="984" spans="3:14" x14ac:dyDescent="0.25">
      <c r="C984" s="56"/>
      <c r="D984" s="56"/>
      <c r="E984" s="56"/>
      <c r="F984" s="56"/>
      <c r="H984" s="56"/>
      <c r="I984" s="56"/>
      <c r="N984" s="56"/>
    </row>
    <row r="985" spans="3:14" x14ac:dyDescent="0.25">
      <c r="C985" s="56"/>
      <c r="D985" s="56"/>
      <c r="E985" s="56"/>
      <c r="F985" s="56"/>
      <c r="H985" s="56"/>
      <c r="I985" s="56"/>
      <c r="N985" s="56"/>
    </row>
    <row r="986" spans="3:14" x14ac:dyDescent="0.25">
      <c r="C986" s="56"/>
      <c r="D986" s="56"/>
      <c r="E986" s="56"/>
      <c r="F986" s="56"/>
      <c r="H986" s="56"/>
      <c r="I986" s="56"/>
      <c r="N986" s="56"/>
    </row>
    <row r="987" spans="3:14" x14ac:dyDescent="0.25">
      <c r="C987" s="56"/>
      <c r="D987" s="56"/>
      <c r="E987" s="56"/>
      <c r="F987" s="56"/>
      <c r="H987" s="56"/>
      <c r="I987" s="56"/>
      <c r="N987" s="56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5BAEB0-C01C-465B-A303-A1D72EC5D1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Menu</vt:lpstr>
      <vt:lpstr>Master List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Cassie</dc:creator>
  <cp:lastModifiedBy>Cassie</cp:lastModifiedBy>
  <cp:lastPrinted>2021-11-17T19:19:02Z</cp:lastPrinted>
  <dcterms:created xsi:type="dcterms:W3CDTF">2021-11-17T16:55:23Z</dcterms:created>
  <dcterms:modified xsi:type="dcterms:W3CDTF">2021-11-18T19:14:18Z</dcterms:modified>
</cp:coreProperties>
</file>